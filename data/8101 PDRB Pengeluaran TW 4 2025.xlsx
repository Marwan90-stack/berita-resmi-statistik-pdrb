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E29E2C32-209A-42DF-971E-C1A200B1476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" sheetId="2" r:id="rId1"/>
    <sheet name="Sheet1" sheetId="1" r:id="rId2"/>
  </sheets>
  <externalReferences>
    <externalReference r:id="rId3"/>
    <externalReference r:id="rId4"/>
    <externalReference r:id="rId5"/>
    <externalReference r:id="rId6"/>
  </externalReferences>
  <definedNames>
    <definedName name="\h">#N/A</definedName>
    <definedName name="_2Excel_BuiltIn_Print_Area_1_1" localSheetId="0">#REF!</definedName>
    <definedName name="_2Excel_BuiltIn_Print_Area_1_1">#REF!</definedName>
    <definedName name="_h">NA()</definedName>
    <definedName name="Bappenas">#REF!</definedName>
    <definedName name="Excel_BuiltIn_Print_Area" localSheetId="0">#REF!</definedName>
    <definedName name="Excel_BuiltIn_Print_Area">#REF!</definedName>
    <definedName name="H" localSheetId="0">NA()</definedName>
    <definedName name="H">#N/A</definedName>
    <definedName name="KATEGORI" localSheetId="0">[1]Sheet1!$A$2:$A$9</definedName>
    <definedName name="KATEGORI">[2]Sheet1!$A$2:$A$9</definedName>
    <definedName name="KATEGORI_2010" localSheetId="0">[1]Sheet1!$A$2:$A$55</definedName>
    <definedName name="KATEGORI_2010">[2]Sheet1!$A$2:$A$55</definedName>
    <definedName name="KATEGORI_BESAR" localSheetId="0">[1]Sheet1!$R$2:$R$19</definedName>
    <definedName name="KATEGORI_BESAR">[2]Sheet1!$R$2:$R$19</definedName>
    <definedName name="Nama_KabKota">[3]Sheet2!$F$2:$F$38</definedName>
    <definedName name="Nama_Provinsi">[3]Sheet2!$A$2:$A$35</definedName>
    <definedName name="NamaTabel">OFFSET(INDIRECT("S3R!$"&amp;[3]S2LP!$G$2&amp;"$6"),0,0,1,[3]S2LP!$G$1)</definedName>
    <definedName name="NamaTabelImplisit">OFFSET(INDIRECT("S3R!$"&amp;#REF!&amp;"$6"),0,0,1,#REF!)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OVINSI_ADJ" localSheetId="0">[4]Sheet1!$E$2:$E$34</definedName>
    <definedName name="PROVINSI_ADJ">[2]Sheet1!$E$2:$E$34</definedName>
    <definedName name="Tabel">OFFSET(INDIRECT("S3R!$"&amp;[3]S2LP!$G$2&amp;"$"&amp;[3]S2LP!$H$1),0,0,1,[3]S2LP!$G$1)</definedName>
    <definedName name="TabelImplisit">OFFSET(INDIRECT("S3R!$"&amp;#REF!&amp;"$"&amp;#REF!),0,0,1,#REF!)</definedName>
    <definedName name="TabelKab">OFFSET(INDIRECT("S3R!$"&amp;[3]S2LP!$G$2&amp;"$"&amp;[3]S2LP!$H$2),0,0,1,[3]S2LP!$G$1)</definedName>
    <definedName name="TabelKabImplisit">OFFSET(INDIRECT("S3R!$"&amp;#REF!&amp;"$"&amp;#REF!),0,0,1,#REF!)</definedName>
    <definedName name="TabelKabTotal">OFFSET(INDIRECT("S3R!$"&amp;[3]S2LP!$G$2&amp;"$170"),0,0,1,[3]S2LP!$G$1)</definedName>
    <definedName name="TabelKabTotalImplisit">OFFSET(INDIRECT("S3R!$"&amp;#REF!&amp;"$333"),0,0,1,#REF!)</definedName>
    <definedName name="TabelTotal">OFFSET(INDIRECT("S3R!$"&amp;[3]S2LP!$G$2&amp;"$169"),0,0,1,[3]S2LP!$G$1)</definedName>
    <definedName name="TabelTotalImplisit">OFFSET(INDIRECT("S3R!$"&amp;#REF!&amp;"$332"),0,0,1,#REF!)</definedName>
    <definedName name="Tahun">[3]Sheet1!$A$2:$A$18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L59" i="2" l="1"/>
  <c r="CK59" i="2"/>
  <c r="CJ59" i="2"/>
  <c r="CL27" i="2"/>
  <c r="CK27" i="2"/>
  <c r="CJ27" i="2"/>
  <c r="B420" i="2"/>
  <c r="C420" i="2" s="1"/>
  <c r="D420" i="2" s="1"/>
  <c r="E420" i="2" s="1"/>
  <c r="F420" i="2" s="1"/>
  <c r="G420" i="2" s="1"/>
  <c r="H420" i="2" s="1"/>
  <c r="I420" i="2" s="1"/>
  <c r="J420" i="2" s="1"/>
  <c r="K420" i="2" s="1"/>
  <c r="L420" i="2" s="1"/>
  <c r="M420" i="2" s="1"/>
  <c r="N420" i="2" s="1"/>
  <c r="O420" i="2" s="1"/>
  <c r="P420" i="2" s="1"/>
  <c r="Q420" i="2" s="1"/>
  <c r="R420" i="2" s="1"/>
  <c r="S420" i="2" s="1"/>
  <c r="T420" i="2" s="1"/>
  <c r="U420" i="2" s="1"/>
  <c r="V420" i="2" s="1"/>
  <c r="W420" i="2" s="1"/>
  <c r="X420" i="2" s="1"/>
  <c r="Y420" i="2" s="1"/>
  <c r="Z420" i="2" s="1"/>
  <c r="AA420" i="2" s="1"/>
  <c r="AB420" i="2" s="1"/>
  <c r="AC420" i="2" s="1"/>
  <c r="AD420" i="2" s="1"/>
  <c r="AE420" i="2" s="1"/>
  <c r="AF420" i="2" s="1"/>
  <c r="AG420" i="2" s="1"/>
  <c r="AH420" i="2" s="1"/>
  <c r="AI420" i="2" s="1"/>
  <c r="AJ420" i="2" s="1"/>
  <c r="AK420" i="2" s="1"/>
  <c r="AL420" i="2" s="1"/>
  <c r="AM420" i="2" s="1"/>
  <c r="AN420" i="2" s="1"/>
  <c r="AO420" i="2" s="1"/>
  <c r="AP420" i="2" s="1"/>
  <c r="AQ420" i="2" s="1"/>
  <c r="AR420" i="2" s="1"/>
  <c r="AS420" i="2" s="1"/>
  <c r="AT420" i="2" s="1"/>
  <c r="AU420" i="2" s="1"/>
  <c r="AV420" i="2" s="1"/>
  <c r="AW420" i="2" s="1"/>
  <c r="AX420" i="2" s="1"/>
  <c r="AY420" i="2" s="1"/>
  <c r="AZ420" i="2" s="1"/>
  <c r="BA420" i="2" s="1"/>
  <c r="BB420" i="2" s="1"/>
  <c r="BC420" i="2" s="1"/>
  <c r="BD420" i="2" s="1"/>
  <c r="BE420" i="2" s="1"/>
  <c r="BF420" i="2" s="1"/>
  <c r="BG420" i="2" s="1"/>
  <c r="BH420" i="2" s="1"/>
  <c r="BI420" i="2" s="1"/>
  <c r="BJ420" i="2" s="1"/>
  <c r="BK420" i="2" s="1"/>
  <c r="BL420" i="2" s="1"/>
  <c r="BM420" i="2" s="1"/>
  <c r="BN420" i="2" s="1"/>
  <c r="BO420" i="2" s="1"/>
  <c r="BP420" i="2" s="1"/>
  <c r="BQ420" i="2" s="1"/>
  <c r="BR420" i="2" s="1"/>
  <c r="BS420" i="2" s="1"/>
  <c r="BT420" i="2" s="1"/>
  <c r="BU420" i="2" s="1"/>
  <c r="BV420" i="2" s="1"/>
  <c r="BW420" i="2" s="1"/>
  <c r="BX420" i="2" s="1"/>
  <c r="BY420" i="2" s="1"/>
  <c r="BZ420" i="2" s="1"/>
  <c r="CA420" i="2" s="1"/>
  <c r="CB420" i="2" s="1"/>
  <c r="CC420" i="2" s="1"/>
  <c r="CD420" i="2" s="1"/>
  <c r="CE420" i="2" s="1"/>
  <c r="CF420" i="2" s="1"/>
  <c r="CG420" i="2" s="1"/>
  <c r="CH420" i="2" s="1"/>
  <c r="CI420" i="2" s="1"/>
  <c r="CJ420" i="2" s="1"/>
  <c r="CK420" i="2" s="1"/>
  <c r="CL420" i="2" s="1"/>
  <c r="CM420" i="2" s="1"/>
  <c r="CN420" i="2" s="1"/>
  <c r="CO420" i="2" s="1"/>
  <c r="CP420" i="2" s="1"/>
  <c r="CQ420" i="2" s="1"/>
  <c r="CR420" i="2" s="1"/>
  <c r="B408" i="2"/>
  <c r="C408" i="2" s="1"/>
  <c r="D408" i="2" s="1"/>
  <c r="E408" i="2" s="1"/>
  <c r="F408" i="2" s="1"/>
  <c r="G408" i="2" s="1"/>
  <c r="H408" i="2" s="1"/>
  <c r="I408" i="2" s="1"/>
  <c r="J408" i="2" s="1"/>
  <c r="K408" i="2" s="1"/>
  <c r="L408" i="2" s="1"/>
  <c r="M408" i="2" s="1"/>
  <c r="N408" i="2" s="1"/>
  <c r="O408" i="2" s="1"/>
  <c r="P408" i="2" s="1"/>
  <c r="Q408" i="2" s="1"/>
  <c r="R408" i="2" s="1"/>
  <c r="S408" i="2" s="1"/>
  <c r="T408" i="2" s="1"/>
  <c r="U408" i="2" s="1"/>
  <c r="V408" i="2" s="1"/>
  <c r="W408" i="2" s="1"/>
  <c r="X408" i="2" s="1"/>
  <c r="Y408" i="2" s="1"/>
  <c r="Z408" i="2" s="1"/>
  <c r="AA408" i="2" s="1"/>
  <c r="AB408" i="2" s="1"/>
  <c r="AC408" i="2" s="1"/>
  <c r="AD408" i="2" s="1"/>
  <c r="AE408" i="2" s="1"/>
  <c r="AF408" i="2" s="1"/>
  <c r="AG408" i="2" s="1"/>
  <c r="AH408" i="2" s="1"/>
  <c r="AI408" i="2" s="1"/>
  <c r="AJ408" i="2" s="1"/>
  <c r="AK408" i="2" s="1"/>
  <c r="AL408" i="2" s="1"/>
  <c r="AM408" i="2" s="1"/>
  <c r="AN408" i="2" s="1"/>
  <c r="AO408" i="2" s="1"/>
  <c r="AP408" i="2" s="1"/>
  <c r="AQ408" i="2" s="1"/>
  <c r="AR408" i="2" s="1"/>
  <c r="AS408" i="2" s="1"/>
  <c r="AT408" i="2" s="1"/>
  <c r="AU408" i="2" s="1"/>
  <c r="AV408" i="2" s="1"/>
  <c r="AW408" i="2" s="1"/>
  <c r="AX408" i="2" s="1"/>
  <c r="AY408" i="2" s="1"/>
  <c r="AZ408" i="2" s="1"/>
  <c r="BA408" i="2" s="1"/>
  <c r="BB408" i="2" s="1"/>
  <c r="BC408" i="2" s="1"/>
  <c r="BD408" i="2" s="1"/>
  <c r="BE408" i="2" s="1"/>
  <c r="BF408" i="2" s="1"/>
  <c r="BG408" i="2" s="1"/>
  <c r="BH408" i="2" s="1"/>
  <c r="BI408" i="2" s="1"/>
  <c r="BJ408" i="2" s="1"/>
  <c r="BK408" i="2" s="1"/>
  <c r="BL408" i="2" s="1"/>
  <c r="BM408" i="2" s="1"/>
  <c r="BN408" i="2" s="1"/>
  <c r="BO408" i="2" s="1"/>
  <c r="BP408" i="2" s="1"/>
  <c r="BQ408" i="2" s="1"/>
  <c r="BR408" i="2" s="1"/>
  <c r="BS408" i="2" s="1"/>
  <c r="BT408" i="2" s="1"/>
  <c r="BU408" i="2" s="1"/>
  <c r="BV408" i="2" s="1"/>
  <c r="BW408" i="2" s="1"/>
  <c r="BX408" i="2" s="1"/>
  <c r="BY408" i="2" s="1"/>
  <c r="BZ408" i="2" s="1"/>
  <c r="CA408" i="2" s="1"/>
  <c r="CB408" i="2" s="1"/>
  <c r="CC408" i="2" s="1"/>
  <c r="CD408" i="2" s="1"/>
  <c r="CE408" i="2" s="1"/>
  <c r="CF408" i="2" s="1"/>
  <c r="CG408" i="2" s="1"/>
  <c r="CH408" i="2" s="1"/>
  <c r="CI408" i="2" s="1"/>
  <c r="CJ408" i="2" s="1"/>
  <c r="CK408" i="2" s="1"/>
  <c r="CL408" i="2" s="1"/>
  <c r="CM408" i="2" s="1"/>
  <c r="CN408" i="2" s="1"/>
  <c r="CO408" i="2" s="1"/>
  <c r="CP408" i="2" s="1"/>
  <c r="CQ408" i="2" s="1"/>
  <c r="CR408" i="2" s="1"/>
  <c r="B396" i="2"/>
  <c r="C396" i="2" s="1"/>
  <c r="D396" i="2" s="1"/>
  <c r="E396" i="2" s="1"/>
  <c r="F396" i="2" s="1"/>
  <c r="G396" i="2" s="1"/>
  <c r="H396" i="2" s="1"/>
  <c r="I396" i="2" s="1"/>
  <c r="J396" i="2" s="1"/>
  <c r="K396" i="2" s="1"/>
  <c r="L396" i="2" s="1"/>
  <c r="M396" i="2" s="1"/>
  <c r="N396" i="2" s="1"/>
  <c r="O396" i="2" s="1"/>
  <c r="P396" i="2" s="1"/>
  <c r="Q396" i="2" s="1"/>
  <c r="R396" i="2" s="1"/>
  <c r="S396" i="2" s="1"/>
  <c r="T396" i="2" s="1"/>
  <c r="U396" i="2" s="1"/>
  <c r="V396" i="2" s="1"/>
  <c r="W396" i="2" s="1"/>
  <c r="X396" i="2" s="1"/>
  <c r="Y396" i="2" s="1"/>
  <c r="Z396" i="2" s="1"/>
  <c r="AA396" i="2" s="1"/>
  <c r="AB396" i="2" s="1"/>
  <c r="AC396" i="2" s="1"/>
  <c r="AD396" i="2" s="1"/>
  <c r="AE396" i="2" s="1"/>
  <c r="AF396" i="2" s="1"/>
  <c r="AG396" i="2" s="1"/>
  <c r="AH396" i="2" s="1"/>
  <c r="AI396" i="2" s="1"/>
  <c r="AJ396" i="2" s="1"/>
  <c r="AK396" i="2" s="1"/>
  <c r="AL396" i="2" s="1"/>
  <c r="AM396" i="2" s="1"/>
  <c r="AN396" i="2" s="1"/>
  <c r="AO396" i="2" s="1"/>
  <c r="AP396" i="2" s="1"/>
  <c r="AQ396" i="2" s="1"/>
  <c r="AR396" i="2" s="1"/>
  <c r="AS396" i="2" s="1"/>
  <c r="AT396" i="2" s="1"/>
  <c r="AU396" i="2" s="1"/>
  <c r="AV396" i="2" s="1"/>
  <c r="AW396" i="2" s="1"/>
  <c r="AX396" i="2" s="1"/>
  <c r="AY396" i="2" s="1"/>
  <c r="AZ396" i="2" s="1"/>
  <c r="BA396" i="2" s="1"/>
  <c r="BB396" i="2" s="1"/>
  <c r="BC396" i="2" s="1"/>
  <c r="BD396" i="2" s="1"/>
  <c r="BE396" i="2" s="1"/>
  <c r="BF396" i="2" s="1"/>
  <c r="BG396" i="2" s="1"/>
  <c r="BH396" i="2" s="1"/>
  <c r="BI396" i="2" s="1"/>
  <c r="BJ396" i="2" s="1"/>
  <c r="BK396" i="2" s="1"/>
  <c r="BL396" i="2" s="1"/>
  <c r="BM396" i="2" s="1"/>
  <c r="BN396" i="2" s="1"/>
  <c r="BO396" i="2" s="1"/>
  <c r="BP396" i="2" s="1"/>
  <c r="BQ396" i="2" s="1"/>
  <c r="BR396" i="2" s="1"/>
  <c r="BS396" i="2" s="1"/>
  <c r="BT396" i="2" s="1"/>
  <c r="BU396" i="2" s="1"/>
  <c r="BV396" i="2" s="1"/>
  <c r="BW396" i="2" s="1"/>
  <c r="BX396" i="2" s="1"/>
  <c r="BY396" i="2" s="1"/>
  <c r="BZ396" i="2" s="1"/>
  <c r="CA396" i="2" s="1"/>
  <c r="CB396" i="2" s="1"/>
  <c r="CC396" i="2" s="1"/>
  <c r="CD396" i="2" s="1"/>
  <c r="CE396" i="2" s="1"/>
  <c r="CF396" i="2" s="1"/>
  <c r="CG396" i="2" s="1"/>
  <c r="CH396" i="2" s="1"/>
  <c r="CI396" i="2" s="1"/>
  <c r="CJ396" i="2" s="1"/>
  <c r="CK396" i="2" s="1"/>
  <c r="CL396" i="2" s="1"/>
  <c r="CM396" i="2" s="1"/>
  <c r="CN396" i="2" s="1"/>
  <c r="CO396" i="2" s="1"/>
  <c r="CP396" i="2" s="1"/>
  <c r="CQ396" i="2" s="1"/>
  <c r="CR396" i="2" s="1"/>
  <c r="B384" i="2"/>
  <c r="C384" i="2" s="1"/>
  <c r="D384" i="2" s="1"/>
  <c r="E384" i="2" s="1"/>
  <c r="F384" i="2" s="1"/>
  <c r="G384" i="2" s="1"/>
  <c r="H384" i="2" s="1"/>
  <c r="I384" i="2" s="1"/>
  <c r="J384" i="2" s="1"/>
  <c r="K384" i="2" s="1"/>
  <c r="L384" i="2" s="1"/>
  <c r="M384" i="2" s="1"/>
  <c r="N384" i="2" s="1"/>
  <c r="O384" i="2" s="1"/>
  <c r="P384" i="2" s="1"/>
  <c r="Q384" i="2" s="1"/>
  <c r="R384" i="2" s="1"/>
  <c r="S384" i="2" s="1"/>
  <c r="T384" i="2" s="1"/>
  <c r="U384" i="2" s="1"/>
  <c r="V384" i="2" s="1"/>
  <c r="W384" i="2" s="1"/>
  <c r="X384" i="2" s="1"/>
  <c r="Y384" i="2" s="1"/>
  <c r="Z384" i="2" s="1"/>
  <c r="AA384" i="2" s="1"/>
  <c r="AB384" i="2" s="1"/>
  <c r="AC384" i="2" s="1"/>
  <c r="AD384" i="2" s="1"/>
  <c r="AE384" i="2" s="1"/>
  <c r="AF384" i="2" s="1"/>
  <c r="AG384" i="2" s="1"/>
  <c r="AH384" i="2" s="1"/>
  <c r="AI384" i="2" s="1"/>
  <c r="AJ384" i="2" s="1"/>
  <c r="AK384" i="2" s="1"/>
  <c r="AL384" i="2" s="1"/>
  <c r="AM384" i="2" s="1"/>
  <c r="AN384" i="2" s="1"/>
  <c r="AO384" i="2" s="1"/>
  <c r="AP384" i="2" s="1"/>
  <c r="AQ384" i="2" s="1"/>
  <c r="AR384" i="2" s="1"/>
  <c r="AS384" i="2" s="1"/>
  <c r="AT384" i="2" s="1"/>
  <c r="AU384" i="2" s="1"/>
  <c r="AV384" i="2" s="1"/>
  <c r="AW384" i="2" s="1"/>
  <c r="AX384" i="2" s="1"/>
  <c r="AY384" i="2" s="1"/>
  <c r="AZ384" i="2" s="1"/>
  <c r="BA384" i="2" s="1"/>
  <c r="BB384" i="2" s="1"/>
  <c r="BC384" i="2" s="1"/>
  <c r="BD384" i="2" s="1"/>
  <c r="BE384" i="2" s="1"/>
  <c r="BF384" i="2" s="1"/>
  <c r="BG384" i="2" s="1"/>
  <c r="BH384" i="2" s="1"/>
  <c r="BI384" i="2" s="1"/>
  <c r="BJ384" i="2" s="1"/>
  <c r="BK384" i="2" s="1"/>
  <c r="BL384" i="2" s="1"/>
  <c r="BM384" i="2" s="1"/>
  <c r="BN384" i="2" s="1"/>
  <c r="BO384" i="2" s="1"/>
  <c r="BP384" i="2" s="1"/>
  <c r="BQ384" i="2" s="1"/>
  <c r="BR384" i="2" s="1"/>
  <c r="BS384" i="2" s="1"/>
  <c r="BT384" i="2" s="1"/>
  <c r="BU384" i="2" s="1"/>
  <c r="BV384" i="2" s="1"/>
  <c r="BW384" i="2" s="1"/>
  <c r="BX384" i="2" s="1"/>
  <c r="BY384" i="2" s="1"/>
  <c r="BZ384" i="2" s="1"/>
  <c r="CA384" i="2" s="1"/>
  <c r="CB384" i="2" s="1"/>
  <c r="CC384" i="2" s="1"/>
  <c r="CD384" i="2" s="1"/>
  <c r="CE384" i="2" s="1"/>
  <c r="CF384" i="2" s="1"/>
  <c r="CG384" i="2" s="1"/>
  <c r="CH384" i="2" s="1"/>
  <c r="CI384" i="2" s="1"/>
  <c r="CJ384" i="2" s="1"/>
  <c r="CK384" i="2" s="1"/>
  <c r="CL384" i="2" s="1"/>
  <c r="CM384" i="2" s="1"/>
  <c r="CN384" i="2" s="1"/>
  <c r="CO384" i="2" s="1"/>
  <c r="CP384" i="2" s="1"/>
  <c r="CQ384" i="2" s="1"/>
  <c r="CR384" i="2" s="1"/>
  <c r="B372" i="2"/>
  <c r="C372" i="2" s="1"/>
  <c r="D372" i="2" s="1"/>
  <c r="E372" i="2" s="1"/>
  <c r="F372" i="2" s="1"/>
  <c r="G372" i="2" s="1"/>
  <c r="H372" i="2" s="1"/>
  <c r="I372" i="2" s="1"/>
  <c r="J372" i="2" s="1"/>
  <c r="K372" i="2" s="1"/>
  <c r="L372" i="2" s="1"/>
  <c r="M372" i="2" s="1"/>
  <c r="N372" i="2" s="1"/>
  <c r="O372" i="2" s="1"/>
  <c r="P372" i="2" s="1"/>
  <c r="Q372" i="2" s="1"/>
  <c r="R372" i="2" s="1"/>
  <c r="S372" i="2" s="1"/>
  <c r="T372" i="2" s="1"/>
  <c r="U372" i="2" s="1"/>
  <c r="V372" i="2" s="1"/>
  <c r="W372" i="2" s="1"/>
  <c r="X372" i="2" s="1"/>
  <c r="Y372" i="2" s="1"/>
  <c r="Z372" i="2" s="1"/>
  <c r="AA372" i="2" s="1"/>
  <c r="AB372" i="2" s="1"/>
  <c r="AC372" i="2" s="1"/>
  <c r="AD372" i="2" s="1"/>
  <c r="AE372" i="2" s="1"/>
  <c r="AF372" i="2" s="1"/>
  <c r="AG372" i="2" s="1"/>
  <c r="AH372" i="2" s="1"/>
  <c r="AI372" i="2" s="1"/>
  <c r="AJ372" i="2" s="1"/>
  <c r="AK372" i="2" s="1"/>
  <c r="AL372" i="2" s="1"/>
  <c r="AM372" i="2" s="1"/>
  <c r="AN372" i="2" s="1"/>
  <c r="AO372" i="2" s="1"/>
  <c r="AP372" i="2" s="1"/>
  <c r="AQ372" i="2" s="1"/>
  <c r="AR372" i="2" s="1"/>
  <c r="AS372" i="2" s="1"/>
  <c r="AT372" i="2" s="1"/>
  <c r="AU372" i="2" s="1"/>
  <c r="AV372" i="2" s="1"/>
  <c r="AW372" i="2" s="1"/>
  <c r="AX372" i="2" s="1"/>
  <c r="AY372" i="2" s="1"/>
  <c r="AZ372" i="2" s="1"/>
  <c r="BA372" i="2" s="1"/>
  <c r="BB372" i="2" s="1"/>
  <c r="BC372" i="2" s="1"/>
  <c r="BD372" i="2" s="1"/>
  <c r="BE372" i="2" s="1"/>
  <c r="BF372" i="2" s="1"/>
  <c r="BG372" i="2" s="1"/>
  <c r="BH372" i="2" s="1"/>
  <c r="BI372" i="2" s="1"/>
  <c r="BJ372" i="2" s="1"/>
  <c r="BK372" i="2" s="1"/>
  <c r="BL372" i="2" s="1"/>
  <c r="BM372" i="2" s="1"/>
  <c r="BN372" i="2" s="1"/>
  <c r="BO372" i="2" s="1"/>
  <c r="BP372" i="2" s="1"/>
  <c r="BQ372" i="2" s="1"/>
  <c r="BR372" i="2" s="1"/>
  <c r="BS372" i="2" s="1"/>
  <c r="BT372" i="2" s="1"/>
  <c r="BU372" i="2" s="1"/>
  <c r="BV372" i="2" s="1"/>
  <c r="BW372" i="2" s="1"/>
  <c r="BX372" i="2" s="1"/>
  <c r="BY372" i="2" s="1"/>
  <c r="BZ372" i="2" s="1"/>
  <c r="CA372" i="2" s="1"/>
  <c r="CB372" i="2" s="1"/>
  <c r="CC372" i="2" s="1"/>
  <c r="CD372" i="2" s="1"/>
  <c r="CE372" i="2" s="1"/>
  <c r="CF372" i="2" s="1"/>
  <c r="CG372" i="2" s="1"/>
  <c r="CH372" i="2" s="1"/>
  <c r="CI372" i="2" s="1"/>
  <c r="CJ372" i="2" s="1"/>
  <c r="CK372" i="2" s="1"/>
  <c r="CL372" i="2" s="1"/>
  <c r="CM372" i="2" s="1"/>
  <c r="CN372" i="2" s="1"/>
  <c r="CO372" i="2" s="1"/>
  <c r="CP372" i="2" s="1"/>
  <c r="CQ372" i="2" s="1"/>
  <c r="CR372" i="2" s="1"/>
  <c r="B360" i="2"/>
  <c r="C360" i="2" s="1"/>
  <c r="D360" i="2" s="1"/>
  <c r="E360" i="2" s="1"/>
  <c r="F360" i="2" s="1"/>
  <c r="G360" i="2" s="1"/>
  <c r="H360" i="2" s="1"/>
  <c r="I360" i="2" s="1"/>
  <c r="J360" i="2" s="1"/>
  <c r="K360" i="2" s="1"/>
  <c r="L360" i="2" s="1"/>
  <c r="M360" i="2" s="1"/>
  <c r="N360" i="2" s="1"/>
  <c r="O360" i="2" s="1"/>
  <c r="P360" i="2" s="1"/>
  <c r="Q360" i="2" s="1"/>
  <c r="R360" i="2" s="1"/>
  <c r="S360" i="2" s="1"/>
  <c r="T360" i="2" s="1"/>
  <c r="U360" i="2" s="1"/>
  <c r="V360" i="2" s="1"/>
  <c r="W360" i="2" s="1"/>
  <c r="X360" i="2" s="1"/>
  <c r="Y360" i="2" s="1"/>
  <c r="Z360" i="2" s="1"/>
  <c r="AA360" i="2" s="1"/>
  <c r="AB360" i="2" s="1"/>
  <c r="AC360" i="2" s="1"/>
  <c r="AD360" i="2" s="1"/>
  <c r="AE360" i="2" s="1"/>
  <c r="AF360" i="2" s="1"/>
  <c r="AG360" i="2" s="1"/>
  <c r="AH360" i="2" s="1"/>
  <c r="AI360" i="2" s="1"/>
  <c r="AJ360" i="2" s="1"/>
  <c r="AK360" i="2" s="1"/>
  <c r="AL360" i="2" s="1"/>
  <c r="AM360" i="2" s="1"/>
  <c r="AN360" i="2" s="1"/>
  <c r="AO360" i="2" s="1"/>
  <c r="AP360" i="2" s="1"/>
  <c r="AQ360" i="2" s="1"/>
  <c r="AR360" i="2" s="1"/>
  <c r="AS360" i="2" s="1"/>
  <c r="AT360" i="2" s="1"/>
  <c r="AU360" i="2" s="1"/>
  <c r="AV360" i="2" s="1"/>
  <c r="AW360" i="2" s="1"/>
  <c r="AX360" i="2" s="1"/>
  <c r="AY360" i="2" s="1"/>
  <c r="AZ360" i="2" s="1"/>
  <c r="BA360" i="2" s="1"/>
  <c r="BB360" i="2" s="1"/>
  <c r="BC360" i="2" s="1"/>
  <c r="BD360" i="2" s="1"/>
  <c r="BE360" i="2" s="1"/>
  <c r="BF360" i="2" s="1"/>
  <c r="BG360" i="2" s="1"/>
  <c r="BH360" i="2" s="1"/>
  <c r="BI360" i="2" s="1"/>
  <c r="BJ360" i="2" s="1"/>
  <c r="BK360" i="2" s="1"/>
  <c r="BL360" i="2" s="1"/>
  <c r="BM360" i="2" s="1"/>
  <c r="BN360" i="2" s="1"/>
  <c r="BO360" i="2" s="1"/>
  <c r="BP360" i="2" s="1"/>
  <c r="BQ360" i="2" s="1"/>
  <c r="BR360" i="2" s="1"/>
  <c r="BS360" i="2" s="1"/>
  <c r="BT360" i="2" s="1"/>
  <c r="BU360" i="2" s="1"/>
  <c r="BV360" i="2" s="1"/>
  <c r="BW360" i="2" s="1"/>
  <c r="BX360" i="2" s="1"/>
  <c r="BY360" i="2" s="1"/>
  <c r="BZ360" i="2" s="1"/>
  <c r="CA360" i="2" s="1"/>
  <c r="CB360" i="2" s="1"/>
  <c r="CC360" i="2" s="1"/>
  <c r="CD360" i="2" s="1"/>
  <c r="CE360" i="2" s="1"/>
  <c r="CF360" i="2" s="1"/>
  <c r="CG360" i="2" s="1"/>
  <c r="CH360" i="2" s="1"/>
  <c r="CI360" i="2" s="1"/>
  <c r="CJ360" i="2" s="1"/>
  <c r="CK360" i="2" s="1"/>
  <c r="CL360" i="2" s="1"/>
  <c r="CM360" i="2" s="1"/>
  <c r="CN360" i="2" s="1"/>
  <c r="CO360" i="2" s="1"/>
  <c r="CP360" i="2" s="1"/>
  <c r="CQ360" i="2" s="1"/>
  <c r="CR360" i="2" s="1"/>
  <c r="CE352" i="2"/>
  <c r="AX352" i="2"/>
  <c r="B348" i="2"/>
  <c r="C348" i="2" s="1"/>
  <c r="D348" i="2" s="1"/>
  <c r="E348" i="2" s="1"/>
  <c r="F348" i="2" s="1"/>
  <c r="G348" i="2" s="1"/>
  <c r="H348" i="2" s="1"/>
  <c r="I348" i="2" s="1"/>
  <c r="J348" i="2" s="1"/>
  <c r="K348" i="2" s="1"/>
  <c r="L348" i="2" s="1"/>
  <c r="M348" i="2" s="1"/>
  <c r="N348" i="2" s="1"/>
  <c r="O348" i="2" s="1"/>
  <c r="P348" i="2" s="1"/>
  <c r="Q348" i="2" s="1"/>
  <c r="R348" i="2" s="1"/>
  <c r="S348" i="2" s="1"/>
  <c r="T348" i="2" s="1"/>
  <c r="U348" i="2" s="1"/>
  <c r="V348" i="2" s="1"/>
  <c r="W348" i="2" s="1"/>
  <c r="X348" i="2" s="1"/>
  <c r="Y348" i="2" s="1"/>
  <c r="Z348" i="2" s="1"/>
  <c r="AA348" i="2" s="1"/>
  <c r="AB348" i="2" s="1"/>
  <c r="AC348" i="2" s="1"/>
  <c r="AD348" i="2" s="1"/>
  <c r="AE348" i="2" s="1"/>
  <c r="AF348" i="2" s="1"/>
  <c r="AG348" i="2" s="1"/>
  <c r="AH348" i="2" s="1"/>
  <c r="AI348" i="2" s="1"/>
  <c r="AJ348" i="2" s="1"/>
  <c r="AK348" i="2" s="1"/>
  <c r="AL348" i="2" s="1"/>
  <c r="AM348" i="2" s="1"/>
  <c r="AN348" i="2" s="1"/>
  <c r="AO348" i="2" s="1"/>
  <c r="AP348" i="2" s="1"/>
  <c r="AQ348" i="2" s="1"/>
  <c r="AR348" i="2" s="1"/>
  <c r="AS348" i="2" s="1"/>
  <c r="AT348" i="2" s="1"/>
  <c r="AU348" i="2" s="1"/>
  <c r="AV348" i="2" s="1"/>
  <c r="AW348" i="2" s="1"/>
  <c r="AX348" i="2" s="1"/>
  <c r="AY348" i="2" s="1"/>
  <c r="AZ348" i="2" s="1"/>
  <c r="BA348" i="2" s="1"/>
  <c r="BB348" i="2" s="1"/>
  <c r="BC348" i="2" s="1"/>
  <c r="BD348" i="2" s="1"/>
  <c r="BE348" i="2" s="1"/>
  <c r="BF348" i="2" s="1"/>
  <c r="BG348" i="2" s="1"/>
  <c r="BH348" i="2" s="1"/>
  <c r="BI348" i="2" s="1"/>
  <c r="BJ348" i="2" s="1"/>
  <c r="BK348" i="2" s="1"/>
  <c r="BL348" i="2" s="1"/>
  <c r="BM348" i="2" s="1"/>
  <c r="BN348" i="2" s="1"/>
  <c r="BO348" i="2" s="1"/>
  <c r="BP348" i="2" s="1"/>
  <c r="BQ348" i="2" s="1"/>
  <c r="BR348" i="2" s="1"/>
  <c r="BS348" i="2" s="1"/>
  <c r="BT348" i="2" s="1"/>
  <c r="BU348" i="2" s="1"/>
  <c r="BV348" i="2" s="1"/>
  <c r="BW348" i="2" s="1"/>
  <c r="BX348" i="2" s="1"/>
  <c r="BY348" i="2" s="1"/>
  <c r="BZ348" i="2" s="1"/>
  <c r="CA348" i="2" s="1"/>
  <c r="CB348" i="2" s="1"/>
  <c r="CC348" i="2" s="1"/>
  <c r="CD348" i="2" s="1"/>
  <c r="CE348" i="2" s="1"/>
  <c r="CF348" i="2" s="1"/>
  <c r="CG348" i="2" s="1"/>
  <c r="CH348" i="2" s="1"/>
  <c r="CI348" i="2" s="1"/>
  <c r="CJ348" i="2" s="1"/>
  <c r="CK348" i="2" s="1"/>
  <c r="CL348" i="2" s="1"/>
  <c r="CM348" i="2" s="1"/>
  <c r="CN348" i="2" s="1"/>
  <c r="CO348" i="2" s="1"/>
  <c r="CP348" i="2" s="1"/>
  <c r="CQ348" i="2" s="1"/>
  <c r="CR348" i="2" s="1"/>
  <c r="CQ340" i="2"/>
  <c r="CP340" i="2"/>
  <c r="CQ352" i="2" s="1"/>
  <c r="CO340" i="2"/>
  <c r="CN340" i="2"/>
  <c r="CL340" i="2"/>
  <c r="CK340" i="2"/>
  <c r="CJ340" i="2"/>
  <c r="CI340" i="2"/>
  <c r="CG340" i="2"/>
  <c r="CF340" i="2"/>
  <c r="CE340" i="2"/>
  <c r="CF352" i="2" s="1"/>
  <c r="CD340" i="2"/>
  <c r="CB340" i="2"/>
  <c r="CA340" i="2"/>
  <c r="BZ340" i="2"/>
  <c r="BY340" i="2"/>
  <c r="BW340" i="2"/>
  <c r="BV340" i="2"/>
  <c r="BV352" i="2" s="1"/>
  <c r="BU340" i="2"/>
  <c r="BT340" i="2"/>
  <c r="BR340" i="2"/>
  <c r="BQ340" i="2"/>
  <c r="BP340" i="2"/>
  <c r="BP352" i="2" s="1"/>
  <c r="BO340" i="2"/>
  <c r="BM340" i="2"/>
  <c r="BL340" i="2"/>
  <c r="BK340" i="2"/>
  <c r="BJ340" i="2"/>
  <c r="BH340" i="2"/>
  <c r="BG340" i="2"/>
  <c r="BG352" i="2" s="1"/>
  <c r="BF340" i="2"/>
  <c r="BE340" i="2"/>
  <c r="BC340" i="2"/>
  <c r="BB340" i="2"/>
  <c r="BA340" i="2"/>
  <c r="AZ340" i="2"/>
  <c r="AX340" i="2"/>
  <c r="AW340" i="2"/>
  <c r="AV340" i="2"/>
  <c r="AU340" i="2"/>
  <c r="AS340" i="2"/>
  <c r="AR340" i="2"/>
  <c r="AQ340" i="2"/>
  <c r="AP340" i="2"/>
  <c r="AN340" i="2"/>
  <c r="AM340" i="2"/>
  <c r="AL340" i="2"/>
  <c r="AK340" i="2"/>
  <c r="AI340" i="2"/>
  <c r="AH340" i="2"/>
  <c r="AG340" i="2"/>
  <c r="AF340" i="2"/>
  <c r="AD340" i="2"/>
  <c r="AC340" i="2"/>
  <c r="AB340" i="2"/>
  <c r="AA340" i="2"/>
  <c r="Y340" i="2"/>
  <c r="X340" i="2"/>
  <c r="W340" i="2"/>
  <c r="V340" i="2"/>
  <c r="T340" i="2"/>
  <c r="S340" i="2"/>
  <c r="R340" i="2"/>
  <c r="R364" i="2" s="1"/>
  <c r="Q340" i="2"/>
  <c r="O340" i="2"/>
  <c r="N340" i="2"/>
  <c r="M340" i="2"/>
  <c r="L340" i="2"/>
  <c r="J340" i="2"/>
  <c r="I340" i="2"/>
  <c r="H340" i="2"/>
  <c r="G340" i="2"/>
  <c r="E340" i="2"/>
  <c r="D340" i="2"/>
  <c r="C340" i="2"/>
  <c r="B340" i="2"/>
  <c r="CQ338" i="2"/>
  <c r="CP338" i="2"/>
  <c r="CO338" i="2"/>
  <c r="CN338" i="2"/>
  <c r="CL338" i="2"/>
  <c r="CK338" i="2"/>
  <c r="CJ338" i="2"/>
  <c r="CI338" i="2"/>
  <c r="CG338" i="2"/>
  <c r="CF338" i="2"/>
  <c r="CE338" i="2"/>
  <c r="CD338" i="2"/>
  <c r="CB338" i="2"/>
  <c r="CA338" i="2"/>
  <c r="BZ338" i="2"/>
  <c r="BY338" i="2"/>
  <c r="BW338" i="2"/>
  <c r="BV338" i="2"/>
  <c r="BU338" i="2"/>
  <c r="BT338" i="2"/>
  <c r="BR338" i="2"/>
  <c r="BQ338" i="2"/>
  <c r="BP338" i="2"/>
  <c r="BO338" i="2"/>
  <c r="BM338" i="2"/>
  <c r="BL338" i="2"/>
  <c r="BK338" i="2"/>
  <c r="BJ338" i="2"/>
  <c r="BH338" i="2"/>
  <c r="BG338" i="2"/>
  <c r="BF338" i="2"/>
  <c r="BE338" i="2"/>
  <c r="BC338" i="2"/>
  <c r="BB338" i="2"/>
  <c r="BA338" i="2"/>
  <c r="AZ338" i="2"/>
  <c r="AX338" i="2"/>
  <c r="AW338" i="2"/>
  <c r="AV338" i="2"/>
  <c r="AU338" i="2"/>
  <c r="AS338" i="2"/>
  <c r="AR338" i="2"/>
  <c r="AQ338" i="2"/>
  <c r="AP338" i="2"/>
  <c r="AN338" i="2"/>
  <c r="AM338" i="2"/>
  <c r="AL338" i="2"/>
  <c r="AK338" i="2"/>
  <c r="AI338" i="2"/>
  <c r="AH338" i="2"/>
  <c r="AG338" i="2"/>
  <c r="AF338" i="2"/>
  <c r="AD338" i="2"/>
  <c r="AC338" i="2"/>
  <c r="AB338" i="2"/>
  <c r="AA338" i="2"/>
  <c r="Y338" i="2"/>
  <c r="X338" i="2"/>
  <c r="W338" i="2"/>
  <c r="V338" i="2"/>
  <c r="T338" i="2"/>
  <c r="S338" i="2"/>
  <c r="R338" i="2"/>
  <c r="Q338" i="2"/>
  <c r="O338" i="2"/>
  <c r="N338" i="2"/>
  <c r="M338" i="2"/>
  <c r="L338" i="2"/>
  <c r="J338" i="2"/>
  <c r="I338" i="2"/>
  <c r="H338" i="2"/>
  <c r="G338" i="2"/>
  <c r="E338" i="2"/>
  <c r="D338" i="2"/>
  <c r="C338" i="2"/>
  <c r="C350" i="2" s="1"/>
  <c r="B338" i="2"/>
  <c r="B336" i="2"/>
  <c r="C336" i="2" s="1"/>
  <c r="D336" i="2" s="1"/>
  <c r="E336" i="2" s="1"/>
  <c r="F336" i="2" s="1"/>
  <c r="G336" i="2" s="1"/>
  <c r="H336" i="2" s="1"/>
  <c r="I336" i="2" s="1"/>
  <c r="J336" i="2" s="1"/>
  <c r="K336" i="2" s="1"/>
  <c r="L336" i="2" s="1"/>
  <c r="M336" i="2" s="1"/>
  <c r="N336" i="2" s="1"/>
  <c r="O336" i="2" s="1"/>
  <c r="P336" i="2" s="1"/>
  <c r="Q336" i="2" s="1"/>
  <c r="R336" i="2" s="1"/>
  <c r="S336" i="2" s="1"/>
  <c r="T336" i="2" s="1"/>
  <c r="U336" i="2" s="1"/>
  <c r="V336" i="2" s="1"/>
  <c r="W336" i="2" s="1"/>
  <c r="X336" i="2" s="1"/>
  <c r="Y336" i="2" s="1"/>
  <c r="Z336" i="2" s="1"/>
  <c r="AA336" i="2" s="1"/>
  <c r="AB336" i="2" s="1"/>
  <c r="AC336" i="2" s="1"/>
  <c r="AD336" i="2" s="1"/>
  <c r="AE336" i="2" s="1"/>
  <c r="AF336" i="2" s="1"/>
  <c r="AG336" i="2" s="1"/>
  <c r="AH336" i="2" s="1"/>
  <c r="AI336" i="2" s="1"/>
  <c r="AJ336" i="2" s="1"/>
  <c r="AK336" i="2" s="1"/>
  <c r="AL336" i="2" s="1"/>
  <c r="AM336" i="2" s="1"/>
  <c r="AN336" i="2" s="1"/>
  <c r="AO336" i="2" s="1"/>
  <c r="AP336" i="2" s="1"/>
  <c r="AQ336" i="2" s="1"/>
  <c r="AR336" i="2" s="1"/>
  <c r="AS336" i="2" s="1"/>
  <c r="AT336" i="2" s="1"/>
  <c r="AU336" i="2" s="1"/>
  <c r="AV336" i="2" s="1"/>
  <c r="AW336" i="2" s="1"/>
  <c r="AX336" i="2" s="1"/>
  <c r="AY336" i="2" s="1"/>
  <c r="AZ336" i="2" s="1"/>
  <c r="BA336" i="2" s="1"/>
  <c r="BB336" i="2" s="1"/>
  <c r="BC336" i="2" s="1"/>
  <c r="BD336" i="2" s="1"/>
  <c r="BE336" i="2" s="1"/>
  <c r="BF336" i="2" s="1"/>
  <c r="BG336" i="2" s="1"/>
  <c r="BH336" i="2" s="1"/>
  <c r="BI336" i="2" s="1"/>
  <c r="BJ336" i="2" s="1"/>
  <c r="BK336" i="2" s="1"/>
  <c r="BL336" i="2" s="1"/>
  <c r="BM336" i="2" s="1"/>
  <c r="BN336" i="2" s="1"/>
  <c r="BO336" i="2" s="1"/>
  <c r="BP336" i="2" s="1"/>
  <c r="BQ336" i="2" s="1"/>
  <c r="BR336" i="2" s="1"/>
  <c r="BS336" i="2" s="1"/>
  <c r="BT336" i="2" s="1"/>
  <c r="BU336" i="2" s="1"/>
  <c r="BV336" i="2" s="1"/>
  <c r="BW336" i="2" s="1"/>
  <c r="BX336" i="2" s="1"/>
  <c r="BY336" i="2" s="1"/>
  <c r="BZ336" i="2" s="1"/>
  <c r="CA336" i="2" s="1"/>
  <c r="CB336" i="2" s="1"/>
  <c r="CC336" i="2" s="1"/>
  <c r="CD336" i="2" s="1"/>
  <c r="CE336" i="2" s="1"/>
  <c r="CF336" i="2" s="1"/>
  <c r="CG336" i="2" s="1"/>
  <c r="CH336" i="2" s="1"/>
  <c r="CI336" i="2" s="1"/>
  <c r="CJ336" i="2" s="1"/>
  <c r="CK336" i="2" s="1"/>
  <c r="CL336" i="2" s="1"/>
  <c r="CM336" i="2" s="1"/>
  <c r="CN336" i="2" s="1"/>
  <c r="CO336" i="2" s="1"/>
  <c r="CP336" i="2" s="1"/>
  <c r="CQ336" i="2" s="1"/>
  <c r="CR336" i="2" s="1"/>
  <c r="CQ328" i="2"/>
  <c r="CP328" i="2"/>
  <c r="CO328" i="2"/>
  <c r="CN328" i="2"/>
  <c r="CL328" i="2"/>
  <c r="CK328" i="2"/>
  <c r="CJ328" i="2"/>
  <c r="CI328" i="2"/>
  <c r="CG328" i="2"/>
  <c r="CF328" i="2"/>
  <c r="CE328" i="2"/>
  <c r="CD328" i="2"/>
  <c r="CB328" i="2"/>
  <c r="CA328" i="2"/>
  <c r="BZ328" i="2"/>
  <c r="BY328" i="2"/>
  <c r="BW328" i="2"/>
  <c r="BV328" i="2"/>
  <c r="BU328" i="2"/>
  <c r="BT328" i="2"/>
  <c r="BR328" i="2"/>
  <c r="BQ328" i="2"/>
  <c r="BP328" i="2"/>
  <c r="BO328" i="2"/>
  <c r="BM328" i="2"/>
  <c r="BL328" i="2"/>
  <c r="BK328" i="2"/>
  <c r="BJ328" i="2"/>
  <c r="BH328" i="2"/>
  <c r="BG328" i="2"/>
  <c r="BF328" i="2"/>
  <c r="BE328" i="2"/>
  <c r="BC328" i="2"/>
  <c r="BB328" i="2"/>
  <c r="BA328" i="2"/>
  <c r="AZ328" i="2"/>
  <c r="AX328" i="2"/>
  <c r="AW328" i="2"/>
  <c r="AV328" i="2"/>
  <c r="AU328" i="2"/>
  <c r="AS328" i="2"/>
  <c r="AR328" i="2"/>
  <c r="AQ328" i="2"/>
  <c r="AP328" i="2"/>
  <c r="AN328" i="2"/>
  <c r="AM328" i="2"/>
  <c r="AL328" i="2"/>
  <c r="AK328" i="2"/>
  <c r="AI328" i="2"/>
  <c r="AH328" i="2"/>
  <c r="AG328" i="2"/>
  <c r="AF328" i="2"/>
  <c r="AJ328" i="2" s="1"/>
  <c r="AD328" i="2"/>
  <c r="AC328" i="2"/>
  <c r="AB328" i="2"/>
  <c r="AA328" i="2"/>
  <c r="Y328" i="2"/>
  <c r="X328" i="2"/>
  <c r="W328" i="2"/>
  <c r="V328" i="2"/>
  <c r="T328" i="2"/>
  <c r="S328" i="2"/>
  <c r="R328" i="2"/>
  <c r="Q328" i="2"/>
  <c r="O328" i="2"/>
  <c r="N328" i="2"/>
  <c r="M328" i="2"/>
  <c r="L328" i="2"/>
  <c r="P328" i="2" s="1"/>
  <c r="J328" i="2"/>
  <c r="I328" i="2"/>
  <c r="H328" i="2"/>
  <c r="G328" i="2"/>
  <c r="E328" i="2"/>
  <c r="D328" i="2"/>
  <c r="C328" i="2"/>
  <c r="B328" i="2"/>
  <c r="CQ326" i="2"/>
  <c r="CP326" i="2"/>
  <c r="CO326" i="2"/>
  <c r="CN326" i="2"/>
  <c r="CL326" i="2"/>
  <c r="CK326" i="2"/>
  <c r="CJ326" i="2"/>
  <c r="CI326" i="2"/>
  <c r="CG326" i="2"/>
  <c r="CF326" i="2"/>
  <c r="CE326" i="2"/>
  <c r="CD326" i="2"/>
  <c r="CB326" i="2"/>
  <c r="CA326" i="2"/>
  <c r="BZ326" i="2"/>
  <c r="BY326" i="2"/>
  <c r="BW326" i="2"/>
  <c r="BV326" i="2"/>
  <c r="BU326" i="2"/>
  <c r="BT326" i="2"/>
  <c r="BR326" i="2"/>
  <c r="BQ326" i="2"/>
  <c r="BP326" i="2"/>
  <c r="BO326" i="2"/>
  <c r="BM326" i="2"/>
  <c r="BL326" i="2"/>
  <c r="BK326" i="2"/>
  <c r="BJ326" i="2"/>
  <c r="BN326" i="2" s="1"/>
  <c r="BH326" i="2"/>
  <c r="BG326" i="2"/>
  <c r="BF326" i="2"/>
  <c r="BE326" i="2"/>
  <c r="BC326" i="2"/>
  <c r="BB326" i="2"/>
  <c r="BA326" i="2"/>
  <c r="AZ326" i="2"/>
  <c r="AX326" i="2"/>
  <c r="AW326" i="2"/>
  <c r="AV326" i="2"/>
  <c r="AU326" i="2"/>
  <c r="AS326" i="2"/>
  <c r="AR326" i="2"/>
  <c r="AQ326" i="2"/>
  <c r="AP326" i="2"/>
  <c r="AN326" i="2"/>
  <c r="AM326" i="2"/>
  <c r="AL326" i="2"/>
  <c r="AK326" i="2"/>
  <c r="AI326" i="2"/>
  <c r="AH326" i="2"/>
  <c r="AG326" i="2"/>
  <c r="AF326" i="2"/>
  <c r="AD326" i="2"/>
  <c r="AC326" i="2"/>
  <c r="AB326" i="2"/>
  <c r="AA326" i="2"/>
  <c r="Y326" i="2"/>
  <c r="X326" i="2"/>
  <c r="W326" i="2"/>
  <c r="V326" i="2"/>
  <c r="Z326" i="2" s="1"/>
  <c r="T326" i="2"/>
  <c r="S326" i="2"/>
  <c r="R326" i="2"/>
  <c r="Q326" i="2"/>
  <c r="O326" i="2"/>
  <c r="N326" i="2"/>
  <c r="M326" i="2"/>
  <c r="L326" i="2"/>
  <c r="J326" i="2"/>
  <c r="I326" i="2"/>
  <c r="H326" i="2"/>
  <c r="G326" i="2"/>
  <c r="E326" i="2"/>
  <c r="D326" i="2"/>
  <c r="C326" i="2"/>
  <c r="B326" i="2"/>
  <c r="B324" i="2"/>
  <c r="C324" i="2" s="1"/>
  <c r="D324" i="2" s="1"/>
  <c r="E324" i="2" s="1"/>
  <c r="F324" i="2" s="1"/>
  <c r="G324" i="2" s="1"/>
  <c r="H324" i="2" s="1"/>
  <c r="I324" i="2" s="1"/>
  <c r="J324" i="2" s="1"/>
  <c r="K324" i="2" s="1"/>
  <c r="L324" i="2" s="1"/>
  <c r="M324" i="2" s="1"/>
  <c r="N324" i="2" s="1"/>
  <c r="O324" i="2" s="1"/>
  <c r="P324" i="2" s="1"/>
  <c r="Q324" i="2" s="1"/>
  <c r="R324" i="2" s="1"/>
  <c r="S324" i="2" s="1"/>
  <c r="T324" i="2" s="1"/>
  <c r="U324" i="2" s="1"/>
  <c r="V324" i="2" s="1"/>
  <c r="W324" i="2" s="1"/>
  <c r="X324" i="2" s="1"/>
  <c r="Y324" i="2" s="1"/>
  <c r="Z324" i="2" s="1"/>
  <c r="AA324" i="2" s="1"/>
  <c r="AB324" i="2" s="1"/>
  <c r="AC324" i="2" s="1"/>
  <c r="AD324" i="2" s="1"/>
  <c r="AE324" i="2" s="1"/>
  <c r="AF324" i="2" s="1"/>
  <c r="AG324" i="2" s="1"/>
  <c r="AH324" i="2" s="1"/>
  <c r="AI324" i="2" s="1"/>
  <c r="AJ324" i="2" s="1"/>
  <c r="AK324" i="2" s="1"/>
  <c r="AL324" i="2" s="1"/>
  <c r="AM324" i="2" s="1"/>
  <c r="AN324" i="2" s="1"/>
  <c r="AO324" i="2" s="1"/>
  <c r="AP324" i="2" s="1"/>
  <c r="AQ324" i="2" s="1"/>
  <c r="AR324" i="2" s="1"/>
  <c r="AS324" i="2" s="1"/>
  <c r="AT324" i="2" s="1"/>
  <c r="AU324" i="2" s="1"/>
  <c r="AV324" i="2" s="1"/>
  <c r="AW324" i="2" s="1"/>
  <c r="AX324" i="2" s="1"/>
  <c r="AY324" i="2" s="1"/>
  <c r="AZ324" i="2" s="1"/>
  <c r="BA324" i="2" s="1"/>
  <c r="BB324" i="2" s="1"/>
  <c r="BC324" i="2" s="1"/>
  <c r="BD324" i="2" s="1"/>
  <c r="BE324" i="2" s="1"/>
  <c r="BF324" i="2" s="1"/>
  <c r="BG324" i="2" s="1"/>
  <c r="BH324" i="2" s="1"/>
  <c r="BI324" i="2" s="1"/>
  <c r="BJ324" i="2" s="1"/>
  <c r="BK324" i="2" s="1"/>
  <c r="BL324" i="2" s="1"/>
  <c r="BM324" i="2" s="1"/>
  <c r="BN324" i="2" s="1"/>
  <c r="BO324" i="2" s="1"/>
  <c r="BP324" i="2" s="1"/>
  <c r="BQ324" i="2" s="1"/>
  <c r="BR324" i="2" s="1"/>
  <c r="BS324" i="2" s="1"/>
  <c r="BT324" i="2" s="1"/>
  <c r="BU324" i="2" s="1"/>
  <c r="BV324" i="2" s="1"/>
  <c r="BW324" i="2" s="1"/>
  <c r="BX324" i="2" s="1"/>
  <c r="BY324" i="2" s="1"/>
  <c r="BZ324" i="2" s="1"/>
  <c r="CA324" i="2" s="1"/>
  <c r="CB324" i="2" s="1"/>
  <c r="CC324" i="2" s="1"/>
  <c r="CD324" i="2" s="1"/>
  <c r="CE324" i="2" s="1"/>
  <c r="CF324" i="2" s="1"/>
  <c r="CG324" i="2" s="1"/>
  <c r="CH324" i="2" s="1"/>
  <c r="CI324" i="2" s="1"/>
  <c r="CJ324" i="2" s="1"/>
  <c r="CK324" i="2" s="1"/>
  <c r="CL324" i="2" s="1"/>
  <c r="CM324" i="2" s="1"/>
  <c r="CN324" i="2" s="1"/>
  <c r="CO324" i="2" s="1"/>
  <c r="CP324" i="2" s="1"/>
  <c r="CQ324" i="2" s="1"/>
  <c r="CR324" i="2" s="1"/>
  <c r="B292" i="2"/>
  <c r="C292" i="2" s="1"/>
  <c r="D292" i="2" s="1"/>
  <c r="E292" i="2" s="1"/>
  <c r="F292" i="2" s="1"/>
  <c r="G292" i="2" s="1"/>
  <c r="H292" i="2" s="1"/>
  <c r="I292" i="2" s="1"/>
  <c r="J292" i="2" s="1"/>
  <c r="K292" i="2" s="1"/>
  <c r="L292" i="2" s="1"/>
  <c r="M292" i="2" s="1"/>
  <c r="N292" i="2" s="1"/>
  <c r="O292" i="2" s="1"/>
  <c r="P292" i="2" s="1"/>
  <c r="Q292" i="2" s="1"/>
  <c r="R292" i="2" s="1"/>
  <c r="S292" i="2" s="1"/>
  <c r="T292" i="2" s="1"/>
  <c r="U292" i="2" s="1"/>
  <c r="V292" i="2" s="1"/>
  <c r="W292" i="2" s="1"/>
  <c r="X292" i="2" s="1"/>
  <c r="Y292" i="2" s="1"/>
  <c r="Z292" i="2" s="1"/>
  <c r="AA292" i="2" s="1"/>
  <c r="AB292" i="2" s="1"/>
  <c r="AC292" i="2" s="1"/>
  <c r="AD292" i="2" s="1"/>
  <c r="AE292" i="2" s="1"/>
  <c r="AF292" i="2" s="1"/>
  <c r="AG292" i="2" s="1"/>
  <c r="AH292" i="2" s="1"/>
  <c r="AI292" i="2" s="1"/>
  <c r="AJ292" i="2" s="1"/>
  <c r="AK292" i="2" s="1"/>
  <c r="AL292" i="2" s="1"/>
  <c r="AM292" i="2" s="1"/>
  <c r="AN292" i="2" s="1"/>
  <c r="AO292" i="2" s="1"/>
  <c r="AP292" i="2" s="1"/>
  <c r="AQ292" i="2" s="1"/>
  <c r="AR292" i="2" s="1"/>
  <c r="AS292" i="2" s="1"/>
  <c r="AT292" i="2" s="1"/>
  <c r="AU292" i="2" s="1"/>
  <c r="AV292" i="2" s="1"/>
  <c r="AW292" i="2" s="1"/>
  <c r="AX292" i="2" s="1"/>
  <c r="AY292" i="2" s="1"/>
  <c r="AZ292" i="2" s="1"/>
  <c r="BA292" i="2" s="1"/>
  <c r="BB292" i="2" s="1"/>
  <c r="BC292" i="2" s="1"/>
  <c r="BD292" i="2" s="1"/>
  <c r="BE292" i="2" s="1"/>
  <c r="BF292" i="2" s="1"/>
  <c r="BG292" i="2" s="1"/>
  <c r="BH292" i="2" s="1"/>
  <c r="BI292" i="2" s="1"/>
  <c r="BJ292" i="2" s="1"/>
  <c r="BK292" i="2" s="1"/>
  <c r="BL292" i="2" s="1"/>
  <c r="BM292" i="2" s="1"/>
  <c r="BN292" i="2" s="1"/>
  <c r="BO292" i="2" s="1"/>
  <c r="BP292" i="2" s="1"/>
  <c r="BQ292" i="2" s="1"/>
  <c r="BR292" i="2" s="1"/>
  <c r="BS292" i="2" s="1"/>
  <c r="BT292" i="2" s="1"/>
  <c r="BU292" i="2" s="1"/>
  <c r="BV292" i="2" s="1"/>
  <c r="BW292" i="2" s="1"/>
  <c r="BX292" i="2" s="1"/>
  <c r="BY292" i="2" s="1"/>
  <c r="BZ292" i="2" s="1"/>
  <c r="CA292" i="2" s="1"/>
  <c r="CB292" i="2" s="1"/>
  <c r="CC292" i="2" s="1"/>
  <c r="CD292" i="2" s="1"/>
  <c r="CE292" i="2" s="1"/>
  <c r="CF292" i="2" s="1"/>
  <c r="CG292" i="2" s="1"/>
  <c r="CH292" i="2" s="1"/>
  <c r="CI292" i="2" s="1"/>
  <c r="CJ292" i="2" s="1"/>
  <c r="CK292" i="2" s="1"/>
  <c r="CL292" i="2" s="1"/>
  <c r="CM292" i="2" s="1"/>
  <c r="CN292" i="2" s="1"/>
  <c r="CO292" i="2" s="1"/>
  <c r="CP292" i="2" s="1"/>
  <c r="CQ292" i="2" s="1"/>
  <c r="CR292" i="2" s="1"/>
  <c r="B260" i="2"/>
  <c r="C260" i="2" s="1"/>
  <c r="D260" i="2" s="1"/>
  <c r="E260" i="2" s="1"/>
  <c r="F260" i="2" s="1"/>
  <c r="G260" i="2" s="1"/>
  <c r="H260" i="2" s="1"/>
  <c r="I260" i="2" s="1"/>
  <c r="J260" i="2" s="1"/>
  <c r="K260" i="2" s="1"/>
  <c r="L260" i="2" s="1"/>
  <c r="M260" i="2" s="1"/>
  <c r="N260" i="2" s="1"/>
  <c r="O260" i="2" s="1"/>
  <c r="P260" i="2" s="1"/>
  <c r="Q260" i="2" s="1"/>
  <c r="R260" i="2" s="1"/>
  <c r="S260" i="2" s="1"/>
  <c r="T260" i="2" s="1"/>
  <c r="U260" i="2" s="1"/>
  <c r="V260" i="2" s="1"/>
  <c r="W260" i="2" s="1"/>
  <c r="X260" i="2" s="1"/>
  <c r="Y260" i="2" s="1"/>
  <c r="Z260" i="2" s="1"/>
  <c r="AA260" i="2" s="1"/>
  <c r="AB260" i="2" s="1"/>
  <c r="AC260" i="2" s="1"/>
  <c r="AD260" i="2" s="1"/>
  <c r="AE260" i="2" s="1"/>
  <c r="AF260" i="2" s="1"/>
  <c r="AG260" i="2" s="1"/>
  <c r="AH260" i="2" s="1"/>
  <c r="AI260" i="2" s="1"/>
  <c r="AJ260" i="2" s="1"/>
  <c r="AK260" i="2" s="1"/>
  <c r="AL260" i="2" s="1"/>
  <c r="AM260" i="2" s="1"/>
  <c r="AN260" i="2" s="1"/>
  <c r="AO260" i="2" s="1"/>
  <c r="AP260" i="2" s="1"/>
  <c r="AQ260" i="2" s="1"/>
  <c r="AR260" i="2" s="1"/>
  <c r="AS260" i="2" s="1"/>
  <c r="AT260" i="2" s="1"/>
  <c r="AU260" i="2" s="1"/>
  <c r="AV260" i="2" s="1"/>
  <c r="AW260" i="2" s="1"/>
  <c r="AX260" i="2" s="1"/>
  <c r="AY260" i="2" s="1"/>
  <c r="AZ260" i="2" s="1"/>
  <c r="BA260" i="2" s="1"/>
  <c r="BB260" i="2" s="1"/>
  <c r="BC260" i="2" s="1"/>
  <c r="BD260" i="2" s="1"/>
  <c r="BE260" i="2" s="1"/>
  <c r="BF260" i="2" s="1"/>
  <c r="BG260" i="2" s="1"/>
  <c r="BH260" i="2" s="1"/>
  <c r="BI260" i="2" s="1"/>
  <c r="BJ260" i="2" s="1"/>
  <c r="BK260" i="2" s="1"/>
  <c r="BL260" i="2" s="1"/>
  <c r="BM260" i="2" s="1"/>
  <c r="BN260" i="2" s="1"/>
  <c r="BO260" i="2" s="1"/>
  <c r="BP260" i="2" s="1"/>
  <c r="BQ260" i="2" s="1"/>
  <c r="BR260" i="2" s="1"/>
  <c r="BS260" i="2" s="1"/>
  <c r="BT260" i="2" s="1"/>
  <c r="BU260" i="2" s="1"/>
  <c r="BV260" i="2" s="1"/>
  <c r="BW260" i="2" s="1"/>
  <c r="BX260" i="2" s="1"/>
  <c r="BY260" i="2" s="1"/>
  <c r="BZ260" i="2" s="1"/>
  <c r="CA260" i="2" s="1"/>
  <c r="CB260" i="2" s="1"/>
  <c r="CC260" i="2" s="1"/>
  <c r="CD260" i="2" s="1"/>
  <c r="CE260" i="2" s="1"/>
  <c r="CF260" i="2" s="1"/>
  <c r="CG260" i="2" s="1"/>
  <c r="CH260" i="2" s="1"/>
  <c r="CI260" i="2" s="1"/>
  <c r="CJ260" i="2" s="1"/>
  <c r="CK260" i="2" s="1"/>
  <c r="CL260" i="2" s="1"/>
  <c r="CM260" i="2" s="1"/>
  <c r="CN260" i="2" s="1"/>
  <c r="CO260" i="2" s="1"/>
  <c r="CP260" i="2" s="1"/>
  <c r="CQ260" i="2" s="1"/>
  <c r="CR260" i="2" s="1"/>
  <c r="B228" i="2"/>
  <c r="C228" i="2" s="1"/>
  <c r="D228" i="2" s="1"/>
  <c r="E228" i="2" s="1"/>
  <c r="F228" i="2" s="1"/>
  <c r="G228" i="2" s="1"/>
  <c r="H228" i="2" s="1"/>
  <c r="I228" i="2" s="1"/>
  <c r="J228" i="2" s="1"/>
  <c r="K228" i="2" s="1"/>
  <c r="L228" i="2" s="1"/>
  <c r="M228" i="2" s="1"/>
  <c r="N228" i="2" s="1"/>
  <c r="O228" i="2" s="1"/>
  <c r="P228" i="2" s="1"/>
  <c r="Q228" i="2" s="1"/>
  <c r="R228" i="2" s="1"/>
  <c r="S228" i="2" s="1"/>
  <c r="T228" i="2" s="1"/>
  <c r="U228" i="2" s="1"/>
  <c r="V228" i="2" s="1"/>
  <c r="W228" i="2" s="1"/>
  <c r="X228" i="2" s="1"/>
  <c r="Y228" i="2" s="1"/>
  <c r="Z228" i="2" s="1"/>
  <c r="AA228" i="2" s="1"/>
  <c r="AB228" i="2" s="1"/>
  <c r="AC228" i="2" s="1"/>
  <c r="AD228" i="2" s="1"/>
  <c r="AE228" i="2" s="1"/>
  <c r="AF228" i="2" s="1"/>
  <c r="AG228" i="2" s="1"/>
  <c r="AH228" i="2" s="1"/>
  <c r="AI228" i="2" s="1"/>
  <c r="AJ228" i="2" s="1"/>
  <c r="AK228" i="2" s="1"/>
  <c r="AL228" i="2" s="1"/>
  <c r="AM228" i="2" s="1"/>
  <c r="AN228" i="2" s="1"/>
  <c r="AO228" i="2" s="1"/>
  <c r="AP228" i="2" s="1"/>
  <c r="AQ228" i="2" s="1"/>
  <c r="AR228" i="2" s="1"/>
  <c r="AS228" i="2" s="1"/>
  <c r="AT228" i="2" s="1"/>
  <c r="AU228" i="2" s="1"/>
  <c r="AV228" i="2" s="1"/>
  <c r="AW228" i="2" s="1"/>
  <c r="AX228" i="2" s="1"/>
  <c r="AY228" i="2" s="1"/>
  <c r="AZ228" i="2" s="1"/>
  <c r="BA228" i="2" s="1"/>
  <c r="BB228" i="2" s="1"/>
  <c r="BC228" i="2" s="1"/>
  <c r="BD228" i="2" s="1"/>
  <c r="BE228" i="2" s="1"/>
  <c r="BF228" i="2" s="1"/>
  <c r="BG228" i="2" s="1"/>
  <c r="BH228" i="2" s="1"/>
  <c r="BI228" i="2" s="1"/>
  <c r="BJ228" i="2" s="1"/>
  <c r="BK228" i="2" s="1"/>
  <c r="BL228" i="2" s="1"/>
  <c r="BM228" i="2" s="1"/>
  <c r="BN228" i="2" s="1"/>
  <c r="BO228" i="2" s="1"/>
  <c r="BP228" i="2" s="1"/>
  <c r="BQ228" i="2" s="1"/>
  <c r="BR228" i="2" s="1"/>
  <c r="BS228" i="2" s="1"/>
  <c r="BT228" i="2" s="1"/>
  <c r="BU228" i="2" s="1"/>
  <c r="BV228" i="2" s="1"/>
  <c r="BW228" i="2" s="1"/>
  <c r="BX228" i="2" s="1"/>
  <c r="BY228" i="2" s="1"/>
  <c r="BZ228" i="2" s="1"/>
  <c r="CA228" i="2" s="1"/>
  <c r="CB228" i="2" s="1"/>
  <c r="CC228" i="2" s="1"/>
  <c r="CD228" i="2" s="1"/>
  <c r="CE228" i="2" s="1"/>
  <c r="CF228" i="2" s="1"/>
  <c r="CG228" i="2" s="1"/>
  <c r="CH228" i="2" s="1"/>
  <c r="CI228" i="2" s="1"/>
  <c r="CJ228" i="2" s="1"/>
  <c r="CK228" i="2" s="1"/>
  <c r="CL228" i="2" s="1"/>
  <c r="CM228" i="2" s="1"/>
  <c r="CN228" i="2" s="1"/>
  <c r="CO228" i="2" s="1"/>
  <c r="CP228" i="2" s="1"/>
  <c r="CQ228" i="2" s="1"/>
  <c r="CR228" i="2" s="1"/>
  <c r="B196" i="2"/>
  <c r="C196" i="2" s="1"/>
  <c r="D196" i="2" s="1"/>
  <c r="E196" i="2" s="1"/>
  <c r="F196" i="2" s="1"/>
  <c r="G196" i="2" s="1"/>
  <c r="H196" i="2" s="1"/>
  <c r="I196" i="2" s="1"/>
  <c r="J196" i="2" s="1"/>
  <c r="K196" i="2" s="1"/>
  <c r="L196" i="2" s="1"/>
  <c r="M196" i="2" s="1"/>
  <c r="N196" i="2" s="1"/>
  <c r="O196" i="2" s="1"/>
  <c r="P196" i="2" s="1"/>
  <c r="Q196" i="2" s="1"/>
  <c r="R196" i="2" s="1"/>
  <c r="S196" i="2" s="1"/>
  <c r="T196" i="2" s="1"/>
  <c r="U196" i="2" s="1"/>
  <c r="V196" i="2" s="1"/>
  <c r="W196" i="2" s="1"/>
  <c r="X196" i="2" s="1"/>
  <c r="Y196" i="2" s="1"/>
  <c r="Z196" i="2" s="1"/>
  <c r="AA196" i="2" s="1"/>
  <c r="AB196" i="2" s="1"/>
  <c r="AC196" i="2" s="1"/>
  <c r="AD196" i="2" s="1"/>
  <c r="AE196" i="2" s="1"/>
  <c r="AF196" i="2" s="1"/>
  <c r="AG196" i="2" s="1"/>
  <c r="AH196" i="2" s="1"/>
  <c r="AI196" i="2" s="1"/>
  <c r="AJ196" i="2" s="1"/>
  <c r="AK196" i="2" s="1"/>
  <c r="AL196" i="2" s="1"/>
  <c r="AM196" i="2" s="1"/>
  <c r="AN196" i="2" s="1"/>
  <c r="AO196" i="2" s="1"/>
  <c r="AP196" i="2" s="1"/>
  <c r="AQ196" i="2" s="1"/>
  <c r="AR196" i="2" s="1"/>
  <c r="AS196" i="2" s="1"/>
  <c r="AT196" i="2" s="1"/>
  <c r="AU196" i="2" s="1"/>
  <c r="AV196" i="2" s="1"/>
  <c r="AW196" i="2" s="1"/>
  <c r="AX196" i="2" s="1"/>
  <c r="AY196" i="2" s="1"/>
  <c r="AZ196" i="2" s="1"/>
  <c r="BA196" i="2" s="1"/>
  <c r="BB196" i="2" s="1"/>
  <c r="BC196" i="2" s="1"/>
  <c r="BD196" i="2" s="1"/>
  <c r="BE196" i="2" s="1"/>
  <c r="BF196" i="2" s="1"/>
  <c r="BG196" i="2" s="1"/>
  <c r="BH196" i="2" s="1"/>
  <c r="BI196" i="2" s="1"/>
  <c r="BJ196" i="2" s="1"/>
  <c r="BK196" i="2" s="1"/>
  <c r="BL196" i="2" s="1"/>
  <c r="BM196" i="2" s="1"/>
  <c r="BN196" i="2" s="1"/>
  <c r="BO196" i="2" s="1"/>
  <c r="BP196" i="2" s="1"/>
  <c r="BQ196" i="2" s="1"/>
  <c r="BR196" i="2" s="1"/>
  <c r="BS196" i="2" s="1"/>
  <c r="BT196" i="2" s="1"/>
  <c r="BU196" i="2" s="1"/>
  <c r="BV196" i="2" s="1"/>
  <c r="BW196" i="2" s="1"/>
  <c r="BX196" i="2" s="1"/>
  <c r="BY196" i="2" s="1"/>
  <c r="BZ196" i="2" s="1"/>
  <c r="CA196" i="2" s="1"/>
  <c r="CB196" i="2" s="1"/>
  <c r="CC196" i="2" s="1"/>
  <c r="CD196" i="2" s="1"/>
  <c r="CE196" i="2" s="1"/>
  <c r="CF196" i="2" s="1"/>
  <c r="CG196" i="2" s="1"/>
  <c r="CH196" i="2" s="1"/>
  <c r="CI196" i="2" s="1"/>
  <c r="CJ196" i="2" s="1"/>
  <c r="CK196" i="2" s="1"/>
  <c r="CL196" i="2" s="1"/>
  <c r="CM196" i="2" s="1"/>
  <c r="CN196" i="2" s="1"/>
  <c r="CO196" i="2" s="1"/>
  <c r="CP196" i="2" s="1"/>
  <c r="CQ196" i="2" s="1"/>
  <c r="CR196" i="2" s="1"/>
  <c r="CQ187" i="2"/>
  <c r="CP187" i="2"/>
  <c r="CO187" i="2"/>
  <c r="CN187" i="2"/>
  <c r="CL187" i="2"/>
  <c r="CK187" i="2"/>
  <c r="CJ187" i="2"/>
  <c r="CI187" i="2"/>
  <c r="CG187" i="2"/>
  <c r="CF187" i="2"/>
  <c r="CE187" i="2"/>
  <c r="CD187" i="2"/>
  <c r="CB187" i="2"/>
  <c r="CA187" i="2"/>
  <c r="BZ187" i="2"/>
  <c r="BY187" i="2"/>
  <c r="BW187" i="2"/>
  <c r="BV187" i="2"/>
  <c r="BU187" i="2"/>
  <c r="BT187" i="2"/>
  <c r="BR187" i="2"/>
  <c r="BQ187" i="2"/>
  <c r="BP187" i="2"/>
  <c r="BO187" i="2"/>
  <c r="BM187" i="2"/>
  <c r="BL187" i="2"/>
  <c r="BK187" i="2"/>
  <c r="BJ187" i="2"/>
  <c r="BH187" i="2"/>
  <c r="BG187" i="2"/>
  <c r="BF187" i="2"/>
  <c r="BE187" i="2"/>
  <c r="BC187" i="2"/>
  <c r="BB187" i="2"/>
  <c r="BA187" i="2"/>
  <c r="AZ187" i="2"/>
  <c r="AX187" i="2"/>
  <c r="AW187" i="2"/>
  <c r="AV187" i="2"/>
  <c r="AU187" i="2"/>
  <c r="AS187" i="2"/>
  <c r="AR187" i="2"/>
  <c r="AQ187" i="2"/>
  <c r="AQ251" i="2" s="1"/>
  <c r="AP187" i="2"/>
  <c r="AN187" i="2"/>
  <c r="AM187" i="2"/>
  <c r="AM251" i="2" s="1"/>
  <c r="AL187" i="2"/>
  <c r="AK187" i="2"/>
  <c r="AI187" i="2"/>
  <c r="AH187" i="2"/>
  <c r="AG187" i="2"/>
  <c r="AF187" i="2"/>
  <c r="AD187" i="2"/>
  <c r="AC187" i="2"/>
  <c r="AB187" i="2"/>
  <c r="AA187" i="2"/>
  <c r="Y187" i="2"/>
  <c r="Y219" i="2" s="1"/>
  <c r="X187" i="2"/>
  <c r="W187" i="2"/>
  <c r="V187" i="2"/>
  <c r="T187" i="2"/>
  <c r="S187" i="2"/>
  <c r="R187" i="2"/>
  <c r="Q187" i="2"/>
  <c r="O187" i="2"/>
  <c r="N187" i="2"/>
  <c r="M187" i="2"/>
  <c r="L187" i="2"/>
  <c r="J187" i="2"/>
  <c r="I187" i="2"/>
  <c r="H187" i="2"/>
  <c r="G187" i="2"/>
  <c r="E187" i="2"/>
  <c r="D187" i="2"/>
  <c r="C187" i="2"/>
  <c r="B187" i="2"/>
  <c r="CQ185" i="2"/>
  <c r="CP185" i="2"/>
  <c r="CO185" i="2"/>
  <c r="CN185" i="2"/>
  <c r="CL185" i="2"/>
  <c r="CK185" i="2"/>
  <c r="CJ185" i="2"/>
  <c r="CI185" i="2"/>
  <c r="CG185" i="2"/>
  <c r="CF185" i="2"/>
  <c r="CE185" i="2"/>
  <c r="CD185" i="2"/>
  <c r="CB185" i="2"/>
  <c r="CA185" i="2"/>
  <c r="BZ185" i="2"/>
  <c r="BY185" i="2"/>
  <c r="BW185" i="2"/>
  <c r="BV185" i="2"/>
  <c r="BU185" i="2"/>
  <c r="BT185" i="2"/>
  <c r="BR185" i="2"/>
  <c r="BQ185" i="2"/>
  <c r="BP185" i="2"/>
  <c r="BO185" i="2"/>
  <c r="BM185" i="2"/>
  <c r="BL185" i="2"/>
  <c r="BK185" i="2"/>
  <c r="BJ185" i="2"/>
  <c r="BH185" i="2"/>
  <c r="BG185" i="2"/>
  <c r="BF185" i="2"/>
  <c r="BE185" i="2"/>
  <c r="BC185" i="2"/>
  <c r="BB185" i="2"/>
  <c r="BA185" i="2"/>
  <c r="AZ185" i="2"/>
  <c r="AX185" i="2"/>
  <c r="AW185" i="2"/>
  <c r="AV185" i="2"/>
  <c r="AU185" i="2"/>
  <c r="AS185" i="2"/>
  <c r="AR185" i="2"/>
  <c r="AQ185" i="2"/>
  <c r="AP185" i="2"/>
  <c r="AN185" i="2"/>
  <c r="AM185" i="2"/>
  <c r="AL185" i="2"/>
  <c r="AK185" i="2"/>
  <c r="AI185" i="2"/>
  <c r="AH185" i="2"/>
  <c r="AG185" i="2"/>
  <c r="AF185" i="2"/>
  <c r="AD185" i="2"/>
  <c r="AC185" i="2"/>
  <c r="AB185" i="2"/>
  <c r="AA185" i="2"/>
  <c r="Y185" i="2"/>
  <c r="X185" i="2"/>
  <c r="W185" i="2"/>
  <c r="V185" i="2"/>
  <c r="T185" i="2"/>
  <c r="S185" i="2"/>
  <c r="R185" i="2"/>
  <c r="Q185" i="2"/>
  <c r="O185" i="2"/>
  <c r="N185" i="2"/>
  <c r="M185" i="2"/>
  <c r="L185" i="2"/>
  <c r="J185" i="2"/>
  <c r="I185" i="2"/>
  <c r="H185" i="2"/>
  <c r="G185" i="2"/>
  <c r="E185" i="2"/>
  <c r="D185" i="2"/>
  <c r="D217" i="2" s="1"/>
  <c r="C185" i="2"/>
  <c r="B185" i="2"/>
  <c r="CQ183" i="2"/>
  <c r="CP183" i="2"/>
  <c r="CO183" i="2"/>
  <c r="CN183" i="2"/>
  <c r="CL183" i="2"/>
  <c r="CK183" i="2"/>
  <c r="CJ183" i="2"/>
  <c r="CI183" i="2"/>
  <c r="CG183" i="2"/>
  <c r="CF183" i="2"/>
  <c r="CE183" i="2"/>
  <c r="CD183" i="2"/>
  <c r="CB183" i="2"/>
  <c r="CA183" i="2"/>
  <c r="BZ183" i="2"/>
  <c r="BY183" i="2"/>
  <c r="BW183" i="2"/>
  <c r="BV183" i="2"/>
  <c r="BU183" i="2"/>
  <c r="BT183" i="2"/>
  <c r="BR183" i="2"/>
  <c r="BQ183" i="2"/>
  <c r="BP183" i="2"/>
  <c r="BO183" i="2"/>
  <c r="BM183" i="2"/>
  <c r="BL183" i="2"/>
  <c r="BK183" i="2"/>
  <c r="BJ183" i="2"/>
  <c r="BH183" i="2"/>
  <c r="BG183" i="2"/>
  <c r="BF183" i="2"/>
  <c r="BE183" i="2"/>
  <c r="BC183" i="2"/>
  <c r="BB183" i="2"/>
  <c r="BA183" i="2"/>
  <c r="AZ183" i="2"/>
  <c r="AX183" i="2"/>
  <c r="AX215" i="2" s="1"/>
  <c r="AW183" i="2"/>
  <c r="AV183" i="2"/>
  <c r="AU183" i="2"/>
  <c r="AS183" i="2"/>
  <c r="AR183" i="2"/>
  <c r="AQ183" i="2"/>
  <c r="AP183" i="2"/>
  <c r="AN183" i="2"/>
  <c r="AM183" i="2"/>
  <c r="AL183" i="2"/>
  <c r="AK183" i="2"/>
  <c r="AI183" i="2"/>
  <c r="AH183" i="2"/>
  <c r="AG183" i="2"/>
  <c r="AF183" i="2"/>
  <c r="AD183" i="2"/>
  <c r="AC183" i="2"/>
  <c r="AB183" i="2"/>
  <c r="AA183" i="2"/>
  <c r="Y183" i="2"/>
  <c r="X183" i="2"/>
  <c r="W183" i="2"/>
  <c r="V183" i="2"/>
  <c r="T183" i="2"/>
  <c r="S183" i="2"/>
  <c r="R183" i="2"/>
  <c r="Q183" i="2"/>
  <c r="O183" i="2"/>
  <c r="N183" i="2"/>
  <c r="M183" i="2"/>
  <c r="L183" i="2"/>
  <c r="J183" i="2"/>
  <c r="I183" i="2"/>
  <c r="H183" i="2"/>
  <c r="G183" i="2"/>
  <c r="E183" i="2"/>
  <c r="E215" i="2" s="1"/>
  <c r="D183" i="2"/>
  <c r="C183" i="2"/>
  <c r="B183" i="2"/>
  <c r="CQ181" i="2"/>
  <c r="CP181" i="2"/>
  <c r="CO181" i="2"/>
  <c r="CN181" i="2"/>
  <c r="CL181" i="2"/>
  <c r="CK181" i="2"/>
  <c r="CJ181" i="2"/>
  <c r="CI181" i="2"/>
  <c r="CG181" i="2"/>
  <c r="CG213" i="2" s="1"/>
  <c r="CF181" i="2"/>
  <c r="CE181" i="2"/>
  <c r="CD181" i="2"/>
  <c r="CB181" i="2"/>
  <c r="CA181" i="2"/>
  <c r="BZ181" i="2"/>
  <c r="BY181" i="2"/>
  <c r="BW181" i="2"/>
  <c r="BV181" i="2"/>
  <c r="BU181" i="2"/>
  <c r="BT181" i="2"/>
  <c r="BR181" i="2"/>
  <c r="BQ181" i="2"/>
  <c r="BQ213" i="2" s="1"/>
  <c r="BP181" i="2"/>
  <c r="BO181" i="2"/>
  <c r="BM181" i="2"/>
  <c r="BL181" i="2"/>
  <c r="BK181" i="2"/>
  <c r="BJ181" i="2"/>
  <c r="BH181" i="2"/>
  <c r="BG181" i="2"/>
  <c r="BF181" i="2"/>
  <c r="BE181" i="2"/>
  <c r="BC181" i="2"/>
  <c r="BB181" i="2"/>
  <c r="BA181" i="2"/>
  <c r="BA245" i="2" s="1"/>
  <c r="AZ181" i="2"/>
  <c r="AX181" i="2"/>
  <c r="AW181" i="2"/>
  <c r="AV181" i="2"/>
  <c r="AU181" i="2"/>
  <c r="AS181" i="2"/>
  <c r="AR181" i="2"/>
  <c r="AQ181" i="2"/>
  <c r="AP181" i="2"/>
  <c r="AN181" i="2"/>
  <c r="AM181" i="2"/>
  <c r="AL181" i="2"/>
  <c r="AK181" i="2"/>
  <c r="AI181" i="2"/>
  <c r="AH181" i="2"/>
  <c r="AG181" i="2"/>
  <c r="AF181" i="2"/>
  <c r="AD181" i="2"/>
  <c r="AC181" i="2"/>
  <c r="AB181" i="2"/>
  <c r="AA181" i="2"/>
  <c r="Y181" i="2"/>
  <c r="X181" i="2"/>
  <c r="W181" i="2"/>
  <c r="V181" i="2"/>
  <c r="T181" i="2"/>
  <c r="S181" i="2"/>
  <c r="R181" i="2"/>
  <c r="Q181" i="2"/>
  <c r="O181" i="2"/>
  <c r="N181" i="2"/>
  <c r="M181" i="2"/>
  <c r="L181" i="2"/>
  <c r="J181" i="2"/>
  <c r="I181" i="2"/>
  <c r="H181" i="2"/>
  <c r="G181" i="2"/>
  <c r="E181" i="2"/>
  <c r="D181" i="2"/>
  <c r="C181" i="2"/>
  <c r="B181" i="2"/>
  <c r="CQ180" i="2"/>
  <c r="CP180" i="2"/>
  <c r="CO180" i="2"/>
  <c r="CN180" i="2"/>
  <c r="CL180" i="2"/>
  <c r="CK180" i="2"/>
  <c r="CJ180" i="2"/>
  <c r="CJ212" i="2" s="1"/>
  <c r="CI180" i="2"/>
  <c r="CG180" i="2"/>
  <c r="CF180" i="2"/>
  <c r="CE180" i="2"/>
  <c r="CD180" i="2"/>
  <c r="CB180" i="2"/>
  <c r="CA180" i="2"/>
  <c r="BZ180" i="2"/>
  <c r="BY180" i="2"/>
  <c r="BW180" i="2"/>
  <c r="BV180" i="2"/>
  <c r="BU180" i="2"/>
  <c r="BT180" i="2"/>
  <c r="BR180" i="2"/>
  <c r="BQ180" i="2"/>
  <c r="BP180" i="2"/>
  <c r="BO180" i="2"/>
  <c r="BM180" i="2"/>
  <c r="BL180" i="2"/>
  <c r="BK180" i="2"/>
  <c r="BJ180" i="2"/>
  <c r="BH180" i="2"/>
  <c r="BG180" i="2"/>
  <c r="BF180" i="2"/>
  <c r="BE180" i="2"/>
  <c r="BE212" i="2" s="1"/>
  <c r="BC180" i="2"/>
  <c r="BB180" i="2"/>
  <c r="BA180" i="2"/>
  <c r="AZ180" i="2"/>
  <c r="AX180" i="2"/>
  <c r="AW180" i="2"/>
  <c r="AW244" i="2" s="1"/>
  <c r="AV180" i="2"/>
  <c r="AU180" i="2"/>
  <c r="AS180" i="2"/>
  <c r="AR180" i="2"/>
  <c r="AQ180" i="2"/>
  <c r="AP180" i="2"/>
  <c r="AN180" i="2"/>
  <c r="AM180" i="2"/>
  <c r="AL180" i="2"/>
  <c r="AK180" i="2"/>
  <c r="AI180" i="2"/>
  <c r="AH180" i="2"/>
  <c r="AG180" i="2"/>
  <c r="AF180" i="2"/>
  <c r="AD180" i="2"/>
  <c r="AC180" i="2"/>
  <c r="AB180" i="2"/>
  <c r="AA180" i="2"/>
  <c r="Y180" i="2"/>
  <c r="X180" i="2"/>
  <c r="W180" i="2"/>
  <c r="V180" i="2"/>
  <c r="T180" i="2"/>
  <c r="S180" i="2"/>
  <c r="R180" i="2"/>
  <c r="Q180" i="2"/>
  <c r="O180" i="2"/>
  <c r="N180" i="2"/>
  <c r="M180" i="2"/>
  <c r="L180" i="2"/>
  <c r="J180" i="2"/>
  <c r="J212" i="2" s="1"/>
  <c r="I180" i="2"/>
  <c r="H180" i="2"/>
  <c r="G180" i="2"/>
  <c r="E180" i="2"/>
  <c r="E212" i="2" s="1"/>
  <c r="D180" i="2"/>
  <c r="C180" i="2"/>
  <c r="B180" i="2"/>
  <c r="CQ177" i="2"/>
  <c r="CP177" i="2"/>
  <c r="CO177" i="2"/>
  <c r="CN177" i="2"/>
  <c r="CL177" i="2"/>
  <c r="CK177" i="2"/>
  <c r="CJ177" i="2"/>
  <c r="CI177" i="2"/>
  <c r="CG177" i="2"/>
  <c r="CF177" i="2"/>
  <c r="CE177" i="2"/>
  <c r="CD177" i="2"/>
  <c r="CB177" i="2"/>
  <c r="CA177" i="2"/>
  <c r="BZ177" i="2"/>
  <c r="BY177" i="2"/>
  <c r="BW177" i="2"/>
  <c r="BV177" i="2"/>
  <c r="BU177" i="2"/>
  <c r="BT177" i="2"/>
  <c r="BR177" i="2"/>
  <c r="BQ177" i="2"/>
  <c r="BP177" i="2"/>
  <c r="BO177" i="2"/>
  <c r="BO209" i="2" s="1"/>
  <c r="BM177" i="2"/>
  <c r="BL177" i="2"/>
  <c r="BK177" i="2"/>
  <c r="BJ177" i="2"/>
  <c r="BH177" i="2"/>
  <c r="BG177" i="2"/>
  <c r="BF177" i="2"/>
  <c r="BE177" i="2"/>
  <c r="BC177" i="2"/>
  <c r="BB177" i="2"/>
  <c r="BA177" i="2"/>
  <c r="AZ177" i="2"/>
  <c r="AX177" i="2"/>
  <c r="AW177" i="2"/>
  <c r="AV177" i="2"/>
  <c r="AU177" i="2"/>
  <c r="AS177" i="2"/>
  <c r="AR177" i="2"/>
  <c r="AQ177" i="2"/>
  <c r="AP177" i="2"/>
  <c r="AP209" i="2" s="1"/>
  <c r="AN177" i="2"/>
  <c r="AM177" i="2"/>
  <c r="AL177" i="2"/>
  <c r="AK177" i="2"/>
  <c r="AI177" i="2"/>
  <c r="AH177" i="2"/>
  <c r="AG177" i="2"/>
  <c r="AF177" i="2"/>
  <c r="AF209" i="2" s="1"/>
  <c r="AD177" i="2"/>
  <c r="AC177" i="2"/>
  <c r="AB177" i="2"/>
  <c r="AA177" i="2"/>
  <c r="Y177" i="2"/>
  <c r="X177" i="2"/>
  <c r="W177" i="2"/>
  <c r="V177" i="2"/>
  <c r="T177" i="2"/>
  <c r="S177" i="2"/>
  <c r="R177" i="2"/>
  <c r="Q177" i="2"/>
  <c r="O177" i="2"/>
  <c r="N177" i="2"/>
  <c r="M177" i="2"/>
  <c r="L177" i="2"/>
  <c r="J177" i="2"/>
  <c r="J209" i="2" s="1"/>
  <c r="I177" i="2"/>
  <c r="H177" i="2"/>
  <c r="G177" i="2"/>
  <c r="E177" i="2"/>
  <c r="D177" i="2"/>
  <c r="C177" i="2"/>
  <c r="C209" i="2" s="1"/>
  <c r="B177" i="2"/>
  <c r="CQ175" i="2"/>
  <c r="CP175" i="2"/>
  <c r="CO175" i="2"/>
  <c r="CO207" i="2" s="1"/>
  <c r="CN175" i="2"/>
  <c r="CL175" i="2"/>
  <c r="CK175" i="2"/>
  <c r="CJ175" i="2"/>
  <c r="CI175" i="2"/>
  <c r="CG175" i="2"/>
  <c r="CF175" i="2"/>
  <c r="CE175" i="2"/>
  <c r="CD175" i="2"/>
  <c r="CB175" i="2"/>
  <c r="CA175" i="2"/>
  <c r="BZ175" i="2"/>
  <c r="BY175" i="2"/>
  <c r="BW175" i="2"/>
  <c r="BV175" i="2"/>
  <c r="BU175" i="2"/>
  <c r="BT175" i="2"/>
  <c r="BR175" i="2"/>
  <c r="BQ175" i="2"/>
  <c r="BP175" i="2"/>
  <c r="BO175" i="2"/>
  <c r="BM175" i="2"/>
  <c r="BL175" i="2"/>
  <c r="BK175" i="2"/>
  <c r="BJ175" i="2"/>
  <c r="BH175" i="2"/>
  <c r="BG175" i="2"/>
  <c r="BF175" i="2"/>
  <c r="BE175" i="2"/>
  <c r="BC175" i="2"/>
  <c r="BB175" i="2"/>
  <c r="BA175" i="2"/>
  <c r="AZ175" i="2"/>
  <c r="AX175" i="2"/>
  <c r="AW175" i="2"/>
  <c r="AV175" i="2"/>
  <c r="AU175" i="2"/>
  <c r="AS175" i="2"/>
  <c r="AS239" i="2" s="1"/>
  <c r="AR175" i="2"/>
  <c r="AQ175" i="2"/>
  <c r="AP175" i="2"/>
  <c r="AN175" i="2"/>
  <c r="AM175" i="2"/>
  <c r="AL175" i="2"/>
  <c r="AK175" i="2"/>
  <c r="AI175" i="2"/>
  <c r="AH175" i="2"/>
  <c r="AG175" i="2"/>
  <c r="AF175" i="2"/>
  <c r="AD175" i="2"/>
  <c r="AC175" i="2"/>
  <c r="AB175" i="2"/>
  <c r="AA175" i="2"/>
  <c r="Y175" i="2"/>
  <c r="X175" i="2"/>
  <c r="W175" i="2"/>
  <c r="V175" i="2"/>
  <c r="T175" i="2"/>
  <c r="S175" i="2"/>
  <c r="R175" i="2"/>
  <c r="Q175" i="2"/>
  <c r="O175" i="2"/>
  <c r="N175" i="2"/>
  <c r="M175" i="2"/>
  <c r="L175" i="2"/>
  <c r="J175" i="2"/>
  <c r="I175" i="2"/>
  <c r="H175" i="2"/>
  <c r="G175" i="2"/>
  <c r="E175" i="2"/>
  <c r="D175" i="2"/>
  <c r="C175" i="2"/>
  <c r="B175" i="2"/>
  <c r="CQ173" i="2"/>
  <c r="CP173" i="2"/>
  <c r="CO173" i="2"/>
  <c r="CN173" i="2"/>
  <c r="CL173" i="2"/>
  <c r="CK173" i="2"/>
  <c r="CJ173" i="2"/>
  <c r="CI173" i="2"/>
  <c r="CG173" i="2"/>
  <c r="CF173" i="2"/>
  <c r="CE173" i="2"/>
  <c r="CD173" i="2"/>
  <c r="CB173" i="2"/>
  <c r="CA173" i="2"/>
  <c r="BZ173" i="2"/>
  <c r="BY173" i="2"/>
  <c r="BW173" i="2"/>
  <c r="BV173" i="2"/>
  <c r="BU173" i="2"/>
  <c r="BT173" i="2"/>
  <c r="BR173" i="2"/>
  <c r="BQ173" i="2"/>
  <c r="BP173" i="2"/>
  <c r="BO173" i="2"/>
  <c r="BM173" i="2"/>
  <c r="BL173" i="2"/>
  <c r="BK173" i="2"/>
  <c r="BJ173" i="2"/>
  <c r="BH173" i="2"/>
  <c r="BG173" i="2"/>
  <c r="BF173" i="2"/>
  <c r="BE173" i="2"/>
  <c r="BC173" i="2"/>
  <c r="BB173" i="2"/>
  <c r="BA173" i="2"/>
  <c r="AZ173" i="2"/>
  <c r="AX173" i="2"/>
  <c r="AW173" i="2"/>
  <c r="AV173" i="2"/>
  <c r="AU173" i="2"/>
  <c r="AS173" i="2"/>
  <c r="AR173" i="2"/>
  <c r="AQ173" i="2"/>
  <c r="AP173" i="2"/>
  <c r="AN173" i="2"/>
  <c r="AM173" i="2"/>
  <c r="AL173" i="2"/>
  <c r="AK173" i="2"/>
  <c r="AI173" i="2"/>
  <c r="AH173" i="2"/>
  <c r="AG173" i="2"/>
  <c r="AF173" i="2"/>
  <c r="AD173" i="2"/>
  <c r="AC173" i="2"/>
  <c r="AB173" i="2"/>
  <c r="AA173" i="2"/>
  <c r="Y173" i="2"/>
  <c r="X173" i="2"/>
  <c r="W173" i="2"/>
  <c r="V173" i="2"/>
  <c r="T173" i="2"/>
  <c r="S173" i="2"/>
  <c r="R173" i="2"/>
  <c r="Q173" i="2"/>
  <c r="O173" i="2"/>
  <c r="N173" i="2"/>
  <c r="M173" i="2"/>
  <c r="L173" i="2"/>
  <c r="J173" i="2"/>
  <c r="I173" i="2"/>
  <c r="H173" i="2"/>
  <c r="G173" i="2"/>
  <c r="E173" i="2"/>
  <c r="D173" i="2"/>
  <c r="C173" i="2"/>
  <c r="B173" i="2"/>
  <c r="CQ172" i="2"/>
  <c r="CP172" i="2"/>
  <c r="CO172" i="2"/>
  <c r="CN172" i="2"/>
  <c r="CL172" i="2"/>
  <c r="CK172" i="2"/>
  <c r="CJ172" i="2"/>
  <c r="CI172" i="2"/>
  <c r="CG172" i="2"/>
  <c r="CF172" i="2"/>
  <c r="CE172" i="2"/>
  <c r="CD172" i="2"/>
  <c r="CB172" i="2"/>
  <c r="CA172" i="2"/>
  <c r="CA204" i="2" s="1"/>
  <c r="BZ172" i="2"/>
  <c r="BY172" i="2"/>
  <c r="BW172" i="2"/>
  <c r="BV172" i="2"/>
  <c r="BU172" i="2"/>
  <c r="BT172" i="2"/>
  <c r="BR172" i="2"/>
  <c r="BQ172" i="2"/>
  <c r="BP172" i="2"/>
  <c r="BO172" i="2"/>
  <c r="BM172" i="2"/>
  <c r="BL172" i="2"/>
  <c r="BK172" i="2"/>
  <c r="BJ172" i="2"/>
  <c r="BH172" i="2"/>
  <c r="BG172" i="2"/>
  <c r="BF172" i="2"/>
  <c r="BE172" i="2"/>
  <c r="BC172" i="2"/>
  <c r="BB172" i="2"/>
  <c r="BA172" i="2"/>
  <c r="AZ172" i="2"/>
  <c r="AX172" i="2"/>
  <c r="AW172" i="2"/>
  <c r="AV172" i="2"/>
  <c r="AU172" i="2"/>
  <c r="AS172" i="2"/>
  <c r="AR172" i="2"/>
  <c r="AQ172" i="2"/>
  <c r="AP172" i="2"/>
  <c r="AN172" i="2"/>
  <c r="AM172" i="2"/>
  <c r="AL172" i="2"/>
  <c r="AK172" i="2"/>
  <c r="AI172" i="2"/>
  <c r="AH172" i="2"/>
  <c r="AG172" i="2"/>
  <c r="AF172" i="2"/>
  <c r="AD172" i="2"/>
  <c r="AC172" i="2"/>
  <c r="AB172" i="2"/>
  <c r="AA172" i="2"/>
  <c r="Y172" i="2"/>
  <c r="X172" i="2"/>
  <c r="W172" i="2"/>
  <c r="V172" i="2"/>
  <c r="T172" i="2"/>
  <c r="S172" i="2"/>
  <c r="R172" i="2"/>
  <c r="Q172" i="2"/>
  <c r="O172" i="2"/>
  <c r="O204" i="2" s="1"/>
  <c r="N172" i="2"/>
  <c r="M172" i="2"/>
  <c r="L172" i="2"/>
  <c r="J172" i="2"/>
  <c r="I172" i="2"/>
  <c r="H172" i="2"/>
  <c r="G172" i="2"/>
  <c r="E172" i="2"/>
  <c r="D172" i="2"/>
  <c r="C172" i="2"/>
  <c r="B172" i="2"/>
  <c r="CQ171" i="2"/>
  <c r="CP171" i="2"/>
  <c r="CO171" i="2"/>
  <c r="CN171" i="2"/>
  <c r="CL171" i="2"/>
  <c r="CK171" i="2"/>
  <c r="CJ171" i="2"/>
  <c r="CI171" i="2"/>
  <c r="CG171" i="2"/>
  <c r="CF171" i="2"/>
  <c r="CE171" i="2"/>
  <c r="CD171" i="2"/>
  <c r="CB171" i="2"/>
  <c r="CA171" i="2"/>
  <c r="BZ171" i="2"/>
  <c r="BY171" i="2"/>
  <c r="BW171" i="2"/>
  <c r="BV171" i="2"/>
  <c r="BU171" i="2"/>
  <c r="BT171" i="2"/>
  <c r="BR171" i="2"/>
  <c r="BQ171" i="2"/>
  <c r="BP171" i="2"/>
  <c r="BO171" i="2"/>
  <c r="BM171" i="2"/>
  <c r="BL171" i="2"/>
  <c r="BK171" i="2"/>
  <c r="BJ171" i="2"/>
  <c r="BH171" i="2"/>
  <c r="BG171" i="2"/>
  <c r="BF171" i="2"/>
  <c r="BE171" i="2"/>
  <c r="BC171" i="2"/>
  <c r="BB171" i="2"/>
  <c r="BA171" i="2"/>
  <c r="AZ171" i="2"/>
  <c r="AZ203" i="2" s="1"/>
  <c r="AX171" i="2"/>
  <c r="AW171" i="2"/>
  <c r="AV171" i="2"/>
  <c r="AU171" i="2"/>
  <c r="AS171" i="2"/>
  <c r="AR171" i="2"/>
  <c r="AR203" i="2" s="1"/>
  <c r="AQ171" i="2"/>
  <c r="AP171" i="2"/>
  <c r="AN171" i="2"/>
  <c r="AM171" i="2"/>
  <c r="AL171" i="2"/>
  <c r="AK171" i="2"/>
  <c r="AI171" i="2"/>
  <c r="AH171" i="2"/>
  <c r="AG171" i="2"/>
  <c r="AF171" i="2"/>
  <c r="AD171" i="2"/>
  <c r="AC171" i="2"/>
  <c r="AB171" i="2"/>
  <c r="AA171" i="2"/>
  <c r="Y171" i="2"/>
  <c r="X171" i="2"/>
  <c r="W171" i="2"/>
  <c r="V171" i="2"/>
  <c r="T171" i="2"/>
  <c r="S171" i="2"/>
  <c r="R171" i="2"/>
  <c r="Q171" i="2"/>
  <c r="O171" i="2"/>
  <c r="N171" i="2"/>
  <c r="M171" i="2"/>
  <c r="L171" i="2"/>
  <c r="L203" i="2" s="1"/>
  <c r="J171" i="2"/>
  <c r="I171" i="2"/>
  <c r="H171" i="2"/>
  <c r="G171" i="2"/>
  <c r="E171" i="2"/>
  <c r="D171" i="2"/>
  <c r="C171" i="2"/>
  <c r="C203" i="2" s="1"/>
  <c r="B171" i="2"/>
  <c r="CQ170" i="2"/>
  <c r="CP170" i="2"/>
  <c r="CO170" i="2"/>
  <c r="CN170" i="2"/>
  <c r="CL170" i="2"/>
  <c r="CK170" i="2"/>
  <c r="CJ170" i="2"/>
  <c r="CI170" i="2"/>
  <c r="CG170" i="2"/>
  <c r="CF170" i="2"/>
  <c r="CE170" i="2"/>
  <c r="CD170" i="2"/>
  <c r="CB170" i="2"/>
  <c r="CA170" i="2"/>
  <c r="BZ170" i="2"/>
  <c r="BY170" i="2"/>
  <c r="BW170" i="2"/>
  <c r="BV170" i="2"/>
  <c r="BU170" i="2"/>
  <c r="BU202" i="2" s="1"/>
  <c r="BT170" i="2"/>
  <c r="BR170" i="2"/>
  <c r="BQ170" i="2"/>
  <c r="BP170" i="2"/>
  <c r="BO170" i="2"/>
  <c r="BM170" i="2"/>
  <c r="BL170" i="2"/>
  <c r="BK170" i="2"/>
  <c r="BJ170" i="2"/>
  <c r="BH170" i="2"/>
  <c r="BG170" i="2"/>
  <c r="BF170" i="2"/>
  <c r="BE170" i="2"/>
  <c r="BC170" i="2"/>
  <c r="BB170" i="2"/>
  <c r="BA170" i="2"/>
  <c r="AZ170" i="2"/>
  <c r="AX170" i="2"/>
  <c r="AW170" i="2"/>
  <c r="AV170" i="2"/>
  <c r="AU170" i="2"/>
  <c r="AS170" i="2"/>
  <c r="AR170" i="2"/>
  <c r="AQ170" i="2"/>
  <c r="AP170" i="2"/>
  <c r="AN170" i="2"/>
  <c r="AM170" i="2"/>
  <c r="AL170" i="2"/>
  <c r="AK170" i="2"/>
  <c r="AI170" i="2"/>
  <c r="AH170" i="2"/>
  <c r="AG170" i="2"/>
  <c r="AF170" i="2"/>
  <c r="AD170" i="2"/>
  <c r="AC170" i="2"/>
  <c r="AB170" i="2"/>
  <c r="AA170" i="2"/>
  <c r="Y170" i="2"/>
  <c r="X170" i="2"/>
  <c r="W170" i="2"/>
  <c r="V170" i="2"/>
  <c r="T170" i="2"/>
  <c r="S170" i="2"/>
  <c r="R170" i="2"/>
  <c r="Q170" i="2"/>
  <c r="O170" i="2"/>
  <c r="N170" i="2"/>
  <c r="M170" i="2"/>
  <c r="L170" i="2"/>
  <c r="J170" i="2"/>
  <c r="I170" i="2"/>
  <c r="I202" i="2" s="1"/>
  <c r="H170" i="2"/>
  <c r="G170" i="2"/>
  <c r="E170" i="2"/>
  <c r="D170" i="2"/>
  <c r="C170" i="2"/>
  <c r="B170" i="2"/>
  <c r="CQ169" i="2"/>
  <c r="CP169" i="2"/>
  <c r="CO169" i="2"/>
  <c r="CN169" i="2"/>
  <c r="CL169" i="2"/>
  <c r="CK169" i="2"/>
  <c r="CJ169" i="2"/>
  <c r="CI169" i="2"/>
  <c r="CG169" i="2"/>
  <c r="CF169" i="2"/>
  <c r="CE169" i="2"/>
  <c r="CD169" i="2"/>
  <c r="CB169" i="2"/>
  <c r="CA169" i="2"/>
  <c r="BZ169" i="2"/>
  <c r="BY169" i="2"/>
  <c r="BW169" i="2"/>
  <c r="BV169" i="2"/>
  <c r="BU169" i="2"/>
  <c r="BT169" i="2"/>
  <c r="BR169" i="2"/>
  <c r="BQ169" i="2"/>
  <c r="BP169" i="2"/>
  <c r="BO169" i="2"/>
  <c r="BM169" i="2"/>
  <c r="BL169" i="2"/>
  <c r="BK169" i="2"/>
  <c r="BJ169" i="2"/>
  <c r="BH169" i="2"/>
  <c r="BG169" i="2"/>
  <c r="BF169" i="2"/>
  <c r="BE169" i="2"/>
  <c r="BC169" i="2"/>
  <c r="BB169" i="2"/>
  <c r="BA169" i="2"/>
  <c r="AZ169" i="2"/>
  <c r="AX169" i="2"/>
  <c r="AW169" i="2"/>
  <c r="AV169" i="2"/>
  <c r="AU169" i="2"/>
  <c r="AS169" i="2"/>
  <c r="AR169" i="2"/>
  <c r="AQ169" i="2"/>
  <c r="AP169" i="2"/>
  <c r="AN169" i="2"/>
  <c r="AM169" i="2"/>
  <c r="AL169" i="2"/>
  <c r="AK169" i="2"/>
  <c r="AI169" i="2"/>
  <c r="AH169" i="2"/>
  <c r="AG169" i="2"/>
  <c r="AF169" i="2"/>
  <c r="AD169" i="2"/>
  <c r="AC169" i="2"/>
  <c r="AB169" i="2"/>
  <c r="AA169" i="2"/>
  <c r="Y169" i="2"/>
  <c r="X169" i="2"/>
  <c r="W169" i="2"/>
  <c r="V169" i="2"/>
  <c r="T169" i="2"/>
  <c r="S169" i="2"/>
  <c r="R169" i="2"/>
  <c r="Q169" i="2"/>
  <c r="O169" i="2"/>
  <c r="N169" i="2"/>
  <c r="M169" i="2"/>
  <c r="L169" i="2"/>
  <c r="J169" i="2"/>
  <c r="I169" i="2"/>
  <c r="H169" i="2"/>
  <c r="G169" i="2"/>
  <c r="E169" i="2"/>
  <c r="D169" i="2"/>
  <c r="C169" i="2"/>
  <c r="B169" i="2"/>
  <c r="CQ168" i="2"/>
  <c r="CQ232" i="2" s="1"/>
  <c r="CP168" i="2"/>
  <c r="CO168" i="2"/>
  <c r="CN168" i="2"/>
  <c r="CL168" i="2"/>
  <c r="CK168" i="2"/>
  <c r="CJ168" i="2"/>
  <c r="CI168" i="2"/>
  <c r="CG168" i="2"/>
  <c r="CF168" i="2"/>
  <c r="CE168" i="2"/>
  <c r="CD168" i="2"/>
  <c r="CB168" i="2"/>
  <c r="CA168" i="2"/>
  <c r="BZ168" i="2"/>
  <c r="BY168" i="2"/>
  <c r="BW168" i="2"/>
  <c r="BV168" i="2"/>
  <c r="BU168" i="2"/>
  <c r="BT168" i="2"/>
  <c r="BR168" i="2"/>
  <c r="BQ168" i="2"/>
  <c r="BP168" i="2"/>
  <c r="BO168" i="2"/>
  <c r="BO200" i="2" s="1"/>
  <c r="BM168" i="2"/>
  <c r="BL168" i="2"/>
  <c r="BK168" i="2"/>
  <c r="BJ168" i="2"/>
  <c r="BH168" i="2"/>
  <c r="BG168" i="2"/>
  <c r="BF168" i="2"/>
  <c r="BE168" i="2"/>
  <c r="BC168" i="2"/>
  <c r="BB168" i="2"/>
  <c r="BA168" i="2"/>
  <c r="AZ168" i="2"/>
  <c r="AX168" i="2"/>
  <c r="AW168" i="2"/>
  <c r="AV168" i="2"/>
  <c r="AU168" i="2"/>
  <c r="AS168" i="2"/>
  <c r="AR168" i="2"/>
  <c r="AQ168" i="2"/>
  <c r="AP168" i="2"/>
  <c r="AN168" i="2"/>
  <c r="AM168" i="2"/>
  <c r="AL168" i="2"/>
  <c r="AK168" i="2"/>
  <c r="AI168" i="2"/>
  <c r="AH168" i="2"/>
  <c r="AG168" i="2"/>
  <c r="AF168" i="2"/>
  <c r="AD168" i="2"/>
  <c r="AC168" i="2"/>
  <c r="AB168" i="2"/>
  <c r="AA168" i="2"/>
  <c r="Y168" i="2"/>
  <c r="X168" i="2"/>
  <c r="W168" i="2"/>
  <c r="V168" i="2"/>
  <c r="T168" i="2"/>
  <c r="S168" i="2"/>
  <c r="R168" i="2"/>
  <c r="Q168" i="2"/>
  <c r="O168" i="2"/>
  <c r="N168" i="2"/>
  <c r="M168" i="2"/>
  <c r="L168" i="2"/>
  <c r="J168" i="2"/>
  <c r="I168" i="2"/>
  <c r="H168" i="2"/>
  <c r="G168" i="2"/>
  <c r="E168" i="2"/>
  <c r="D168" i="2"/>
  <c r="D200" i="2" s="1"/>
  <c r="C168" i="2"/>
  <c r="B168" i="2"/>
  <c r="CQ167" i="2"/>
  <c r="CP167" i="2"/>
  <c r="CO167" i="2"/>
  <c r="CN167" i="2"/>
  <c r="CL167" i="2"/>
  <c r="CK167" i="2"/>
  <c r="CJ167" i="2"/>
  <c r="CI167" i="2"/>
  <c r="CG167" i="2"/>
  <c r="CF167" i="2"/>
  <c r="CE167" i="2"/>
  <c r="CD167" i="2"/>
  <c r="CB167" i="2"/>
  <c r="CA167" i="2"/>
  <c r="BZ167" i="2"/>
  <c r="BY167" i="2"/>
  <c r="BW167" i="2"/>
  <c r="BV167" i="2"/>
  <c r="BU167" i="2"/>
  <c r="BT167" i="2"/>
  <c r="BR167" i="2"/>
  <c r="BQ167" i="2"/>
  <c r="BP167" i="2"/>
  <c r="BO167" i="2"/>
  <c r="BM167" i="2"/>
  <c r="BL167" i="2"/>
  <c r="BL199" i="2" s="1"/>
  <c r="BK167" i="2"/>
  <c r="BJ167" i="2"/>
  <c r="BH167" i="2"/>
  <c r="BG167" i="2"/>
  <c r="BF167" i="2"/>
  <c r="BE167" i="2"/>
  <c r="BE199" i="2" s="1"/>
  <c r="BC167" i="2"/>
  <c r="BB167" i="2"/>
  <c r="BA167" i="2"/>
  <c r="AZ167" i="2"/>
  <c r="AX167" i="2"/>
  <c r="AW167" i="2"/>
  <c r="AV167" i="2"/>
  <c r="AU167" i="2"/>
  <c r="AS167" i="2"/>
  <c r="AR167" i="2"/>
  <c r="AQ167" i="2"/>
  <c r="AP167" i="2"/>
  <c r="AN167" i="2"/>
  <c r="AN199" i="2" s="1"/>
  <c r="AM167" i="2"/>
  <c r="AL167" i="2"/>
  <c r="AK167" i="2"/>
  <c r="AI167" i="2"/>
  <c r="AH167" i="2"/>
  <c r="AG167" i="2"/>
  <c r="AF167" i="2"/>
  <c r="AF199" i="2" s="1"/>
  <c r="AD167" i="2"/>
  <c r="AC167" i="2"/>
  <c r="AB167" i="2"/>
  <c r="AA167" i="2"/>
  <c r="Y167" i="2"/>
  <c r="X167" i="2"/>
  <c r="W167" i="2"/>
  <c r="V167" i="2"/>
  <c r="T167" i="2"/>
  <c r="S167" i="2"/>
  <c r="R167" i="2"/>
  <c r="Q167" i="2"/>
  <c r="O167" i="2"/>
  <c r="N167" i="2"/>
  <c r="M167" i="2"/>
  <c r="L167" i="2"/>
  <c r="J167" i="2"/>
  <c r="I167" i="2"/>
  <c r="H167" i="2"/>
  <c r="G167" i="2"/>
  <c r="E167" i="2"/>
  <c r="D167" i="2"/>
  <c r="C167" i="2"/>
  <c r="C199" i="2" s="1"/>
  <c r="B167" i="2"/>
  <c r="B164" i="2"/>
  <c r="C164" i="2" s="1"/>
  <c r="D164" i="2" s="1"/>
  <c r="E164" i="2" s="1"/>
  <c r="F164" i="2" s="1"/>
  <c r="G164" i="2" s="1"/>
  <c r="H164" i="2" s="1"/>
  <c r="I164" i="2" s="1"/>
  <c r="J164" i="2" s="1"/>
  <c r="K164" i="2" s="1"/>
  <c r="L164" i="2" s="1"/>
  <c r="M164" i="2" s="1"/>
  <c r="N164" i="2" s="1"/>
  <c r="O164" i="2" s="1"/>
  <c r="P164" i="2" s="1"/>
  <c r="Q164" i="2" s="1"/>
  <c r="R164" i="2" s="1"/>
  <c r="S164" i="2" s="1"/>
  <c r="T164" i="2" s="1"/>
  <c r="U164" i="2" s="1"/>
  <c r="V164" i="2" s="1"/>
  <c r="W164" i="2" s="1"/>
  <c r="X164" i="2" s="1"/>
  <c r="Y164" i="2" s="1"/>
  <c r="Z164" i="2" s="1"/>
  <c r="AA164" i="2" s="1"/>
  <c r="AB164" i="2" s="1"/>
  <c r="AC164" i="2" s="1"/>
  <c r="AD164" i="2" s="1"/>
  <c r="AE164" i="2" s="1"/>
  <c r="AF164" i="2" s="1"/>
  <c r="AG164" i="2" s="1"/>
  <c r="AH164" i="2" s="1"/>
  <c r="AI164" i="2" s="1"/>
  <c r="AJ164" i="2" s="1"/>
  <c r="AK164" i="2" s="1"/>
  <c r="AL164" i="2" s="1"/>
  <c r="AM164" i="2" s="1"/>
  <c r="AN164" i="2" s="1"/>
  <c r="AO164" i="2" s="1"/>
  <c r="AP164" i="2" s="1"/>
  <c r="AQ164" i="2" s="1"/>
  <c r="AR164" i="2" s="1"/>
  <c r="AS164" i="2" s="1"/>
  <c r="AT164" i="2" s="1"/>
  <c r="AU164" i="2" s="1"/>
  <c r="AV164" i="2" s="1"/>
  <c r="AW164" i="2" s="1"/>
  <c r="AX164" i="2" s="1"/>
  <c r="AY164" i="2" s="1"/>
  <c r="AZ164" i="2" s="1"/>
  <c r="BA164" i="2" s="1"/>
  <c r="BB164" i="2" s="1"/>
  <c r="BC164" i="2" s="1"/>
  <c r="BD164" i="2" s="1"/>
  <c r="BE164" i="2" s="1"/>
  <c r="BF164" i="2" s="1"/>
  <c r="BG164" i="2" s="1"/>
  <c r="BH164" i="2" s="1"/>
  <c r="BI164" i="2" s="1"/>
  <c r="BJ164" i="2" s="1"/>
  <c r="BK164" i="2" s="1"/>
  <c r="BL164" i="2" s="1"/>
  <c r="BM164" i="2" s="1"/>
  <c r="BN164" i="2" s="1"/>
  <c r="BO164" i="2" s="1"/>
  <c r="BP164" i="2" s="1"/>
  <c r="BQ164" i="2" s="1"/>
  <c r="BR164" i="2" s="1"/>
  <c r="BS164" i="2" s="1"/>
  <c r="BT164" i="2" s="1"/>
  <c r="BU164" i="2" s="1"/>
  <c r="BV164" i="2" s="1"/>
  <c r="BW164" i="2" s="1"/>
  <c r="BX164" i="2" s="1"/>
  <c r="BY164" i="2" s="1"/>
  <c r="BZ164" i="2" s="1"/>
  <c r="CA164" i="2" s="1"/>
  <c r="CB164" i="2" s="1"/>
  <c r="CC164" i="2" s="1"/>
  <c r="CD164" i="2" s="1"/>
  <c r="CE164" i="2" s="1"/>
  <c r="CF164" i="2" s="1"/>
  <c r="CG164" i="2" s="1"/>
  <c r="CH164" i="2" s="1"/>
  <c r="CI164" i="2" s="1"/>
  <c r="CJ164" i="2" s="1"/>
  <c r="CK164" i="2" s="1"/>
  <c r="CL164" i="2" s="1"/>
  <c r="CM164" i="2" s="1"/>
  <c r="CN164" i="2" s="1"/>
  <c r="CO164" i="2" s="1"/>
  <c r="CP164" i="2" s="1"/>
  <c r="CQ164" i="2" s="1"/>
  <c r="CR164" i="2" s="1"/>
  <c r="CQ155" i="2"/>
  <c r="CP155" i="2"/>
  <c r="CO155" i="2"/>
  <c r="CN155" i="2"/>
  <c r="CL155" i="2"/>
  <c r="CK155" i="2"/>
  <c r="CJ155" i="2"/>
  <c r="CI155" i="2"/>
  <c r="CG155" i="2"/>
  <c r="CF155" i="2"/>
  <c r="CE155" i="2"/>
  <c r="CD155" i="2"/>
  <c r="CB155" i="2"/>
  <c r="CA155" i="2"/>
  <c r="BZ155" i="2"/>
  <c r="BY155" i="2"/>
  <c r="BW155" i="2"/>
  <c r="BV155" i="2"/>
  <c r="BU155" i="2"/>
  <c r="BT155" i="2"/>
  <c r="BR155" i="2"/>
  <c r="BQ155" i="2"/>
  <c r="BP155" i="2"/>
  <c r="BO155" i="2"/>
  <c r="BM155" i="2"/>
  <c r="BL155" i="2"/>
  <c r="BK155" i="2"/>
  <c r="BJ155" i="2"/>
  <c r="BH155" i="2"/>
  <c r="BG155" i="2"/>
  <c r="BF155" i="2"/>
  <c r="BE155" i="2"/>
  <c r="BC155" i="2"/>
  <c r="BB155" i="2"/>
  <c r="BA155" i="2"/>
  <c r="AZ155" i="2"/>
  <c r="AX155" i="2"/>
  <c r="AW155" i="2"/>
  <c r="AV155" i="2"/>
  <c r="AU155" i="2"/>
  <c r="AS155" i="2"/>
  <c r="AR155" i="2"/>
  <c r="AQ155" i="2"/>
  <c r="AP155" i="2"/>
  <c r="AN155" i="2"/>
  <c r="AM155" i="2"/>
  <c r="AL155" i="2"/>
  <c r="AK155" i="2"/>
  <c r="AI155" i="2"/>
  <c r="AH155" i="2"/>
  <c r="AG155" i="2"/>
  <c r="AF155" i="2"/>
  <c r="AD155" i="2"/>
  <c r="AC155" i="2"/>
  <c r="AB155" i="2"/>
  <c r="AA155" i="2"/>
  <c r="Y155" i="2"/>
  <c r="X155" i="2"/>
  <c r="W155" i="2"/>
  <c r="V155" i="2"/>
  <c r="T155" i="2"/>
  <c r="S155" i="2"/>
  <c r="R155" i="2"/>
  <c r="Q155" i="2"/>
  <c r="O155" i="2"/>
  <c r="N155" i="2"/>
  <c r="M155" i="2"/>
  <c r="L155" i="2"/>
  <c r="J155" i="2"/>
  <c r="I155" i="2"/>
  <c r="H155" i="2"/>
  <c r="G155" i="2"/>
  <c r="CQ153" i="2"/>
  <c r="CP153" i="2"/>
  <c r="CO153" i="2"/>
  <c r="CN153" i="2"/>
  <c r="CL153" i="2"/>
  <c r="CK153" i="2"/>
  <c r="CJ153" i="2"/>
  <c r="CI153" i="2"/>
  <c r="CG153" i="2"/>
  <c r="CF153" i="2"/>
  <c r="CE153" i="2"/>
  <c r="CD153" i="2"/>
  <c r="CB153" i="2"/>
  <c r="CA153" i="2"/>
  <c r="BZ153" i="2"/>
  <c r="BY153" i="2"/>
  <c r="BW153" i="2"/>
  <c r="BV153" i="2"/>
  <c r="BU153" i="2"/>
  <c r="BT153" i="2"/>
  <c r="BR153" i="2"/>
  <c r="BQ153" i="2"/>
  <c r="BP153" i="2"/>
  <c r="BO153" i="2"/>
  <c r="BM153" i="2"/>
  <c r="BL153" i="2"/>
  <c r="BK153" i="2"/>
  <c r="BJ153" i="2"/>
  <c r="BH153" i="2"/>
  <c r="BG153" i="2"/>
  <c r="BF153" i="2"/>
  <c r="BE153" i="2"/>
  <c r="BC153" i="2"/>
  <c r="BB153" i="2"/>
  <c r="BA153" i="2"/>
  <c r="AZ153" i="2"/>
  <c r="AX153" i="2"/>
  <c r="AW153" i="2"/>
  <c r="AV153" i="2"/>
  <c r="AU153" i="2"/>
  <c r="AS153" i="2"/>
  <c r="AR153" i="2"/>
  <c r="AQ153" i="2"/>
  <c r="AP153" i="2"/>
  <c r="AN153" i="2"/>
  <c r="AM153" i="2"/>
  <c r="AL153" i="2"/>
  <c r="AK153" i="2"/>
  <c r="AI153" i="2"/>
  <c r="AH153" i="2"/>
  <c r="AG153" i="2"/>
  <c r="AF153" i="2"/>
  <c r="AD153" i="2"/>
  <c r="AC153" i="2"/>
  <c r="AB153" i="2"/>
  <c r="AA153" i="2"/>
  <c r="Y153" i="2"/>
  <c r="X153" i="2"/>
  <c r="W153" i="2"/>
  <c r="V153" i="2"/>
  <c r="T153" i="2"/>
  <c r="S153" i="2"/>
  <c r="R153" i="2"/>
  <c r="Q153" i="2"/>
  <c r="O153" i="2"/>
  <c r="N153" i="2"/>
  <c r="M153" i="2"/>
  <c r="L153" i="2"/>
  <c r="J153" i="2"/>
  <c r="I153" i="2"/>
  <c r="H153" i="2"/>
  <c r="G153" i="2"/>
  <c r="CQ151" i="2"/>
  <c r="CP151" i="2"/>
  <c r="CO151" i="2"/>
  <c r="CN151" i="2"/>
  <c r="CL151" i="2"/>
  <c r="CK151" i="2"/>
  <c r="CJ151" i="2"/>
  <c r="CI151" i="2"/>
  <c r="CG151" i="2"/>
  <c r="CF151" i="2"/>
  <c r="CE151" i="2"/>
  <c r="CD151" i="2"/>
  <c r="CB151" i="2"/>
  <c r="CA151" i="2"/>
  <c r="BZ151" i="2"/>
  <c r="BY151" i="2"/>
  <c r="BW151" i="2"/>
  <c r="BV151" i="2"/>
  <c r="BU151" i="2"/>
  <c r="BT151" i="2"/>
  <c r="BR151" i="2"/>
  <c r="BQ151" i="2"/>
  <c r="BP151" i="2"/>
  <c r="BO151" i="2"/>
  <c r="BM151" i="2"/>
  <c r="BL151" i="2"/>
  <c r="BK151" i="2"/>
  <c r="BJ151" i="2"/>
  <c r="BH151" i="2"/>
  <c r="BG151" i="2"/>
  <c r="BF151" i="2"/>
  <c r="BE151" i="2"/>
  <c r="BC151" i="2"/>
  <c r="BB151" i="2"/>
  <c r="BA151" i="2"/>
  <c r="AZ151" i="2"/>
  <c r="AX151" i="2"/>
  <c r="AW151" i="2"/>
  <c r="AV151" i="2"/>
  <c r="AU151" i="2"/>
  <c r="AS151" i="2"/>
  <c r="AR151" i="2"/>
  <c r="AQ151" i="2"/>
  <c r="AP151" i="2"/>
  <c r="AN151" i="2"/>
  <c r="AM151" i="2"/>
  <c r="AL151" i="2"/>
  <c r="AK151" i="2"/>
  <c r="AI151" i="2"/>
  <c r="AH151" i="2"/>
  <c r="AG151" i="2"/>
  <c r="AF151" i="2"/>
  <c r="AD151" i="2"/>
  <c r="AC151" i="2"/>
  <c r="AB151" i="2"/>
  <c r="AA151" i="2"/>
  <c r="Y151" i="2"/>
  <c r="X151" i="2"/>
  <c r="W151" i="2"/>
  <c r="V151" i="2"/>
  <c r="T151" i="2"/>
  <c r="S151" i="2"/>
  <c r="R151" i="2"/>
  <c r="Q151" i="2"/>
  <c r="O151" i="2"/>
  <c r="N151" i="2"/>
  <c r="M151" i="2"/>
  <c r="L151" i="2"/>
  <c r="J151" i="2"/>
  <c r="I151" i="2"/>
  <c r="H151" i="2"/>
  <c r="G151" i="2"/>
  <c r="CQ149" i="2"/>
  <c r="CP149" i="2"/>
  <c r="CO149" i="2"/>
  <c r="CN149" i="2"/>
  <c r="CL149" i="2"/>
  <c r="CK149" i="2"/>
  <c r="CJ149" i="2"/>
  <c r="CI149" i="2"/>
  <c r="CG149" i="2"/>
  <c r="CF149" i="2"/>
  <c r="CE149" i="2"/>
  <c r="CD149" i="2"/>
  <c r="CB149" i="2"/>
  <c r="CA149" i="2"/>
  <c r="BZ149" i="2"/>
  <c r="BY149" i="2"/>
  <c r="BW149" i="2"/>
  <c r="BV149" i="2"/>
  <c r="BU149" i="2"/>
  <c r="BT149" i="2"/>
  <c r="BR149" i="2"/>
  <c r="BQ149" i="2"/>
  <c r="BP149" i="2"/>
  <c r="BO149" i="2"/>
  <c r="BM149" i="2"/>
  <c r="BL149" i="2"/>
  <c r="BK149" i="2"/>
  <c r="BJ149" i="2"/>
  <c r="BH149" i="2"/>
  <c r="BG149" i="2"/>
  <c r="BF149" i="2"/>
  <c r="BE149" i="2"/>
  <c r="BC149" i="2"/>
  <c r="BB149" i="2"/>
  <c r="BA149" i="2"/>
  <c r="AZ149" i="2"/>
  <c r="AX149" i="2"/>
  <c r="AW149" i="2"/>
  <c r="AV149" i="2"/>
  <c r="AU149" i="2"/>
  <c r="AS149" i="2"/>
  <c r="AR149" i="2"/>
  <c r="AQ149" i="2"/>
  <c r="AP149" i="2"/>
  <c r="AN149" i="2"/>
  <c r="AM149" i="2"/>
  <c r="AL149" i="2"/>
  <c r="AK149" i="2"/>
  <c r="AI149" i="2"/>
  <c r="AH149" i="2"/>
  <c r="AG149" i="2"/>
  <c r="AF149" i="2"/>
  <c r="AD149" i="2"/>
  <c r="AC149" i="2"/>
  <c r="AB149" i="2"/>
  <c r="AA149" i="2"/>
  <c r="Y149" i="2"/>
  <c r="X149" i="2"/>
  <c r="W149" i="2"/>
  <c r="V149" i="2"/>
  <c r="T149" i="2"/>
  <c r="S149" i="2"/>
  <c r="R149" i="2"/>
  <c r="Q149" i="2"/>
  <c r="O149" i="2"/>
  <c r="N149" i="2"/>
  <c r="M149" i="2"/>
  <c r="L149" i="2"/>
  <c r="J149" i="2"/>
  <c r="I149" i="2"/>
  <c r="H149" i="2"/>
  <c r="G149" i="2"/>
  <c r="CQ148" i="2"/>
  <c r="CP148" i="2"/>
  <c r="CO148" i="2"/>
  <c r="CN148" i="2"/>
  <c r="CL148" i="2"/>
  <c r="CK148" i="2"/>
  <c r="CJ148" i="2"/>
  <c r="CI148" i="2"/>
  <c r="CG148" i="2"/>
  <c r="CF148" i="2"/>
  <c r="CE148" i="2"/>
  <c r="CD148" i="2"/>
  <c r="CB148" i="2"/>
  <c r="CA148" i="2"/>
  <c r="BZ148" i="2"/>
  <c r="BY148" i="2"/>
  <c r="BW148" i="2"/>
  <c r="BV148" i="2"/>
  <c r="BU148" i="2"/>
  <c r="BT148" i="2"/>
  <c r="BR148" i="2"/>
  <c r="BQ148" i="2"/>
  <c r="BP148" i="2"/>
  <c r="BO148" i="2"/>
  <c r="BM148" i="2"/>
  <c r="BL148" i="2"/>
  <c r="BK148" i="2"/>
  <c r="BJ148" i="2"/>
  <c r="BH148" i="2"/>
  <c r="BG148" i="2"/>
  <c r="BF148" i="2"/>
  <c r="BE148" i="2"/>
  <c r="BC148" i="2"/>
  <c r="BB148" i="2"/>
  <c r="BA148" i="2"/>
  <c r="AZ148" i="2"/>
  <c r="AX148" i="2"/>
  <c r="AW148" i="2"/>
  <c r="AV148" i="2"/>
  <c r="AU148" i="2"/>
  <c r="AS148" i="2"/>
  <c r="AR148" i="2"/>
  <c r="AQ148" i="2"/>
  <c r="AP148" i="2"/>
  <c r="AN148" i="2"/>
  <c r="AM148" i="2"/>
  <c r="AL148" i="2"/>
  <c r="AK148" i="2"/>
  <c r="AI148" i="2"/>
  <c r="AH148" i="2"/>
  <c r="AG148" i="2"/>
  <c r="AF148" i="2"/>
  <c r="AD148" i="2"/>
  <c r="AC148" i="2"/>
  <c r="AB148" i="2"/>
  <c r="AA148" i="2"/>
  <c r="Y148" i="2"/>
  <c r="X148" i="2"/>
  <c r="W148" i="2"/>
  <c r="V148" i="2"/>
  <c r="T148" i="2"/>
  <c r="S148" i="2"/>
  <c r="R148" i="2"/>
  <c r="Q148" i="2"/>
  <c r="O148" i="2"/>
  <c r="N148" i="2"/>
  <c r="M148" i="2"/>
  <c r="L148" i="2"/>
  <c r="J148" i="2"/>
  <c r="I148" i="2"/>
  <c r="H148" i="2"/>
  <c r="G148" i="2"/>
  <c r="CQ145" i="2"/>
  <c r="CP145" i="2"/>
  <c r="CO145" i="2"/>
  <c r="CN145" i="2"/>
  <c r="CL145" i="2"/>
  <c r="CK145" i="2"/>
  <c r="CJ145" i="2"/>
  <c r="CI145" i="2"/>
  <c r="CG145" i="2"/>
  <c r="CF145" i="2"/>
  <c r="CE145" i="2"/>
  <c r="CD145" i="2"/>
  <c r="CB145" i="2"/>
  <c r="CA145" i="2"/>
  <c r="BZ145" i="2"/>
  <c r="BY145" i="2"/>
  <c r="BW145" i="2"/>
  <c r="BV145" i="2"/>
  <c r="BU145" i="2"/>
  <c r="BT145" i="2"/>
  <c r="BR145" i="2"/>
  <c r="BQ145" i="2"/>
  <c r="BP145" i="2"/>
  <c r="BO145" i="2"/>
  <c r="BM145" i="2"/>
  <c r="BL145" i="2"/>
  <c r="BK145" i="2"/>
  <c r="BJ145" i="2"/>
  <c r="BH145" i="2"/>
  <c r="BG145" i="2"/>
  <c r="BF145" i="2"/>
  <c r="BE145" i="2"/>
  <c r="BC145" i="2"/>
  <c r="BB145" i="2"/>
  <c r="BA145" i="2"/>
  <c r="AZ145" i="2"/>
  <c r="AX145" i="2"/>
  <c r="AW145" i="2"/>
  <c r="AV145" i="2"/>
  <c r="AU145" i="2"/>
  <c r="AS145" i="2"/>
  <c r="AR145" i="2"/>
  <c r="AQ145" i="2"/>
  <c r="AP145" i="2"/>
  <c r="AN145" i="2"/>
  <c r="AM145" i="2"/>
  <c r="AL145" i="2"/>
  <c r="AK145" i="2"/>
  <c r="AI145" i="2"/>
  <c r="AH145" i="2"/>
  <c r="AG145" i="2"/>
  <c r="AF145" i="2"/>
  <c r="AD145" i="2"/>
  <c r="AC145" i="2"/>
  <c r="AB145" i="2"/>
  <c r="AA145" i="2"/>
  <c r="Y145" i="2"/>
  <c r="X145" i="2"/>
  <c r="W145" i="2"/>
  <c r="V145" i="2"/>
  <c r="T145" i="2"/>
  <c r="S145" i="2"/>
  <c r="R145" i="2"/>
  <c r="Q145" i="2"/>
  <c r="O145" i="2"/>
  <c r="N145" i="2"/>
  <c r="M145" i="2"/>
  <c r="L145" i="2"/>
  <c r="J145" i="2"/>
  <c r="I145" i="2"/>
  <c r="H145" i="2"/>
  <c r="G145" i="2"/>
  <c r="CQ143" i="2"/>
  <c r="CP143" i="2"/>
  <c r="CO143" i="2"/>
  <c r="CN143" i="2"/>
  <c r="CL143" i="2"/>
  <c r="CK143" i="2"/>
  <c r="CJ143" i="2"/>
  <c r="CI143" i="2"/>
  <c r="CG143" i="2"/>
  <c r="CF143" i="2"/>
  <c r="CE143" i="2"/>
  <c r="CD143" i="2"/>
  <c r="CB143" i="2"/>
  <c r="CA143" i="2"/>
  <c r="BZ143" i="2"/>
  <c r="BY143" i="2"/>
  <c r="BW143" i="2"/>
  <c r="BV143" i="2"/>
  <c r="BU143" i="2"/>
  <c r="BT143" i="2"/>
  <c r="BR143" i="2"/>
  <c r="BQ143" i="2"/>
  <c r="BP143" i="2"/>
  <c r="BO143" i="2"/>
  <c r="BM143" i="2"/>
  <c r="BL143" i="2"/>
  <c r="BK143" i="2"/>
  <c r="BJ143" i="2"/>
  <c r="BH143" i="2"/>
  <c r="BG143" i="2"/>
  <c r="BF143" i="2"/>
  <c r="BE143" i="2"/>
  <c r="BC143" i="2"/>
  <c r="BB143" i="2"/>
  <c r="BA143" i="2"/>
  <c r="AZ143" i="2"/>
  <c r="AX143" i="2"/>
  <c r="AW143" i="2"/>
  <c r="AV143" i="2"/>
  <c r="AU143" i="2"/>
  <c r="AS143" i="2"/>
  <c r="AR143" i="2"/>
  <c r="AQ143" i="2"/>
  <c r="AP143" i="2"/>
  <c r="AN143" i="2"/>
  <c r="AM143" i="2"/>
  <c r="AL143" i="2"/>
  <c r="AK143" i="2"/>
  <c r="AI143" i="2"/>
  <c r="AH143" i="2"/>
  <c r="AG143" i="2"/>
  <c r="AF143" i="2"/>
  <c r="AD143" i="2"/>
  <c r="AC143" i="2"/>
  <c r="AB143" i="2"/>
  <c r="AA143" i="2"/>
  <c r="Y143" i="2"/>
  <c r="X143" i="2"/>
  <c r="W143" i="2"/>
  <c r="V143" i="2"/>
  <c r="T143" i="2"/>
  <c r="S143" i="2"/>
  <c r="R143" i="2"/>
  <c r="Q143" i="2"/>
  <c r="O143" i="2"/>
  <c r="N143" i="2"/>
  <c r="M143" i="2"/>
  <c r="L143" i="2"/>
  <c r="J143" i="2"/>
  <c r="I143" i="2"/>
  <c r="H143" i="2"/>
  <c r="G143" i="2"/>
  <c r="CQ141" i="2"/>
  <c r="CP141" i="2"/>
  <c r="CO141" i="2"/>
  <c r="CN141" i="2"/>
  <c r="CL141" i="2"/>
  <c r="CK141" i="2"/>
  <c r="CJ141" i="2"/>
  <c r="CI141" i="2"/>
  <c r="CG141" i="2"/>
  <c r="CF141" i="2"/>
  <c r="CE141" i="2"/>
  <c r="CD141" i="2"/>
  <c r="CB141" i="2"/>
  <c r="CA141" i="2"/>
  <c r="BZ141" i="2"/>
  <c r="BY141" i="2"/>
  <c r="BW141" i="2"/>
  <c r="BV141" i="2"/>
  <c r="BU141" i="2"/>
  <c r="BT141" i="2"/>
  <c r="BR141" i="2"/>
  <c r="BQ141" i="2"/>
  <c r="BP141" i="2"/>
  <c r="BO141" i="2"/>
  <c r="BM141" i="2"/>
  <c r="BL141" i="2"/>
  <c r="BK141" i="2"/>
  <c r="BJ141" i="2"/>
  <c r="BH141" i="2"/>
  <c r="BG141" i="2"/>
  <c r="BF141" i="2"/>
  <c r="BE141" i="2"/>
  <c r="BC141" i="2"/>
  <c r="BB141" i="2"/>
  <c r="BA141" i="2"/>
  <c r="AZ141" i="2"/>
  <c r="AX141" i="2"/>
  <c r="AW141" i="2"/>
  <c r="AV141" i="2"/>
  <c r="AU141" i="2"/>
  <c r="AS141" i="2"/>
  <c r="AR141" i="2"/>
  <c r="AQ141" i="2"/>
  <c r="AP141" i="2"/>
  <c r="AN141" i="2"/>
  <c r="AM141" i="2"/>
  <c r="AL141" i="2"/>
  <c r="AK141" i="2"/>
  <c r="AI141" i="2"/>
  <c r="AH141" i="2"/>
  <c r="AG141" i="2"/>
  <c r="AF141" i="2"/>
  <c r="AD141" i="2"/>
  <c r="AC141" i="2"/>
  <c r="AB141" i="2"/>
  <c r="AA141" i="2"/>
  <c r="Y141" i="2"/>
  <c r="X141" i="2"/>
  <c r="W141" i="2"/>
  <c r="V141" i="2"/>
  <c r="T141" i="2"/>
  <c r="S141" i="2"/>
  <c r="R141" i="2"/>
  <c r="Q141" i="2"/>
  <c r="O141" i="2"/>
  <c r="N141" i="2"/>
  <c r="M141" i="2"/>
  <c r="L141" i="2"/>
  <c r="J141" i="2"/>
  <c r="I141" i="2"/>
  <c r="H141" i="2"/>
  <c r="G141" i="2"/>
  <c r="CQ140" i="2"/>
  <c r="CP140" i="2"/>
  <c r="CO140" i="2"/>
  <c r="CN140" i="2"/>
  <c r="CL140" i="2"/>
  <c r="CK140" i="2"/>
  <c r="CJ140" i="2"/>
  <c r="CI140" i="2"/>
  <c r="CG140" i="2"/>
  <c r="CF140" i="2"/>
  <c r="CE140" i="2"/>
  <c r="CD140" i="2"/>
  <c r="CB140" i="2"/>
  <c r="CA140" i="2"/>
  <c r="BZ140" i="2"/>
  <c r="BY140" i="2"/>
  <c r="BW140" i="2"/>
  <c r="BV140" i="2"/>
  <c r="BU140" i="2"/>
  <c r="BT140" i="2"/>
  <c r="BR140" i="2"/>
  <c r="BQ140" i="2"/>
  <c r="BP140" i="2"/>
  <c r="BO140" i="2"/>
  <c r="BM140" i="2"/>
  <c r="BL140" i="2"/>
  <c r="BK140" i="2"/>
  <c r="BJ140" i="2"/>
  <c r="BH140" i="2"/>
  <c r="BG140" i="2"/>
  <c r="BF140" i="2"/>
  <c r="BE140" i="2"/>
  <c r="BC140" i="2"/>
  <c r="BB140" i="2"/>
  <c r="BA140" i="2"/>
  <c r="AZ140" i="2"/>
  <c r="AX140" i="2"/>
  <c r="AW140" i="2"/>
  <c r="AV140" i="2"/>
  <c r="AU140" i="2"/>
  <c r="AS140" i="2"/>
  <c r="AR140" i="2"/>
  <c r="AQ140" i="2"/>
  <c r="AP140" i="2"/>
  <c r="AN140" i="2"/>
  <c r="AM140" i="2"/>
  <c r="AL140" i="2"/>
  <c r="AK140" i="2"/>
  <c r="AI140" i="2"/>
  <c r="AH140" i="2"/>
  <c r="AG140" i="2"/>
  <c r="AF140" i="2"/>
  <c r="AD140" i="2"/>
  <c r="AC140" i="2"/>
  <c r="AB140" i="2"/>
  <c r="AA140" i="2"/>
  <c r="Y140" i="2"/>
  <c r="X140" i="2"/>
  <c r="W140" i="2"/>
  <c r="V140" i="2"/>
  <c r="T140" i="2"/>
  <c r="S140" i="2"/>
  <c r="R140" i="2"/>
  <c r="Q140" i="2"/>
  <c r="O140" i="2"/>
  <c r="N140" i="2"/>
  <c r="M140" i="2"/>
  <c r="L140" i="2"/>
  <c r="J140" i="2"/>
  <c r="I140" i="2"/>
  <c r="H140" i="2"/>
  <c r="G140" i="2"/>
  <c r="CQ139" i="2"/>
  <c r="CP139" i="2"/>
  <c r="CO139" i="2"/>
  <c r="CN139" i="2"/>
  <c r="CL139" i="2"/>
  <c r="CK139" i="2"/>
  <c r="CJ139" i="2"/>
  <c r="CI139" i="2"/>
  <c r="CG139" i="2"/>
  <c r="CF139" i="2"/>
  <c r="CE139" i="2"/>
  <c r="CD139" i="2"/>
  <c r="CB139" i="2"/>
  <c r="CA139" i="2"/>
  <c r="BZ139" i="2"/>
  <c r="BY139" i="2"/>
  <c r="BW139" i="2"/>
  <c r="BV139" i="2"/>
  <c r="BU139" i="2"/>
  <c r="BT139" i="2"/>
  <c r="BR139" i="2"/>
  <c r="BQ139" i="2"/>
  <c r="BP139" i="2"/>
  <c r="BO139" i="2"/>
  <c r="BM139" i="2"/>
  <c r="BL139" i="2"/>
  <c r="BK139" i="2"/>
  <c r="BJ139" i="2"/>
  <c r="BH139" i="2"/>
  <c r="BG139" i="2"/>
  <c r="BF139" i="2"/>
  <c r="BE139" i="2"/>
  <c r="BC139" i="2"/>
  <c r="BB139" i="2"/>
  <c r="BA139" i="2"/>
  <c r="AZ139" i="2"/>
  <c r="AX139" i="2"/>
  <c r="AW139" i="2"/>
  <c r="AV139" i="2"/>
  <c r="AU139" i="2"/>
  <c r="AS139" i="2"/>
  <c r="AR139" i="2"/>
  <c r="AQ139" i="2"/>
  <c r="AP139" i="2"/>
  <c r="AN139" i="2"/>
  <c r="AM139" i="2"/>
  <c r="AL139" i="2"/>
  <c r="AK139" i="2"/>
  <c r="AI139" i="2"/>
  <c r="AH139" i="2"/>
  <c r="AG139" i="2"/>
  <c r="AF139" i="2"/>
  <c r="AD139" i="2"/>
  <c r="AC139" i="2"/>
  <c r="AB139" i="2"/>
  <c r="AA139" i="2"/>
  <c r="Y139" i="2"/>
  <c r="X139" i="2"/>
  <c r="W139" i="2"/>
  <c r="V139" i="2"/>
  <c r="T139" i="2"/>
  <c r="S139" i="2"/>
  <c r="R139" i="2"/>
  <c r="Q139" i="2"/>
  <c r="O139" i="2"/>
  <c r="N139" i="2"/>
  <c r="M139" i="2"/>
  <c r="L139" i="2"/>
  <c r="J139" i="2"/>
  <c r="I139" i="2"/>
  <c r="H139" i="2"/>
  <c r="G139" i="2"/>
  <c r="CQ138" i="2"/>
  <c r="CP138" i="2"/>
  <c r="CO138" i="2"/>
  <c r="CN138" i="2"/>
  <c r="CL138" i="2"/>
  <c r="CK138" i="2"/>
  <c r="CJ138" i="2"/>
  <c r="CI138" i="2"/>
  <c r="CG138" i="2"/>
  <c r="CF138" i="2"/>
  <c r="CE138" i="2"/>
  <c r="CD138" i="2"/>
  <c r="CB138" i="2"/>
  <c r="CA138" i="2"/>
  <c r="BZ138" i="2"/>
  <c r="BY138" i="2"/>
  <c r="BW138" i="2"/>
  <c r="BV138" i="2"/>
  <c r="BU138" i="2"/>
  <c r="BT138" i="2"/>
  <c r="BR138" i="2"/>
  <c r="BQ138" i="2"/>
  <c r="BP138" i="2"/>
  <c r="BO138" i="2"/>
  <c r="BM138" i="2"/>
  <c r="BL138" i="2"/>
  <c r="BK138" i="2"/>
  <c r="BJ138" i="2"/>
  <c r="BH138" i="2"/>
  <c r="BG138" i="2"/>
  <c r="BF138" i="2"/>
  <c r="BE138" i="2"/>
  <c r="BC138" i="2"/>
  <c r="BB138" i="2"/>
  <c r="BA138" i="2"/>
  <c r="AZ138" i="2"/>
  <c r="AX138" i="2"/>
  <c r="AW138" i="2"/>
  <c r="AV138" i="2"/>
  <c r="AU138" i="2"/>
  <c r="AS138" i="2"/>
  <c r="AR138" i="2"/>
  <c r="AQ138" i="2"/>
  <c r="AP138" i="2"/>
  <c r="AN138" i="2"/>
  <c r="AM138" i="2"/>
  <c r="AL138" i="2"/>
  <c r="AK138" i="2"/>
  <c r="AI138" i="2"/>
  <c r="AH138" i="2"/>
  <c r="AG138" i="2"/>
  <c r="AF138" i="2"/>
  <c r="AD138" i="2"/>
  <c r="AC138" i="2"/>
  <c r="AB138" i="2"/>
  <c r="AA138" i="2"/>
  <c r="Y138" i="2"/>
  <c r="X138" i="2"/>
  <c r="W138" i="2"/>
  <c r="V138" i="2"/>
  <c r="T138" i="2"/>
  <c r="S138" i="2"/>
  <c r="R138" i="2"/>
  <c r="Q138" i="2"/>
  <c r="O138" i="2"/>
  <c r="N138" i="2"/>
  <c r="M138" i="2"/>
  <c r="L138" i="2"/>
  <c r="J138" i="2"/>
  <c r="I138" i="2"/>
  <c r="H138" i="2"/>
  <c r="G138" i="2"/>
  <c r="CQ137" i="2"/>
  <c r="CP137" i="2"/>
  <c r="CO137" i="2"/>
  <c r="CN137" i="2"/>
  <c r="CL137" i="2"/>
  <c r="CK137" i="2"/>
  <c r="CJ137" i="2"/>
  <c r="CI137" i="2"/>
  <c r="CG137" i="2"/>
  <c r="CF137" i="2"/>
  <c r="CE137" i="2"/>
  <c r="CD137" i="2"/>
  <c r="CB137" i="2"/>
  <c r="CA137" i="2"/>
  <c r="BZ137" i="2"/>
  <c r="BY137" i="2"/>
  <c r="BW137" i="2"/>
  <c r="BV137" i="2"/>
  <c r="BU137" i="2"/>
  <c r="BT137" i="2"/>
  <c r="BR137" i="2"/>
  <c r="BQ137" i="2"/>
  <c r="BP137" i="2"/>
  <c r="BO137" i="2"/>
  <c r="BM137" i="2"/>
  <c r="BL137" i="2"/>
  <c r="BK137" i="2"/>
  <c r="BJ137" i="2"/>
  <c r="BH137" i="2"/>
  <c r="BG137" i="2"/>
  <c r="BF137" i="2"/>
  <c r="BE137" i="2"/>
  <c r="BC137" i="2"/>
  <c r="BB137" i="2"/>
  <c r="BA137" i="2"/>
  <c r="AZ137" i="2"/>
  <c r="AX137" i="2"/>
  <c r="AW137" i="2"/>
  <c r="AV137" i="2"/>
  <c r="AU137" i="2"/>
  <c r="AS137" i="2"/>
  <c r="AR137" i="2"/>
  <c r="AQ137" i="2"/>
  <c r="AP137" i="2"/>
  <c r="AN137" i="2"/>
  <c r="AM137" i="2"/>
  <c r="AL137" i="2"/>
  <c r="AK137" i="2"/>
  <c r="AI137" i="2"/>
  <c r="AH137" i="2"/>
  <c r="AG137" i="2"/>
  <c r="AF137" i="2"/>
  <c r="AD137" i="2"/>
  <c r="AC137" i="2"/>
  <c r="AB137" i="2"/>
  <c r="AA137" i="2"/>
  <c r="Y137" i="2"/>
  <c r="X137" i="2"/>
  <c r="W137" i="2"/>
  <c r="V137" i="2"/>
  <c r="T137" i="2"/>
  <c r="S137" i="2"/>
  <c r="R137" i="2"/>
  <c r="Q137" i="2"/>
  <c r="O137" i="2"/>
  <c r="N137" i="2"/>
  <c r="M137" i="2"/>
  <c r="L137" i="2"/>
  <c r="J137" i="2"/>
  <c r="I137" i="2"/>
  <c r="H137" i="2"/>
  <c r="G137" i="2"/>
  <c r="CQ136" i="2"/>
  <c r="CP136" i="2"/>
  <c r="CO136" i="2"/>
  <c r="CN136" i="2"/>
  <c r="CL136" i="2"/>
  <c r="CK136" i="2"/>
  <c r="CJ136" i="2"/>
  <c r="CI136" i="2"/>
  <c r="CG136" i="2"/>
  <c r="CF136" i="2"/>
  <c r="CE136" i="2"/>
  <c r="CD136" i="2"/>
  <c r="CB136" i="2"/>
  <c r="CA136" i="2"/>
  <c r="BZ136" i="2"/>
  <c r="BY136" i="2"/>
  <c r="BW136" i="2"/>
  <c r="BV136" i="2"/>
  <c r="BU136" i="2"/>
  <c r="BT136" i="2"/>
  <c r="BR136" i="2"/>
  <c r="BQ136" i="2"/>
  <c r="BP136" i="2"/>
  <c r="BO136" i="2"/>
  <c r="BM136" i="2"/>
  <c r="BL136" i="2"/>
  <c r="BK136" i="2"/>
  <c r="BJ136" i="2"/>
  <c r="BH136" i="2"/>
  <c r="BG136" i="2"/>
  <c r="BF136" i="2"/>
  <c r="BE136" i="2"/>
  <c r="BC136" i="2"/>
  <c r="BB136" i="2"/>
  <c r="BA136" i="2"/>
  <c r="AZ136" i="2"/>
  <c r="AX136" i="2"/>
  <c r="AW136" i="2"/>
  <c r="AV136" i="2"/>
  <c r="AU136" i="2"/>
  <c r="AS136" i="2"/>
  <c r="AR136" i="2"/>
  <c r="AQ136" i="2"/>
  <c r="AP136" i="2"/>
  <c r="AN136" i="2"/>
  <c r="AM136" i="2"/>
  <c r="AL136" i="2"/>
  <c r="AK136" i="2"/>
  <c r="AI136" i="2"/>
  <c r="AH136" i="2"/>
  <c r="AG136" i="2"/>
  <c r="AF136" i="2"/>
  <c r="AD136" i="2"/>
  <c r="AC136" i="2"/>
  <c r="AB136" i="2"/>
  <c r="AA136" i="2"/>
  <c r="Y136" i="2"/>
  <c r="X136" i="2"/>
  <c r="W136" i="2"/>
  <c r="V136" i="2"/>
  <c r="T136" i="2"/>
  <c r="S136" i="2"/>
  <c r="R136" i="2"/>
  <c r="Q136" i="2"/>
  <c r="O136" i="2"/>
  <c r="N136" i="2"/>
  <c r="M136" i="2"/>
  <c r="L136" i="2"/>
  <c r="J136" i="2"/>
  <c r="I136" i="2"/>
  <c r="H136" i="2"/>
  <c r="G136" i="2"/>
  <c r="CQ135" i="2"/>
  <c r="CP135" i="2"/>
  <c r="CO135" i="2"/>
  <c r="CN135" i="2"/>
  <c r="CL135" i="2"/>
  <c r="CK135" i="2"/>
  <c r="CJ135" i="2"/>
  <c r="CI135" i="2"/>
  <c r="CG135" i="2"/>
  <c r="CF135" i="2"/>
  <c r="CE135" i="2"/>
  <c r="CD135" i="2"/>
  <c r="CB135" i="2"/>
  <c r="CA135" i="2"/>
  <c r="BZ135" i="2"/>
  <c r="BY135" i="2"/>
  <c r="BW135" i="2"/>
  <c r="BV135" i="2"/>
  <c r="BU135" i="2"/>
  <c r="BT135" i="2"/>
  <c r="BR135" i="2"/>
  <c r="BQ135" i="2"/>
  <c r="BP135" i="2"/>
  <c r="BO135" i="2"/>
  <c r="BM135" i="2"/>
  <c r="BL135" i="2"/>
  <c r="BK135" i="2"/>
  <c r="BJ135" i="2"/>
  <c r="BH135" i="2"/>
  <c r="BG135" i="2"/>
  <c r="BF135" i="2"/>
  <c r="BE135" i="2"/>
  <c r="BC135" i="2"/>
  <c r="BB135" i="2"/>
  <c r="BA135" i="2"/>
  <c r="AZ135" i="2"/>
  <c r="AX135" i="2"/>
  <c r="AW135" i="2"/>
  <c r="AV135" i="2"/>
  <c r="AU135" i="2"/>
  <c r="AS135" i="2"/>
  <c r="AR135" i="2"/>
  <c r="AQ135" i="2"/>
  <c r="AP135" i="2"/>
  <c r="AN135" i="2"/>
  <c r="AM135" i="2"/>
  <c r="AL135" i="2"/>
  <c r="AK135" i="2"/>
  <c r="AI135" i="2"/>
  <c r="AH135" i="2"/>
  <c r="AG135" i="2"/>
  <c r="AF135" i="2"/>
  <c r="AD135" i="2"/>
  <c r="AC135" i="2"/>
  <c r="AB135" i="2"/>
  <c r="AA135" i="2"/>
  <c r="Y135" i="2"/>
  <c r="X135" i="2"/>
  <c r="W135" i="2"/>
  <c r="V135" i="2"/>
  <c r="T135" i="2"/>
  <c r="S135" i="2"/>
  <c r="R135" i="2"/>
  <c r="Q135" i="2"/>
  <c r="O135" i="2"/>
  <c r="N135" i="2"/>
  <c r="M135" i="2"/>
  <c r="L135" i="2"/>
  <c r="J135" i="2"/>
  <c r="I135" i="2"/>
  <c r="H135" i="2"/>
  <c r="G135" i="2"/>
  <c r="B132" i="2"/>
  <c r="C132" i="2" s="1"/>
  <c r="D132" i="2" s="1"/>
  <c r="E132" i="2" s="1"/>
  <c r="F132" i="2" s="1"/>
  <c r="G132" i="2" s="1"/>
  <c r="H132" i="2" s="1"/>
  <c r="I132" i="2" s="1"/>
  <c r="J132" i="2" s="1"/>
  <c r="K132" i="2" s="1"/>
  <c r="L132" i="2" s="1"/>
  <c r="M132" i="2" s="1"/>
  <c r="N132" i="2" s="1"/>
  <c r="O132" i="2" s="1"/>
  <c r="P132" i="2" s="1"/>
  <c r="Q132" i="2" s="1"/>
  <c r="R132" i="2" s="1"/>
  <c r="S132" i="2" s="1"/>
  <c r="T132" i="2" s="1"/>
  <c r="U132" i="2" s="1"/>
  <c r="V132" i="2" s="1"/>
  <c r="W132" i="2" s="1"/>
  <c r="X132" i="2" s="1"/>
  <c r="Y132" i="2" s="1"/>
  <c r="Z132" i="2" s="1"/>
  <c r="AA132" i="2" s="1"/>
  <c r="AB132" i="2" s="1"/>
  <c r="AC132" i="2" s="1"/>
  <c r="AD132" i="2" s="1"/>
  <c r="AE132" i="2" s="1"/>
  <c r="AF132" i="2" s="1"/>
  <c r="AG132" i="2" s="1"/>
  <c r="AH132" i="2" s="1"/>
  <c r="AI132" i="2" s="1"/>
  <c r="AJ132" i="2" s="1"/>
  <c r="AK132" i="2" s="1"/>
  <c r="AL132" i="2" s="1"/>
  <c r="AM132" i="2" s="1"/>
  <c r="AN132" i="2" s="1"/>
  <c r="AO132" i="2" s="1"/>
  <c r="AP132" i="2" s="1"/>
  <c r="AQ132" i="2" s="1"/>
  <c r="AR132" i="2" s="1"/>
  <c r="AS132" i="2" s="1"/>
  <c r="AT132" i="2" s="1"/>
  <c r="AU132" i="2" s="1"/>
  <c r="AV132" i="2" s="1"/>
  <c r="AW132" i="2" s="1"/>
  <c r="AX132" i="2" s="1"/>
  <c r="AY132" i="2" s="1"/>
  <c r="AZ132" i="2" s="1"/>
  <c r="BA132" i="2" s="1"/>
  <c r="BB132" i="2" s="1"/>
  <c r="BC132" i="2" s="1"/>
  <c r="BD132" i="2" s="1"/>
  <c r="BE132" i="2" s="1"/>
  <c r="BF132" i="2" s="1"/>
  <c r="BG132" i="2" s="1"/>
  <c r="BH132" i="2" s="1"/>
  <c r="BI132" i="2" s="1"/>
  <c r="BJ132" i="2" s="1"/>
  <c r="BK132" i="2" s="1"/>
  <c r="BL132" i="2" s="1"/>
  <c r="BM132" i="2" s="1"/>
  <c r="BN132" i="2" s="1"/>
  <c r="BO132" i="2" s="1"/>
  <c r="BP132" i="2" s="1"/>
  <c r="BQ132" i="2" s="1"/>
  <c r="BR132" i="2" s="1"/>
  <c r="BS132" i="2" s="1"/>
  <c r="BT132" i="2" s="1"/>
  <c r="BU132" i="2" s="1"/>
  <c r="BV132" i="2" s="1"/>
  <c r="BW132" i="2" s="1"/>
  <c r="BX132" i="2" s="1"/>
  <c r="BY132" i="2" s="1"/>
  <c r="BZ132" i="2" s="1"/>
  <c r="CA132" i="2" s="1"/>
  <c r="CB132" i="2" s="1"/>
  <c r="CC132" i="2" s="1"/>
  <c r="CD132" i="2" s="1"/>
  <c r="CE132" i="2" s="1"/>
  <c r="CF132" i="2" s="1"/>
  <c r="CG132" i="2" s="1"/>
  <c r="CH132" i="2" s="1"/>
  <c r="CI132" i="2" s="1"/>
  <c r="CJ132" i="2" s="1"/>
  <c r="CK132" i="2" s="1"/>
  <c r="CL132" i="2" s="1"/>
  <c r="CM132" i="2" s="1"/>
  <c r="CN132" i="2" s="1"/>
  <c r="CO132" i="2" s="1"/>
  <c r="CP132" i="2" s="1"/>
  <c r="CQ132" i="2" s="1"/>
  <c r="CR132" i="2" s="1"/>
  <c r="CQ123" i="2"/>
  <c r="CP123" i="2"/>
  <c r="CO123" i="2"/>
  <c r="CN123" i="2"/>
  <c r="CL123" i="2"/>
  <c r="CK123" i="2"/>
  <c r="CJ123" i="2"/>
  <c r="CI123" i="2"/>
  <c r="CG123" i="2"/>
  <c r="CF123" i="2"/>
  <c r="CE123" i="2"/>
  <c r="CD123" i="2"/>
  <c r="CB123" i="2"/>
  <c r="CA123" i="2"/>
  <c r="BZ123" i="2"/>
  <c r="BY123" i="2"/>
  <c r="BW123" i="2"/>
  <c r="BV123" i="2"/>
  <c r="BU123" i="2"/>
  <c r="BT123" i="2"/>
  <c r="BR123" i="2"/>
  <c r="BQ123" i="2"/>
  <c r="BP123" i="2"/>
  <c r="BO123" i="2"/>
  <c r="BM123" i="2"/>
  <c r="BL123" i="2"/>
  <c r="BK123" i="2"/>
  <c r="BJ123" i="2"/>
  <c r="BH123" i="2"/>
  <c r="BG123" i="2"/>
  <c r="BF123" i="2"/>
  <c r="BE123" i="2"/>
  <c r="BC123" i="2"/>
  <c r="BB123" i="2"/>
  <c r="BA123" i="2"/>
  <c r="AZ123" i="2"/>
  <c r="AX123" i="2"/>
  <c r="AW123" i="2"/>
  <c r="AV123" i="2"/>
  <c r="AU123" i="2"/>
  <c r="AS123" i="2"/>
  <c r="AR123" i="2"/>
  <c r="AQ123" i="2"/>
  <c r="AP123" i="2"/>
  <c r="AN123" i="2"/>
  <c r="AM123" i="2"/>
  <c r="AL123" i="2"/>
  <c r="AK123" i="2"/>
  <c r="AI123" i="2"/>
  <c r="AH123" i="2"/>
  <c r="AG123" i="2"/>
  <c r="AF123" i="2"/>
  <c r="AD123" i="2"/>
  <c r="AC123" i="2"/>
  <c r="AB123" i="2"/>
  <c r="AA123" i="2"/>
  <c r="Y123" i="2"/>
  <c r="X123" i="2"/>
  <c r="W123" i="2"/>
  <c r="V123" i="2"/>
  <c r="T123" i="2"/>
  <c r="S123" i="2"/>
  <c r="R123" i="2"/>
  <c r="Q123" i="2"/>
  <c r="O123" i="2"/>
  <c r="N123" i="2"/>
  <c r="M123" i="2"/>
  <c r="L123" i="2"/>
  <c r="J123" i="2"/>
  <c r="I123" i="2"/>
  <c r="H123" i="2"/>
  <c r="G123" i="2"/>
  <c r="CQ121" i="2"/>
  <c r="CP121" i="2"/>
  <c r="CO121" i="2"/>
  <c r="CN121" i="2"/>
  <c r="CL121" i="2"/>
  <c r="CK121" i="2"/>
  <c r="CJ121" i="2"/>
  <c r="CI121" i="2"/>
  <c r="CG121" i="2"/>
  <c r="CF121" i="2"/>
  <c r="CE121" i="2"/>
  <c r="CD121" i="2"/>
  <c r="CB121" i="2"/>
  <c r="CA121" i="2"/>
  <c r="BZ121" i="2"/>
  <c r="BY121" i="2"/>
  <c r="BW121" i="2"/>
  <c r="BV121" i="2"/>
  <c r="BU121" i="2"/>
  <c r="BT121" i="2"/>
  <c r="BR121" i="2"/>
  <c r="BQ121" i="2"/>
  <c r="BP121" i="2"/>
  <c r="BO121" i="2"/>
  <c r="BM121" i="2"/>
  <c r="BL121" i="2"/>
  <c r="BK121" i="2"/>
  <c r="BJ121" i="2"/>
  <c r="BH121" i="2"/>
  <c r="BG121" i="2"/>
  <c r="BF121" i="2"/>
  <c r="BE121" i="2"/>
  <c r="BC121" i="2"/>
  <c r="BB121" i="2"/>
  <c r="BA121" i="2"/>
  <c r="AZ121" i="2"/>
  <c r="AX121" i="2"/>
  <c r="AW121" i="2"/>
  <c r="AV121" i="2"/>
  <c r="AU121" i="2"/>
  <c r="AS121" i="2"/>
  <c r="AR121" i="2"/>
  <c r="AQ121" i="2"/>
  <c r="AP121" i="2"/>
  <c r="AN121" i="2"/>
  <c r="AM121" i="2"/>
  <c r="AL121" i="2"/>
  <c r="AK121" i="2"/>
  <c r="AI121" i="2"/>
  <c r="AH121" i="2"/>
  <c r="AG121" i="2"/>
  <c r="AF121" i="2"/>
  <c r="AD121" i="2"/>
  <c r="AC121" i="2"/>
  <c r="AB121" i="2"/>
  <c r="AA121" i="2"/>
  <c r="Y121" i="2"/>
  <c r="X121" i="2"/>
  <c r="W121" i="2"/>
  <c r="V121" i="2"/>
  <c r="T121" i="2"/>
  <c r="S121" i="2"/>
  <c r="R121" i="2"/>
  <c r="Q121" i="2"/>
  <c r="O121" i="2"/>
  <c r="N121" i="2"/>
  <c r="M121" i="2"/>
  <c r="L121" i="2"/>
  <c r="J121" i="2"/>
  <c r="I121" i="2"/>
  <c r="H121" i="2"/>
  <c r="G121" i="2"/>
  <c r="CQ119" i="2"/>
  <c r="CP119" i="2"/>
  <c r="CO119" i="2"/>
  <c r="CN119" i="2"/>
  <c r="CL119" i="2"/>
  <c r="CK119" i="2"/>
  <c r="CJ119" i="2"/>
  <c r="CI119" i="2"/>
  <c r="CG119" i="2"/>
  <c r="CF119" i="2"/>
  <c r="CE119" i="2"/>
  <c r="CD119" i="2"/>
  <c r="CB119" i="2"/>
  <c r="CA119" i="2"/>
  <c r="BZ119" i="2"/>
  <c r="BY119" i="2"/>
  <c r="BW119" i="2"/>
  <c r="BV119" i="2"/>
  <c r="BU119" i="2"/>
  <c r="BT119" i="2"/>
  <c r="BR119" i="2"/>
  <c r="BQ119" i="2"/>
  <c r="BP119" i="2"/>
  <c r="BO119" i="2"/>
  <c r="BM119" i="2"/>
  <c r="BL119" i="2"/>
  <c r="BK119" i="2"/>
  <c r="BJ119" i="2"/>
  <c r="BH119" i="2"/>
  <c r="BG119" i="2"/>
  <c r="BF119" i="2"/>
  <c r="BE119" i="2"/>
  <c r="BC119" i="2"/>
  <c r="BB119" i="2"/>
  <c r="BA119" i="2"/>
  <c r="AZ119" i="2"/>
  <c r="AX119" i="2"/>
  <c r="AW119" i="2"/>
  <c r="AV119" i="2"/>
  <c r="AU119" i="2"/>
  <c r="AS119" i="2"/>
  <c r="AR119" i="2"/>
  <c r="AQ119" i="2"/>
  <c r="AP119" i="2"/>
  <c r="AN119" i="2"/>
  <c r="AM119" i="2"/>
  <c r="AL119" i="2"/>
  <c r="AK119" i="2"/>
  <c r="AI119" i="2"/>
  <c r="AH119" i="2"/>
  <c r="AG119" i="2"/>
  <c r="AF119" i="2"/>
  <c r="AD119" i="2"/>
  <c r="AC119" i="2"/>
  <c r="AB119" i="2"/>
  <c r="AA119" i="2"/>
  <c r="Y119" i="2"/>
  <c r="X119" i="2"/>
  <c r="W119" i="2"/>
  <c r="V119" i="2"/>
  <c r="T119" i="2"/>
  <c r="S119" i="2"/>
  <c r="R119" i="2"/>
  <c r="Q119" i="2"/>
  <c r="O119" i="2"/>
  <c r="N119" i="2"/>
  <c r="M119" i="2"/>
  <c r="L119" i="2"/>
  <c r="J119" i="2"/>
  <c r="I119" i="2"/>
  <c r="H119" i="2"/>
  <c r="G119" i="2"/>
  <c r="CQ117" i="2"/>
  <c r="CP117" i="2"/>
  <c r="CO117" i="2"/>
  <c r="CN117" i="2"/>
  <c r="CL117" i="2"/>
  <c r="CK117" i="2"/>
  <c r="CJ117" i="2"/>
  <c r="CI117" i="2"/>
  <c r="CG117" i="2"/>
  <c r="CF117" i="2"/>
  <c r="CE117" i="2"/>
  <c r="CD117" i="2"/>
  <c r="CB117" i="2"/>
  <c r="CA117" i="2"/>
  <c r="BZ117" i="2"/>
  <c r="BY117" i="2"/>
  <c r="BW117" i="2"/>
  <c r="BV117" i="2"/>
  <c r="BU117" i="2"/>
  <c r="BT117" i="2"/>
  <c r="BR117" i="2"/>
  <c r="BQ117" i="2"/>
  <c r="BP117" i="2"/>
  <c r="BO117" i="2"/>
  <c r="BM117" i="2"/>
  <c r="BL117" i="2"/>
  <c r="BK117" i="2"/>
  <c r="BJ117" i="2"/>
  <c r="BH117" i="2"/>
  <c r="BG117" i="2"/>
  <c r="BF117" i="2"/>
  <c r="BE117" i="2"/>
  <c r="BC117" i="2"/>
  <c r="BB117" i="2"/>
  <c r="BA117" i="2"/>
  <c r="AZ117" i="2"/>
  <c r="AX117" i="2"/>
  <c r="AW117" i="2"/>
  <c r="AV117" i="2"/>
  <c r="AU117" i="2"/>
  <c r="AS117" i="2"/>
  <c r="AR117" i="2"/>
  <c r="AQ117" i="2"/>
  <c r="AP117" i="2"/>
  <c r="AN117" i="2"/>
  <c r="AM117" i="2"/>
  <c r="AL117" i="2"/>
  <c r="AK117" i="2"/>
  <c r="AI117" i="2"/>
  <c r="AH117" i="2"/>
  <c r="AG117" i="2"/>
  <c r="AF117" i="2"/>
  <c r="AD117" i="2"/>
  <c r="AC117" i="2"/>
  <c r="AB117" i="2"/>
  <c r="AA117" i="2"/>
  <c r="Y117" i="2"/>
  <c r="X117" i="2"/>
  <c r="W117" i="2"/>
  <c r="V117" i="2"/>
  <c r="T117" i="2"/>
  <c r="S117" i="2"/>
  <c r="R117" i="2"/>
  <c r="Q117" i="2"/>
  <c r="O117" i="2"/>
  <c r="N117" i="2"/>
  <c r="M117" i="2"/>
  <c r="L117" i="2"/>
  <c r="J117" i="2"/>
  <c r="I117" i="2"/>
  <c r="H117" i="2"/>
  <c r="G117" i="2"/>
  <c r="CQ116" i="2"/>
  <c r="CP116" i="2"/>
  <c r="CO116" i="2"/>
  <c r="CN116" i="2"/>
  <c r="CL116" i="2"/>
  <c r="CK116" i="2"/>
  <c r="CJ116" i="2"/>
  <c r="CI116" i="2"/>
  <c r="CG116" i="2"/>
  <c r="CF116" i="2"/>
  <c r="CE116" i="2"/>
  <c r="CD116" i="2"/>
  <c r="CB116" i="2"/>
  <c r="CA116" i="2"/>
  <c r="BZ116" i="2"/>
  <c r="BY116" i="2"/>
  <c r="BW116" i="2"/>
  <c r="BV116" i="2"/>
  <c r="BU116" i="2"/>
  <c r="BT116" i="2"/>
  <c r="BR116" i="2"/>
  <c r="BQ116" i="2"/>
  <c r="BP116" i="2"/>
  <c r="BO116" i="2"/>
  <c r="BM116" i="2"/>
  <c r="BL116" i="2"/>
  <c r="BK116" i="2"/>
  <c r="BJ116" i="2"/>
  <c r="BH116" i="2"/>
  <c r="BG116" i="2"/>
  <c r="BF116" i="2"/>
  <c r="BE116" i="2"/>
  <c r="BC116" i="2"/>
  <c r="BB116" i="2"/>
  <c r="BA116" i="2"/>
  <c r="AZ116" i="2"/>
  <c r="AX116" i="2"/>
  <c r="AW116" i="2"/>
  <c r="AV116" i="2"/>
  <c r="AU116" i="2"/>
  <c r="AS116" i="2"/>
  <c r="AR116" i="2"/>
  <c r="AQ116" i="2"/>
  <c r="AP116" i="2"/>
  <c r="AN116" i="2"/>
  <c r="AM116" i="2"/>
  <c r="AL116" i="2"/>
  <c r="AK116" i="2"/>
  <c r="AI116" i="2"/>
  <c r="AH116" i="2"/>
  <c r="AG116" i="2"/>
  <c r="AF116" i="2"/>
  <c r="AD116" i="2"/>
  <c r="AC116" i="2"/>
  <c r="AB116" i="2"/>
  <c r="AA116" i="2"/>
  <c r="Y116" i="2"/>
  <c r="X116" i="2"/>
  <c r="W116" i="2"/>
  <c r="V116" i="2"/>
  <c r="T116" i="2"/>
  <c r="S116" i="2"/>
  <c r="R116" i="2"/>
  <c r="Q116" i="2"/>
  <c r="O116" i="2"/>
  <c r="N116" i="2"/>
  <c r="M116" i="2"/>
  <c r="L116" i="2"/>
  <c r="J116" i="2"/>
  <c r="I116" i="2"/>
  <c r="H116" i="2"/>
  <c r="G116" i="2"/>
  <c r="CQ113" i="2"/>
  <c r="CP113" i="2"/>
  <c r="CO113" i="2"/>
  <c r="CN113" i="2"/>
  <c r="CL113" i="2"/>
  <c r="CK113" i="2"/>
  <c r="CJ113" i="2"/>
  <c r="CI113" i="2"/>
  <c r="CG113" i="2"/>
  <c r="CF113" i="2"/>
  <c r="CE113" i="2"/>
  <c r="CD113" i="2"/>
  <c r="CB113" i="2"/>
  <c r="CA113" i="2"/>
  <c r="BZ113" i="2"/>
  <c r="BY113" i="2"/>
  <c r="BW113" i="2"/>
  <c r="BV113" i="2"/>
  <c r="BU113" i="2"/>
  <c r="BT113" i="2"/>
  <c r="BR113" i="2"/>
  <c r="BQ113" i="2"/>
  <c r="BP113" i="2"/>
  <c r="BO113" i="2"/>
  <c r="BM113" i="2"/>
  <c r="BL113" i="2"/>
  <c r="BK113" i="2"/>
  <c r="BJ113" i="2"/>
  <c r="BH113" i="2"/>
  <c r="BG113" i="2"/>
  <c r="BF113" i="2"/>
  <c r="BE113" i="2"/>
  <c r="BC113" i="2"/>
  <c r="BB113" i="2"/>
  <c r="BA113" i="2"/>
  <c r="AZ113" i="2"/>
  <c r="AX113" i="2"/>
  <c r="AW113" i="2"/>
  <c r="AV113" i="2"/>
  <c r="AU113" i="2"/>
  <c r="AS113" i="2"/>
  <c r="AR113" i="2"/>
  <c r="AQ113" i="2"/>
  <c r="AP113" i="2"/>
  <c r="AN113" i="2"/>
  <c r="AM113" i="2"/>
  <c r="AL113" i="2"/>
  <c r="AK113" i="2"/>
  <c r="AI113" i="2"/>
  <c r="AH113" i="2"/>
  <c r="AG113" i="2"/>
  <c r="AF113" i="2"/>
  <c r="AD113" i="2"/>
  <c r="AC113" i="2"/>
  <c r="AB113" i="2"/>
  <c r="AA113" i="2"/>
  <c r="Y113" i="2"/>
  <c r="X113" i="2"/>
  <c r="W113" i="2"/>
  <c r="V113" i="2"/>
  <c r="T113" i="2"/>
  <c r="S113" i="2"/>
  <c r="R113" i="2"/>
  <c r="Q113" i="2"/>
  <c r="O113" i="2"/>
  <c r="N113" i="2"/>
  <c r="M113" i="2"/>
  <c r="L113" i="2"/>
  <c r="J113" i="2"/>
  <c r="I113" i="2"/>
  <c r="H113" i="2"/>
  <c r="G113" i="2"/>
  <c r="CQ111" i="2"/>
  <c r="CP111" i="2"/>
  <c r="CO111" i="2"/>
  <c r="CN111" i="2"/>
  <c r="CL111" i="2"/>
  <c r="CK111" i="2"/>
  <c r="CJ111" i="2"/>
  <c r="CI111" i="2"/>
  <c r="CG111" i="2"/>
  <c r="CF111" i="2"/>
  <c r="CE111" i="2"/>
  <c r="CD111" i="2"/>
  <c r="CB111" i="2"/>
  <c r="CA111" i="2"/>
  <c r="BZ111" i="2"/>
  <c r="BY111" i="2"/>
  <c r="BW111" i="2"/>
  <c r="BV111" i="2"/>
  <c r="BU111" i="2"/>
  <c r="BT111" i="2"/>
  <c r="BR111" i="2"/>
  <c r="BQ111" i="2"/>
  <c r="BP111" i="2"/>
  <c r="BO111" i="2"/>
  <c r="BM111" i="2"/>
  <c r="BL111" i="2"/>
  <c r="BK111" i="2"/>
  <c r="BJ111" i="2"/>
  <c r="BH111" i="2"/>
  <c r="BG111" i="2"/>
  <c r="BF111" i="2"/>
  <c r="BE111" i="2"/>
  <c r="BC111" i="2"/>
  <c r="BB111" i="2"/>
  <c r="BA111" i="2"/>
  <c r="AZ111" i="2"/>
  <c r="AX111" i="2"/>
  <c r="AW111" i="2"/>
  <c r="AV111" i="2"/>
  <c r="AU111" i="2"/>
  <c r="AS111" i="2"/>
  <c r="AR111" i="2"/>
  <c r="AQ111" i="2"/>
  <c r="AP111" i="2"/>
  <c r="AN111" i="2"/>
  <c r="AM111" i="2"/>
  <c r="AL111" i="2"/>
  <c r="AK111" i="2"/>
  <c r="AI111" i="2"/>
  <c r="AH111" i="2"/>
  <c r="AG111" i="2"/>
  <c r="AF111" i="2"/>
  <c r="AD111" i="2"/>
  <c r="AC111" i="2"/>
  <c r="AB111" i="2"/>
  <c r="AA111" i="2"/>
  <c r="Y111" i="2"/>
  <c r="X111" i="2"/>
  <c r="W111" i="2"/>
  <c r="V111" i="2"/>
  <c r="T111" i="2"/>
  <c r="S111" i="2"/>
  <c r="R111" i="2"/>
  <c r="Q111" i="2"/>
  <c r="O111" i="2"/>
  <c r="N111" i="2"/>
  <c r="M111" i="2"/>
  <c r="L111" i="2"/>
  <c r="J111" i="2"/>
  <c r="I111" i="2"/>
  <c r="H111" i="2"/>
  <c r="G111" i="2"/>
  <c r="CQ109" i="2"/>
  <c r="CP109" i="2"/>
  <c r="CO109" i="2"/>
  <c r="CN109" i="2"/>
  <c r="CL109" i="2"/>
  <c r="CK109" i="2"/>
  <c r="CJ109" i="2"/>
  <c r="CI109" i="2"/>
  <c r="CG109" i="2"/>
  <c r="CF109" i="2"/>
  <c r="CE109" i="2"/>
  <c r="CD109" i="2"/>
  <c r="CB109" i="2"/>
  <c r="CA109" i="2"/>
  <c r="BZ109" i="2"/>
  <c r="BY109" i="2"/>
  <c r="BW109" i="2"/>
  <c r="BV109" i="2"/>
  <c r="BU109" i="2"/>
  <c r="BT109" i="2"/>
  <c r="BR109" i="2"/>
  <c r="BQ109" i="2"/>
  <c r="BP109" i="2"/>
  <c r="BO109" i="2"/>
  <c r="BM109" i="2"/>
  <c r="BL109" i="2"/>
  <c r="BK109" i="2"/>
  <c r="BJ109" i="2"/>
  <c r="BH109" i="2"/>
  <c r="BG109" i="2"/>
  <c r="BF109" i="2"/>
  <c r="BE109" i="2"/>
  <c r="BC109" i="2"/>
  <c r="BB109" i="2"/>
  <c r="BA109" i="2"/>
  <c r="AZ109" i="2"/>
  <c r="AX109" i="2"/>
  <c r="AW109" i="2"/>
  <c r="AV109" i="2"/>
  <c r="AU109" i="2"/>
  <c r="AS109" i="2"/>
  <c r="AR109" i="2"/>
  <c r="AQ109" i="2"/>
  <c r="AP109" i="2"/>
  <c r="AN109" i="2"/>
  <c r="AM109" i="2"/>
  <c r="AL109" i="2"/>
  <c r="AK109" i="2"/>
  <c r="AI109" i="2"/>
  <c r="AH109" i="2"/>
  <c r="AG109" i="2"/>
  <c r="AF109" i="2"/>
  <c r="AD109" i="2"/>
  <c r="AC109" i="2"/>
  <c r="AB109" i="2"/>
  <c r="AA109" i="2"/>
  <c r="Y109" i="2"/>
  <c r="X109" i="2"/>
  <c r="W109" i="2"/>
  <c r="V109" i="2"/>
  <c r="T109" i="2"/>
  <c r="S109" i="2"/>
  <c r="R109" i="2"/>
  <c r="Q109" i="2"/>
  <c r="O109" i="2"/>
  <c r="N109" i="2"/>
  <c r="M109" i="2"/>
  <c r="L109" i="2"/>
  <c r="J109" i="2"/>
  <c r="I109" i="2"/>
  <c r="H109" i="2"/>
  <c r="G109" i="2"/>
  <c r="CQ108" i="2"/>
  <c r="CP108" i="2"/>
  <c r="CO108" i="2"/>
  <c r="CN108" i="2"/>
  <c r="CL108" i="2"/>
  <c r="CK108" i="2"/>
  <c r="CJ108" i="2"/>
  <c r="CI108" i="2"/>
  <c r="CG108" i="2"/>
  <c r="CF108" i="2"/>
  <c r="CE108" i="2"/>
  <c r="CD108" i="2"/>
  <c r="CB108" i="2"/>
  <c r="CA108" i="2"/>
  <c r="BZ108" i="2"/>
  <c r="BY108" i="2"/>
  <c r="BW108" i="2"/>
  <c r="BV108" i="2"/>
  <c r="BU108" i="2"/>
  <c r="BT108" i="2"/>
  <c r="BR108" i="2"/>
  <c r="BQ108" i="2"/>
  <c r="BP108" i="2"/>
  <c r="BO108" i="2"/>
  <c r="BM108" i="2"/>
  <c r="BL108" i="2"/>
  <c r="BK108" i="2"/>
  <c r="BJ108" i="2"/>
  <c r="BH108" i="2"/>
  <c r="BG108" i="2"/>
  <c r="BF108" i="2"/>
  <c r="BE108" i="2"/>
  <c r="BC108" i="2"/>
  <c r="BB108" i="2"/>
  <c r="BA108" i="2"/>
  <c r="AZ108" i="2"/>
  <c r="AX108" i="2"/>
  <c r="AW108" i="2"/>
  <c r="AV108" i="2"/>
  <c r="AU108" i="2"/>
  <c r="AS108" i="2"/>
  <c r="AR108" i="2"/>
  <c r="AQ108" i="2"/>
  <c r="AP108" i="2"/>
  <c r="AN108" i="2"/>
  <c r="AM108" i="2"/>
  <c r="AL108" i="2"/>
  <c r="AK108" i="2"/>
  <c r="AI108" i="2"/>
  <c r="AH108" i="2"/>
  <c r="AG108" i="2"/>
  <c r="AF108" i="2"/>
  <c r="AD108" i="2"/>
  <c r="AC108" i="2"/>
  <c r="AB108" i="2"/>
  <c r="AA108" i="2"/>
  <c r="Y108" i="2"/>
  <c r="X108" i="2"/>
  <c r="W108" i="2"/>
  <c r="V108" i="2"/>
  <c r="T108" i="2"/>
  <c r="S108" i="2"/>
  <c r="R108" i="2"/>
  <c r="Q108" i="2"/>
  <c r="O108" i="2"/>
  <c r="N108" i="2"/>
  <c r="M108" i="2"/>
  <c r="L108" i="2"/>
  <c r="J108" i="2"/>
  <c r="I108" i="2"/>
  <c r="H108" i="2"/>
  <c r="G108" i="2"/>
  <c r="CQ107" i="2"/>
  <c r="CP107" i="2"/>
  <c r="CO107" i="2"/>
  <c r="CN107" i="2"/>
  <c r="CL107" i="2"/>
  <c r="CK107" i="2"/>
  <c r="CJ107" i="2"/>
  <c r="CI107" i="2"/>
  <c r="CG107" i="2"/>
  <c r="CF107" i="2"/>
  <c r="CE107" i="2"/>
  <c r="CD107" i="2"/>
  <c r="CB107" i="2"/>
  <c r="CA107" i="2"/>
  <c r="BZ107" i="2"/>
  <c r="BY107" i="2"/>
  <c r="BW107" i="2"/>
  <c r="BV107" i="2"/>
  <c r="BU107" i="2"/>
  <c r="BT107" i="2"/>
  <c r="BR107" i="2"/>
  <c r="BQ107" i="2"/>
  <c r="BP107" i="2"/>
  <c r="BO107" i="2"/>
  <c r="BM107" i="2"/>
  <c r="BL107" i="2"/>
  <c r="BK107" i="2"/>
  <c r="BJ107" i="2"/>
  <c r="BH107" i="2"/>
  <c r="BG107" i="2"/>
  <c r="BF107" i="2"/>
  <c r="BE107" i="2"/>
  <c r="BC107" i="2"/>
  <c r="BB107" i="2"/>
  <c r="BA107" i="2"/>
  <c r="AZ107" i="2"/>
  <c r="AX107" i="2"/>
  <c r="AW107" i="2"/>
  <c r="AV107" i="2"/>
  <c r="AU107" i="2"/>
  <c r="AS107" i="2"/>
  <c r="AR107" i="2"/>
  <c r="AQ107" i="2"/>
  <c r="AP107" i="2"/>
  <c r="AN107" i="2"/>
  <c r="AM107" i="2"/>
  <c r="AL107" i="2"/>
  <c r="AK107" i="2"/>
  <c r="AI107" i="2"/>
  <c r="AH107" i="2"/>
  <c r="AG107" i="2"/>
  <c r="AF107" i="2"/>
  <c r="AD107" i="2"/>
  <c r="AC107" i="2"/>
  <c r="AB107" i="2"/>
  <c r="AA107" i="2"/>
  <c r="Y107" i="2"/>
  <c r="X107" i="2"/>
  <c r="W107" i="2"/>
  <c r="V107" i="2"/>
  <c r="T107" i="2"/>
  <c r="S107" i="2"/>
  <c r="R107" i="2"/>
  <c r="Q107" i="2"/>
  <c r="O107" i="2"/>
  <c r="N107" i="2"/>
  <c r="M107" i="2"/>
  <c r="L107" i="2"/>
  <c r="J107" i="2"/>
  <c r="I107" i="2"/>
  <c r="H107" i="2"/>
  <c r="G107" i="2"/>
  <c r="CQ106" i="2"/>
  <c r="CP106" i="2"/>
  <c r="CO106" i="2"/>
  <c r="CN106" i="2"/>
  <c r="CL106" i="2"/>
  <c r="CK106" i="2"/>
  <c r="CJ106" i="2"/>
  <c r="CI106" i="2"/>
  <c r="CG106" i="2"/>
  <c r="CF106" i="2"/>
  <c r="CE106" i="2"/>
  <c r="CD106" i="2"/>
  <c r="CB106" i="2"/>
  <c r="CA106" i="2"/>
  <c r="BZ106" i="2"/>
  <c r="BY106" i="2"/>
  <c r="BW106" i="2"/>
  <c r="BV106" i="2"/>
  <c r="BU106" i="2"/>
  <c r="BT106" i="2"/>
  <c r="BR106" i="2"/>
  <c r="BQ106" i="2"/>
  <c r="BP106" i="2"/>
  <c r="BO106" i="2"/>
  <c r="BM106" i="2"/>
  <c r="BL106" i="2"/>
  <c r="BK106" i="2"/>
  <c r="BJ106" i="2"/>
  <c r="BH106" i="2"/>
  <c r="BG106" i="2"/>
  <c r="BF106" i="2"/>
  <c r="BE106" i="2"/>
  <c r="BC106" i="2"/>
  <c r="BB106" i="2"/>
  <c r="BA106" i="2"/>
  <c r="AZ106" i="2"/>
  <c r="AX106" i="2"/>
  <c r="AW106" i="2"/>
  <c r="AV106" i="2"/>
  <c r="AU106" i="2"/>
  <c r="AS106" i="2"/>
  <c r="AR106" i="2"/>
  <c r="AQ106" i="2"/>
  <c r="AP106" i="2"/>
  <c r="AN106" i="2"/>
  <c r="AM106" i="2"/>
  <c r="AL106" i="2"/>
  <c r="AK106" i="2"/>
  <c r="AI106" i="2"/>
  <c r="AH106" i="2"/>
  <c r="AG106" i="2"/>
  <c r="AF106" i="2"/>
  <c r="AD106" i="2"/>
  <c r="AC106" i="2"/>
  <c r="AB106" i="2"/>
  <c r="AA106" i="2"/>
  <c r="Y106" i="2"/>
  <c r="X106" i="2"/>
  <c r="W106" i="2"/>
  <c r="V106" i="2"/>
  <c r="T106" i="2"/>
  <c r="S106" i="2"/>
  <c r="R106" i="2"/>
  <c r="Q106" i="2"/>
  <c r="O106" i="2"/>
  <c r="N106" i="2"/>
  <c r="M106" i="2"/>
  <c r="L106" i="2"/>
  <c r="J106" i="2"/>
  <c r="I106" i="2"/>
  <c r="H106" i="2"/>
  <c r="G106" i="2"/>
  <c r="CQ105" i="2"/>
  <c r="CP105" i="2"/>
  <c r="CO105" i="2"/>
  <c r="CN105" i="2"/>
  <c r="CL105" i="2"/>
  <c r="CK105" i="2"/>
  <c r="CJ105" i="2"/>
  <c r="CI105" i="2"/>
  <c r="CG105" i="2"/>
  <c r="CF105" i="2"/>
  <c r="CE105" i="2"/>
  <c r="CD105" i="2"/>
  <c r="CB105" i="2"/>
  <c r="CA105" i="2"/>
  <c r="BZ105" i="2"/>
  <c r="BY105" i="2"/>
  <c r="BW105" i="2"/>
  <c r="BV105" i="2"/>
  <c r="BU105" i="2"/>
  <c r="BT105" i="2"/>
  <c r="BR105" i="2"/>
  <c r="BQ105" i="2"/>
  <c r="BP105" i="2"/>
  <c r="BO105" i="2"/>
  <c r="BM105" i="2"/>
  <c r="BL105" i="2"/>
  <c r="BK105" i="2"/>
  <c r="BJ105" i="2"/>
  <c r="BH105" i="2"/>
  <c r="BG105" i="2"/>
  <c r="BF105" i="2"/>
  <c r="BE105" i="2"/>
  <c r="BC105" i="2"/>
  <c r="BB105" i="2"/>
  <c r="BA105" i="2"/>
  <c r="AZ105" i="2"/>
  <c r="AX105" i="2"/>
  <c r="AW105" i="2"/>
  <c r="AV105" i="2"/>
  <c r="AU105" i="2"/>
  <c r="AS105" i="2"/>
  <c r="AR105" i="2"/>
  <c r="AQ105" i="2"/>
  <c r="AP105" i="2"/>
  <c r="AN105" i="2"/>
  <c r="AM105" i="2"/>
  <c r="AL105" i="2"/>
  <c r="AK105" i="2"/>
  <c r="AI105" i="2"/>
  <c r="AH105" i="2"/>
  <c r="AG105" i="2"/>
  <c r="AF105" i="2"/>
  <c r="AD105" i="2"/>
  <c r="AC105" i="2"/>
  <c r="AB105" i="2"/>
  <c r="AA105" i="2"/>
  <c r="Y105" i="2"/>
  <c r="X105" i="2"/>
  <c r="W105" i="2"/>
  <c r="V105" i="2"/>
  <c r="T105" i="2"/>
  <c r="S105" i="2"/>
  <c r="R105" i="2"/>
  <c r="Q105" i="2"/>
  <c r="O105" i="2"/>
  <c r="N105" i="2"/>
  <c r="M105" i="2"/>
  <c r="L105" i="2"/>
  <c r="J105" i="2"/>
  <c r="I105" i="2"/>
  <c r="H105" i="2"/>
  <c r="G105" i="2"/>
  <c r="CQ104" i="2"/>
  <c r="CP104" i="2"/>
  <c r="CO104" i="2"/>
  <c r="CN104" i="2"/>
  <c r="CL104" i="2"/>
  <c r="CK104" i="2"/>
  <c r="CJ104" i="2"/>
  <c r="CI104" i="2"/>
  <c r="CG104" i="2"/>
  <c r="CF104" i="2"/>
  <c r="CE104" i="2"/>
  <c r="CD104" i="2"/>
  <c r="CB104" i="2"/>
  <c r="CA104" i="2"/>
  <c r="BZ104" i="2"/>
  <c r="BY104" i="2"/>
  <c r="BW104" i="2"/>
  <c r="BV104" i="2"/>
  <c r="BU104" i="2"/>
  <c r="BT104" i="2"/>
  <c r="BR104" i="2"/>
  <c r="BQ104" i="2"/>
  <c r="BP104" i="2"/>
  <c r="BO104" i="2"/>
  <c r="BM104" i="2"/>
  <c r="BL104" i="2"/>
  <c r="BK104" i="2"/>
  <c r="BJ104" i="2"/>
  <c r="BH104" i="2"/>
  <c r="BG104" i="2"/>
  <c r="BF104" i="2"/>
  <c r="BE104" i="2"/>
  <c r="BC104" i="2"/>
  <c r="BB104" i="2"/>
  <c r="BA104" i="2"/>
  <c r="AZ104" i="2"/>
  <c r="AX104" i="2"/>
  <c r="AW104" i="2"/>
  <c r="AV104" i="2"/>
  <c r="AU104" i="2"/>
  <c r="AS104" i="2"/>
  <c r="AR104" i="2"/>
  <c r="AQ104" i="2"/>
  <c r="AP104" i="2"/>
  <c r="AN104" i="2"/>
  <c r="AM104" i="2"/>
  <c r="AL104" i="2"/>
  <c r="AK104" i="2"/>
  <c r="AI104" i="2"/>
  <c r="AH104" i="2"/>
  <c r="AG104" i="2"/>
  <c r="AF104" i="2"/>
  <c r="AD104" i="2"/>
  <c r="AC104" i="2"/>
  <c r="AB104" i="2"/>
  <c r="AA104" i="2"/>
  <c r="Y104" i="2"/>
  <c r="X104" i="2"/>
  <c r="W104" i="2"/>
  <c r="V104" i="2"/>
  <c r="T104" i="2"/>
  <c r="S104" i="2"/>
  <c r="R104" i="2"/>
  <c r="Q104" i="2"/>
  <c r="O104" i="2"/>
  <c r="N104" i="2"/>
  <c r="M104" i="2"/>
  <c r="L104" i="2"/>
  <c r="J104" i="2"/>
  <c r="I104" i="2"/>
  <c r="H104" i="2"/>
  <c r="G104" i="2"/>
  <c r="CQ103" i="2"/>
  <c r="CP103" i="2"/>
  <c r="CO103" i="2"/>
  <c r="CN103" i="2"/>
  <c r="CL103" i="2"/>
  <c r="CK103" i="2"/>
  <c r="CJ103" i="2"/>
  <c r="CI103" i="2"/>
  <c r="CG103" i="2"/>
  <c r="CF103" i="2"/>
  <c r="CE103" i="2"/>
  <c r="CD103" i="2"/>
  <c r="CB103" i="2"/>
  <c r="CA103" i="2"/>
  <c r="BZ103" i="2"/>
  <c r="BY103" i="2"/>
  <c r="BW103" i="2"/>
  <c r="BV103" i="2"/>
  <c r="BU103" i="2"/>
  <c r="BT103" i="2"/>
  <c r="BR103" i="2"/>
  <c r="BQ103" i="2"/>
  <c r="BP103" i="2"/>
  <c r="BO103" i="2"/>
  <c r="BM103" i="2"/>
  <c r="BL103" i="2"/>
  <c r="BK103" i="2"/>
  <c r="BJ103" i="2"/>
  <c r="BH103" i="2"/>
  <c r="BG103" i="2"/>
  <c r="BF103" i="2"/>
  <c r="BE103" i="2"/>
  <c r="BC103" i="2"/>
  <c r="BB103" i="2"/>
  <c r="BA103" i="2"/>
  <c r="AZ103" i="2"/>
  <c r="AX103" i="2"/>
  <c r="AW103" i="2"/>
  <c r="AV103" i="2"/>
  <c r="AU103" i="2"/>
  <c r="AS103" i="2"/>
  <c r="AR103" i="2"/>
  <c r="AQ103" i="2"/>
  <c r="AP103" i="2"/>
  <c r="AN103" i="2"/>
  <c r="AM103" i="2"/>
  <c r="AL103" i="2"/>
  <c r="AK103" i="2"/>
  <c r="AI103" i="2"/>
  <c r="AH103" i="2"/>
  <c r="AG103" i="2"/>
  <c r="AF103" i="2"/>
  <c r="AD103" i="2"/>
  <c r="AC103" i="2"/>
  <c r="AB103" i="2"/>
  <c r="AA103" i="2"/>
  <c r="Y103" i="2"/>
  <c r="X103" i="2"/>
  <c r="W103" i="2"/>
  <c r="V103" i="2"/>
  <c r="T103" i="2"/>
  <c r="S103" i="2"/>
  <c r="R103" i="2"/>
  <c r="Q103" i="2"/>
  <c r="O103" i="2"/>
  <c r="N103" i="2"/>
  <c r="M103" i="2"/>
  <c r="L103" i="2"/>
  <c r="J103" i="2"/>
  <c r="I103" i="2"/>
  <c r="H103" i="2"/>
  <c r="G103" i="2"/>
  <c r="B100" i="2"/>
  <c r="C100" i="2" s="1"/>
  <c r="D100" i="2" s="1"/>
  <c r="E100" i="2" s="1"/>
  <c r="F100" i="2" s="1"/>
  <c r="G100" i="2" s="1"/>
  <c r="H100" i="2" s="1"/>
  <c r="I100" i="2" s="1"/>
  <c r="J100" i="2" s="1"/>
  <c r="K100" i="2" s="1"/>
  <c r="L100" i="2" s="1"/>
  <c r="M100" i="2" s="1"/>
  <c r="N100" i="2" s="1"/>
  <c r="O100" i="2" s="1"/>
  <c r="P100" i="2" s="1"/>
  <c r="Q100" i="2" s="1"/>
  <c r="R100" i="2" s="1"/>
  <c r="S100" i="2" s="1"/>
  <c r="T100" i="2" s="1"/>
  <c r="U100" i="2" s="1"/>
  <c r="V100" i="2" s="1"/>
  <c r="W100" i="2" s="1"/>
  <c r="X100" i="2" s="1"/>
  <c r="Y100" i="2" s="1"/>
  <c r="Z100" i="2" s="1"/>
  <c r="AA100" i="2" s="1"/>
  <c r="AB100" i="2" s="1"/>
  <c r="AC100" i="2" s="1"/>
  <c r="AD100" i="2" s="1"/>
  <c r="AE100" i="2" s="1"/>
  <c r="AF100" i="2" s="1"/>
  <c r="AG100" i="2" s="1"/>
  <c r="AH100" i="2" s="1"/>
  <c r="AI100" i="2" s="1"/>
  <c r="AJ100" i="2" s="1"/>
  <c r="AK100" i="2" s="1"/>
  <c r="AL100" i="2" s="1"/>
  <c r="AM100" i="2" s="1"/>
  <c r="AN100" i="2" s="1"/>
  <c r="AO100" i="2" s="1"/>
  <c r="AP100" i="2" s="1"/>
  <c r="AQ100" i="2" s="1"/>
  <c r="AR100" i="2" s="1"/>
  <c r="AS100" i="2" s="1"/>
  <c r="AT100" i="2" s="1"/>
  <c r="AU100" i="2" s="1"/>
  <c r="AV100" i="2" s="1"/>
  <c r="AW100" i="2" s="1"/>
  <c r="AX100" i="2" s="1"/>
  <c r="AY100" i="2" s="1"/>
  <c r="AZ100" i="2" s="1"/>
  <c r="BA100" i="2" s="1"/>
  <c r="BB100" i="2" s="1"/>
  <c r="BC100" i="2" s="1"/>
  <c r="BD100" i="2" s="1"/>
  <c r="BE100" i="2" s="1"/>
  <c r="BF100" i="2" s="1"/>
  <c r="BG100" i="2" s="1"/>
  <c r="BH100" i="2" s="1"/>
  <c r="BI100" i="2" s="1"/>
  <c r="BJ100" i="2" s="1"/>
  <c r="BK100" i="2" s="1"/>
  <c r="BL100" i="2" s="1"/>
  <c r="BM100" i="2" s="1"/>
  <c r="BN100" i="2" s="1"/>
  <c r="BO100" i="2" s="1"/>
  <c r="BP100" i="2" s="1"/>
  <c r="BQ100" i="2" s="1"/>
  <c r="BR100" i="2" s="1"/>
  <c r="BS100" i="2" s="1"/>
  <c r="BT100" i="2" s="1"/>
  <c r="BU100" i="2" s="1"/>
  <c r="BV100" i="2" s="1"/>
  <c r="BW100" i="2" s="1"/>
  <c r="BX100" i="2" s="1"/>
  <c r="BY100" i="2" s="1"/>
  <c r="BZ100" i="2" s="1"/>
  <c r="CA100" i="2" s="1"/>
  <c r="CB100" i="2" s="1"/>
  <c r="CC100" i="2" s="1"/>
  <c r="CD100" i="2" s="1"/>
  <c r="CE100" i="2" s="1"/>
  <c r="CF100" i="2" s="1"/>
  <c r="CG100" i="2" s="1"/>
  <c r="CH100" i="2" s="1"/>
  <c r="CI100" i="2" s="1"/>
  <c r="CJ100" i="2" s="1"/>
  <c r="CK100" i="2" s="1"/>
  <c r="CL100" i="2" s="1"/>
  <c r="CM100" i="2" s="1"/>
  <c r="CN100" i="2" s="1"/>
  <c r="CO100" i="2" s="1"/>
  <c r="CP100" i="2" s="1"/>
  <c r="CQ100" i="2" s="1"/>
  <c r="CR100" i="2" s="1"/>
  <c r="CQ91" i="2"/>
  <c r="CP91" i="2"/>
  <c r="CO91" i="2"/>
  <c r="CN91" i="2"/>
  <c r="CL91" i="2"/>
  <c r="CK91" i="2"/>
  <c r="CJ91" i="2"/>
  <c r="CI91" i="2"/>
  <c r="CG91" i="2"/>
  <c r="CF91" i="2"/>
  <c r="CE91" i="2"/>
  <c r="CD91" i="2"/>
  <c r="CB91" i="2"/>
  <c r="CA91" i="2"/>
  <c r="BZ91" i="2"/>
  <c r="BY91" i="2"/>
  <c r="BW91" i="2"/>
  <c r="BV91" i="2"/>
  <c r="BU91" i="2"/>
  <c r="BT91" i="2"/>
  <c r="BR91" i="2"/>
  <c r="BQ91" i="2"/>
  <c r="BP91" i="2"/>
  <c r="BO91" i="2"/>
  <c r="BM91" i="2"/>
  <c r="BL91" i="2"/>
  <c r="BK91" i="2"/>
  <c r="BJ91" i="2"/>
  <c r="BH91" i="2"/>
  <c r="BG91" i="2"/>
  <c r="BF91" i="2"/>
  <c r="BE91" i="2"/>
  <c r="BC91" i="2"/>
  <c r="BB91" i="2"/>
  <c r="BA91" i="2"/>
  <c r="AZ91" i="2"/>
  <c r="AX91" i="2"/>
  <c r="AW91" i="2"/>
  <c r="AV91" i="2"/>
  <c r="AU91" i="2"/>
  <c r="AS91" i="2"/>
  <c r="AR91" i="2"/>
  <c r="AQ91" i="2"/>
  <c r="AP91" i="2"/>
  <c r="AN91" i="2"/>
  <c r="AM91" i="2"/>
  <c r="AL91" i="2"/>
  <c r="AK91" i="2"/>
  <c r="AI91" i="2"/>
  <c r="AH91" i="2"/>
  <c r="AG91" i="2"/>
  <c r="AF91" i="2"/>
  <c r="AD91" i="2"/>
  <c r="AC91" i="2"/>
  <c r="AB91" i="2"/>
  <c r="AA91" i="2"/>
  <c r="Y91" i="2"/>
  <c r="X91" i="2"/>
  <c r="W91" i="2"/>
  <c r="V91" i="2"/>
  <c r="T91" i="2"/>
  <c r="S91" i="2"/>
  <c r="R91" i="2"/>
  <c r="Q91" i="2"/>
  <c r="O91" i="2"/>
  <c r="N91" i="2"/>
  <c r="M91" i="2"/>
  <c r="L91" i="2"/>
  <c r="J91" i="2"/>
  <c r="I91" i="2"/>
  <c r="H91" i="2"/>
  <c r="G91" i="2"/>
  <c r="E91" i="2"/>
  <c r="D91" i="2"/>
  <c r="C91" i="2"/>
  <c r="CQ89" i="2"/>
  <c r="CP89" i="2"/>
  <c r="CO89" i="2"/>
  <c r="CN89" i="2"/>
  <c r="CL89" i="2"/>
  <c r="CK89" i="2"/>
  <c r="CJ89" i="2"/>
  <c r="CI89" i="2"/>
  <c r="CG89" i="2"/>
  <c r="CF89" i="2"/>
  <c r="CE89" i="2"/>
  <c r="CD89" i="2"/>
  <c r="CB89" i="2"/>
  <c r="CA89" i="2"/>
  <c r="BZ89" i="2"/>
  <c r="BY89" i="2"/>
  <c r="BW89" i="2"/>
  <c r="BV89" i="2"/>
  <c r="BU89" i="2"/>
  <c r="BT89" i="2"/>
  <c r="BR89" i="2"/>
  <c r="BQ89" i="2"/>
  <c r="BP89" i="2"/>
  <c r="BO89" i="2"/>
  <c r="BM89" i="2"/>
  <c r="BL89" i="2"/>
  <c r="BK89" i="2"/>
  <c r="BJ89" i="2"/>
  <c r="BH89" i="2"/>
  <c r="BG89" i="2"/>
  <c r="BF89" i="2"/>
  <c r="BE89" i="2"/>
  <c r="BC89" i="2"/>
  <c r="BB89" i="2"/>
  <c r="BA89" i="2"/>
  <c r="AZ89" i="2"/>
  <c r="AX89" i="2"/>
  <c r="AW89" i="2"/>
  <c r="AV89" i="2"/>
  <c r="AU89" i="2"/>
  <c r="AS89" i="2"/>
  <c r="AR89" i="2"/>
  <c r="AQ89" i="2"/>
  <c r="AP89" i="2"/>
  <c r="AN89" i="2"/>
  <c r="AM89" i="2"/>
  <c r="AL89" i="2"/>
  <c r="AK89" i="2"/>
  <c r="AI89" i="2"/>
  <c r="AH89" i="2"/>
  <c r="AG89" i="2"/>
  <c r="AF89" i="2"/>
  <c r="AD89" i="2"/>
  <c r="AC89" i="2"/>
  <c r="AB89" i="2"/>
  <c r="AA89" i="2"/>
  <c r="Y89" i="2"/>
  <c r="X89" i="2"/>
  <c r="W89" i="2"/>
  <c r="V89" i="2"/>
  <c r="T89" i="2"/>
  <c r="S89" i="2"/>
  <c r="R89" i="2"/>
  <c r="Q89" i="2"/>
  <c r="O89" i="2"/>
  <c r="N89" i="2"/>
  <c r="M89" i="2"/>
  <c r="L89" i="2"/>
  <c r="J89" i="2"/>
  <c r="I89" i="2"/>
  <c r="H89" i="2"/>
  <c r="G89" i="2"/>
  <c r="E89" i="2"/>
  <c r="D89" i="2"/>
  <c r="C89" i="2"/>
  <c r="CQ87" i="2"/>
  <c r="CP87" i="2"/>
  <c r="CO87" i="2"/>
  <c r="CN87" i="2"/>
  <c r="CL87" i="2"/>
  <c r="CK87" i="2"/>
  <c r="CJ87" i="2"/>
  <c r="CI87" i="2"/>
  <c r="CG87" i="2"/>
  <c r="CF87" i="2"/>
  <c r="CE87" i="2"/>
  <c r="CD87" i="2"/>
  <c r="CB87" i="2"/>
  <c r="CA87" i="2"/>
  <c r="BZ87" i="2"/>
  <c r="BY87" i="2"/>
  <c r="BW87" i="2"/>
  <c r="BV87" i="2"/>
  <c r="BU87" i="2"/>
  <c r="BT87" i="2"/>
  <c r="BR87" i="2"/>
  <c r="BQ87" i="2"/>
  <c r="BP87" i="2"/>
  <c r="BO87" i="2"/>
  <c r="BM87" i="2"/>
  <c r="BL87" i="2"/>
  <c r="BK87" i="2"/>
  <c r="BJ87" i="2"/>
  <c r="BH87" i="2"/>
  <c r="BG87" i="2"/>
  <c r="BF87" i="2"/>
  <c r="BE87" i="2"/>
  <c r="BC87" i="2"/>
  <c r="BB87" i="2"/>
  <c r="BA87" i="2"/>
  <c r="AZ87" i="2"/>
  <c r="AX87" i="2"/>
  <c r="AW87" i="2"/>
  <c r="AV87" i="2"/>
  <c r="AU87" i="2"/>
  <c r="AS87" i="2"/>
  <c r="AR87" i="2"/>
  <c r="AQ87" i="2"/>
  <c r="AP87" i="2"/>
  <c r="AN87" i="2"/>
  <c r="AM87" i="2"/>
  <c r="AL87" i="2"/>
  <c r="AK87" i="2"/>
  <c r="AI87" i="2"/>
  <c r="AH87" i="2"/>
  <c r="AG87" i="2"/>
  <c r="AF87" i="2"/>
  <c r="AD87" i="2"/>
  <c r="AC87" i="2"/>
  <c r="AB87" i="2"/>
  <c r="AA87" i="2"/>
  <c r="Y87" i="2"/>
  <c r="X87" i="2"/>
  <c r="W87" i="2"/>
  <c r="V87" i="2"/>
  <c r="T87" i="2"/>
  <c r="S87" i="2"/>
  <c r="R87" i="2"/>
  <c r="Q87" i="2"/>
  <c r="O87" i="2"/>
  <c r="N87" i="2"/>
  <c r="M87" i="2"/>
  <c r="L87" i="2"/>
  <c r="J87" i="2"/>
  <c r="I87" i="2"/>
  <c r="H87" i="2"/>
  <c r="G87" i="2"/>
  <c r="E87" i="2"/>
  <c r="D87" i="2"/>
  <c r="C87" i="2"/>
  <c r="CQ85" i="2"/>
  <c r="CP85" i="2"/>
  <c r="CO85" i="2"/>
  <c r="CN85" i="2"/>
  <c r="CL85" i="2"/>
  <c r="CK85" i="2"/>
  <c r="CJ85" i="2"/>
  <c r="CI85" i="2"/>
  <c r="CG85" i="2"/>
  <c r="CF85" i="2"/>
  <c r="CE85" i="2"/>
  <c r="CD85" i="2"/>
  <c r="CB85" i="2"/>
  <c r="CA85" i="2"/>
  <c r="BZ85" i="2"/>
  <c r="BY85" i="2"/>
  <c r="BW85" i="2"/>
  <c r="BV85" i="2"/>
  <c r="BU85" i="2"/>
  <c r="BT85" i="2"/>
  <c r="BR85" i="2"/>
  <c r="BQ85" i="2"/>
  <c r="BP85" i="2"/>
  <c r="BO85" i="2"/>
  <c r="BM85" i="2"/>
  <c r="BL85" i="2"/>
  <c r="BK85" i="2"/>
  <c r="BJ85" i="2"/>
  <c r="BH85" i="2"/>
  <c r="BG85" i="2"/>
  <c r="BF85" i="2"/>
  <c r="BE85" i="2"/>
  <c r="BC85" i="2"/>
  <c r="BB85" i="2"/>
  <c r="BA85" i="2"/>
  <c r="AZ85" i="2"/>
  <c r="AX85" i="2"/>
  <c r="AW85" i="2"/>
  <c r="AV85" i="2"/>
  <c r="AU85" i="2"/>
  <c r="AS85" i="2"/>
  <c r="AR85" i="2"/>
  <c r="AQ85" i="2"/>
  <c r="AP85" i="2"/>
  <c r="AN85" i="2"/>
  <c r="AM85" i="2"/>
  <c r="AL85" i="2"/>
  <c r="AK85" i="2"/>
  <c r="AI85" i="2"/>
  <c r="AH85" i="2"/>
  <c r="AG85" i="2"/>
  <c r="AF85" i="2"/>
  <c r="AD85" i="2"/>
  <c r="AC85" i="2"/>
  <c r="AB85" i="2"/>
  <c r="AA85" i="2"/>
  <c r="Y85" i="2"/>
  <c r="X85" i="2"/>
  <c r="W85" i="2"/>
  <c r="V85" i="2"/>
  <c r="T85" i="2"/>
  <c r="S85" i="2"/>
  <c r="R85" i="2"/>
  <c r="Q85" i="2"/>
  <c r="O85" i="2"/>
  <c r="N85" i="2"/>
  <c r="M85" i="2"/>
  <c r="L85" i="2"/>
  <c r="J85" i="2"/>
  <c r="I85" i="2"/>
  <c r="H85" i="2"/>
  <c r="G85" i="2"/>
  <c r="E85" i="2"/>
  <c r="D85" i="2"/>
  <c r="C85" i="2"/>
  <c r="CQ84" i="2"/>
  <c r="CP84" i="2"/>
  <c r="CO84" i="2"/>
  <c r="CN84" i="2"/>
  <c r="CL84" i="2"/>
  <c r="CK84" i="2"/>
  <c r="CJ84" i="2"/>
  <c r="CI84" i="2"/>
  <c r="CG84" i="2"/>
  <c r="CF84" i="2"/>
  <c r="CE84" i="2"/>
  <c r="CD84" i="2"/>
  <c r="CB84" i="2"/>
  <c r="CA84" i="2"/>
  <c r="BZ84" i="2"/>
  <c r="BY84" i="2"/>
  <c r="BW84" i="2"/>
  <c r="BV84" i="2"/>
  <c r="BU84" i="2"/>
  <c r="BT84" i="2"/>
  <c r="BR84" i="2"/>
  <c r="BQ84" i="2"/>
  <c r="BP84" i="2"/>
  <c r="BO84" i="2"/>
  <c r="BM84" i="2"/>
  <c r="BL84" i="2"/>
  <c r="BK84" i="2"/>
  <c r="BJ84" i="2"/>
  <c r="BH84" i="2"/>
  <c r="BG84" i="2"/>
  <c r="BF84" i="2"/>
  <c r="BE84" i="2"/>
  <c r="BC84" i="2"/>
  <c r="BB84" i="2"/>
  <c r="BA84" i="2"/>
  <c r="AZ84" i="2"/>
  <c r="AX84" i="2"/>
  <c r="AW84" i="2"/>
  <c r="AV84" i="2"/>
  <c r="AU84" i="2"/>
  <c r="AS84" i="2"/>
  <c r="AR84" i="2"/>
  <c r="AQ84" i="2"/>
  <c r="AP84" i="2"/>
  <c r="AN84" i="2"/>
  <c r="AM84" i="2"/>
  <c r="AL84" i="2"/>
  <c r="AK84" i="2"/>
  <c r="AI84" i="2"/>
  <c r="AH84" i="2"/>
  <c r="AG84" i="2"/>
  <c r="AF84" i="2"/>
  <c r="AD84" i="2"/>
  <c r="AC84" i="2"/>
  <c r="AB84" i="2"/>
  <c r="AA84" i="2"/>
  <c r="Y84" i="2"/>
  <c r="X84" i="2"/>
  <c r="W84" i="2"/>
  <c r="V84" i="2"/>
  <c r="T84" i="2"/>
  <c r="S84" i="2"/>
  <c r="R84" i="2"/>
  <c r="Q84" i="2"/>
  <c r="O84" i="2"/>
  <c r="N84" i="2"/>
  <c r="M84" i="2"/>
  <c r="L84" i="2"/>
  <c r="J84" i="2"/>
  <c r="I84" i="2"/>
  <c r="H84" i="2"/>
  <c r="G84" i="2"/>
  <c r="E84" i="2"/>
  <c r="D84" i="2"/>
  <c r="C84" i="2"/>
  <c r="CQ81" i="2"/>
  <c r="CP81" i="2"/>
  <c r="CO81" i="2"/>
  <c r="CN81" i="2"/>
  <c r="CL81" i="2"/>
  <c r="CK81" i="2"/>
  <c r="CJ81" i="2"/>
  <c r="CI81" i="2"/>
  <c r="CG81" i="2"/>
  <c r="CF81" i="2"/>
  <c r="CE81" i="2"/>
  <c r="CD81" i="2"/>
  <c r="CB81" i="2"/>
  <c r="CA81" i="2"/>
  <c r="BZ81" i="2"/>
  <c r="BY81" i="2"/>
  <c r="BW81" i="2"/>
  <c r="BV81" i="2"/>
  <c r="BU81" i="2"/>
  <c r="BT81" i="2"/>
  <c r="BR81" i="2"/>
  <c r="BQ81" i="2"/>
  <c r="BP81" i="2"/>
  <c r="BO81" i="2"/>
  <c r="BM81" i="2"/>
  <c r="BL81" i="2"/>
  <c r="BK81" i="2"/>
  <c r="BJ81" i="2"/>
  <c r="BH81" i="2"/>
  <c r="BG81" i="2"/>
  <c r="BF81" i="2"/>
  <c r="BE81" i="2"/>
  <c r="BC81" i="2"/>
  <c r="BB81" i="2"/>
  <c r="BA81" i="2"/>
  <c r="AZ81" i="2"/>
  <c r="AX81" i="2"/>
  <c r="AW81" i="2"/>
  <c r="AV81" i="2"/>
  <c r="AU81" i="2"/>
  <c r="AS81" i="2"/>
  <c r="AR81" i="2"/>
  <c r="AQ81" i="2"/>
  <c r="AP81" i="2"/>
  <c r="AN81" i="2"/>
  <c r="AM81" i="2"/>
  <c r="AL81" i="2"/>
  <c r="AK81" i="2"/>
  <c r="AI81" i="2"/>
  <c r="AH81" i="2"/>
  <c r="AG81" i="2"/>
  <c r="AF81" i="2"/>
  <c r="AD81" i="2"/>
  <c r="AC81" i="2"/>
  <c r="AB81" i="2"/>
  <c r="AA81" i="2"/>
  <c r="Y81" i="2"/>
  <c r="X81" i="2"/>
  <c r="W81" i="2"/>
  <c r="V81" i="2"/>
  <c r="T81" i="2"/>
  <c r="S81" i="2"/>
  <c r="R81" i="2"/>
  <c r="Q81" i="2"/>
  <c r="O81" i="2"/>
  <c r="N81" i="2"/>
  <c r="M81" i="2"/>
  <c r="L81" i="2"/>
  <c r="J81" i="2"/>
  <c r="I81" i="2"/>
  <c r="H81" i="2"/>
  <c r="G81" i="2"/>
  <c r="E81" i="2"/>
  <c r="D81" i="2"/>
  <c r="C81" i="2"/>
  <c r="CQ79" i="2"/>
  <c r="CP79" i="2"/>
  <c r="CO79" i="2"/>
  <c r="CN79" i="2"/>
  <c r="CL79" i="2"/>
  <c r="CK79" i="2"/>
  <c r="CJ79" i="2"/>
  <c r="CI79" i="2"/>
  <c r="CG79" i="2"/>
  <c r="CF79" i="2"/>
  <c r="CE79" i="2"/>
  <c r="CD79" i="2"/>
  <c r="CB79" i="2"/>
  <c r="CA79" i="2"/>
  <c r="BZ79" i="2"/>
  <c r="BY79" i="2"/>
  <c r="BW79" i="2"/>
  <c r="BV79" i="2"/>
  <c r="BU79" i="2"/>
  <c r="BT79" i="2"/>
  <c r="BR79" i="2"/>
  <c r="BQ79" i="2"/>
  <c r="BP79" i="2"/>
  <c r="BO79" i="2"/>
  <c r="BM79" i="2"/>
  <c r="BL79" i="2"/>
  <c r="BK79" i="2"/>
  <c r="BJ79" i="2"/>
  <c r="BH79" i="2"/>
  <c r="BG79" i="2"/>
  <c r="BF79" i="2"/>
  <c r="BE79" i="2"/>
  <c r="BC79" i="2"/>
  <c r="BB79" i="2"/>
  <c r="BA79" i="2"/>
  <c r="AZ79" i="2"/>
  <c r="AX79" i="2"/>
  <c r="AW79" i="2"/>
  <c r="AV79" i="2"/>
  <c r="AU79" i="2"/>
  <c r="AS79" i="2"/>
  <c r="AR79" i="2"/>
  <c r="AQ79" i="2"/>
  <c r="AP79" i="2"/>
  <c r="AN79" i="2"/>
  <c r="AM79" i="2"/>
  <c r="AL79" i="2"/>
  <c r="AK79" i="2"/>
  <c r="AI79" i="2"/>
  <c r="AH79" i="2"/>
  <c r="AG79" i="2"/>
  <c r="AF79" i="2"/>
  <c r="AD79" i="2"/>
  <c r="AC79" i="2"/>
  <c r="AB79" i="2"/>
  <c r="AA79" i="2"/>
  <c r="Y79" i="2"/>
  <c r="X79" i="2"/>
  <c r="W79" i="2"/>
  <c r="V79" i="2"/>
  <c r="T79" i="2"/>
  <c r="S79" i="2"/>
  <c r="R79" i="2"/>
  <c r="Q79" i="2"/>
  <c r="O79" i="2"/>
  <c r="N79" i="2"/>
  <c r="M79" i="2"/>
  <c r="L79" i="2"/>
  <c r="J79" i="2"/>
  <c r="I79" i="2"/>
  <c r="H79" i="2"/>
  <c r="G79" i="2"/>
  <c r="E79" i="2"/>
  <c r="D79" i="2"/>
  <c r="C79" i="2"/>
  <c r="CQ77" i="2"/>
  <c r="CP77" i="2"/>
  <c r="CO77" i="2"/>
  <c r="CN77" i="2"/>
  <c r="CL77" i="2"/>
  <c r="CK77" i="2"/>
  <c r="CJ77" i="2"/>
  <c r="CI77" i="2"/>
  <c r="CG77" i="2"/>
  <c r="CF77" i="2"/>
  <c r="CE77" i="2"/>
  <c r="CD77" i="2"/>
  <c r="CB77" i="2"/>
  <c r="CA77" i="2"/>
  <c r="BZ77" i="2"/>
  <c r="BY77" i="2"/>
  <c r="BW77" i="2"/>
  <c r="BV77" i="2"/>
  <c r="BU77" i="2"/>
  <c r="BT77" i="2"/>
  <c r="BR77" i="2"/>
  <c r="BQ77" i="2"/>
  <c r="BP77" i="2"/>
  <c r="BO77" i="2"/>
  <c r="BM77" i="2"/>
  <c r="BL77" i="2"/>
  <c r="BK77" i="2"/>
  <c r="BJ77" i="2"/>
  <c r="BH77" i="2"/>
  <c r="BG77" i="2"/>
  <c r="BF77" i="2"/>
  <c r="BE77" i="2"/>
  <c r="BC77" i="2"/>
  <c r="BB77" i="2"/>
  <c r="BA77" i="2"/>
  <c r="AZ77" i="2"/>
  <c r="AX77" i="2"/>
  <c r="AW77" i="2"/>
  <c r="AV77" i="2"/>
  <c r="AU77" i="2"/>
  <c r="AS77" i="2"/>
  <c r="AR77" i="2"/>
  <c r="AQ77" i="2"/>
  <c r="AP77" i="2"/>
  <c r="AN77" i="2"/>
  <c r="AM77" i="2"/>
  <c r="AL77" i="2"/>
  <c r="AK77" i="2"/>
  <c r="AI77" i="2"/>
  <c r="AH77" i="2"/>
  <c r="AG77" i="2"/>
  <c r="AF77" i="2"/>
  <c r="AD77" i="2"/>
  <c r="AC77" i="2"/>
  <c r="AB77" i="2"/>
  <c r="AA77" i="2"/>
  <c r="Y77" i="2"/>
  <c r="X77" i="2"/>
  <c r="W77" i="2"/>
  <c r="V77" i="2"/>
  <c r="T77" i="2"/>
  <c r="S77" i="2"/>
  <c r="R77" i="2"/>
  <c r="Q77" i="2"/>
  <c r="O77" i="2"/>
  <c r="N77" i="2"/>
  <c r="M77" i="2"/>
  <c r="L77" i="2"/>
  <c r="J77" i="2"/>
  <c r="I77" i="2"/>
  <c r="H77" i="2"/>
  <c r="G77" i="2"/>
  <c r="E77" i="2"/>
  <c r="D77" i="2"/>
  <c r="C77" i="2"/>
  <c r="CQ76" i="2"/>
  <c r="CP76" i="2"/>
  <c r="CO76" i="2"/>
  <c r="CN76" i="2"/>
  <c r="CL76" i="2"/>
  <c r="CK76" i="2"/>
  <c r="CJ76" i="2"/>
  <c r="CI76" i="2"/>
  <c r="CG76" i="2"/>
  <c r="CF76" i="2"/>
  <c r="CE76" i="2"/>
  <c r="CD76" i="2"/>
  <c r="CB76" i="2"/>
  <c r="CA76" i="2"/>
  <c r="BZ76" i="2"/>
  <c r="BY76" i="2"/>
  <c r="BW76" i="2"/>
  <c r="BV76" i="2"/>
  <c r="BU76" i="2"/>
  <c r="BT76" i="2"/>
  <c r="BR76" i="2"/>
  <c r="BQ76" i="2"/>
  <c r="BP76" i="2"/>
  <c r="BO76" i="2"/>
  <c r="BM76" i="2"/>
  <c r="BL76" i="2"/>
  <c r="BK76" i="2"/>
  <c r="BJ76" i="2"/>
  <c r="BH76" i="2"/>
  <c r="BG76" i="2"/>
  <c r="BF76" i="2"/>
  <c r="BE76" i="2"/>
  <c r="BC76" i="2"/>
  <c r="BB76" i="2"/>
  <c r="BA76" i="2"/>
  <c r="AZ76" i="2"/>
  <c r="AX76" i="2"/>
  <c r="AW76" i="2"/>
  <c r="AV76" i="2"/>
  <c r="AU76" i="2"/>
  <c r="AS76" i="2"/>
  <c r="AR76" i="2"/>
  <c r="AQ76" i="2"/>
  <c r="AP76" i="2"/>
  <c r="AN76" i="2"/>
  <c r="AM76" i="2"/>
  <c r="AL76" i="2"/>
  <c r="AK76" i="2"/>
  <c r="AI76" i="2"/>
  <c r="AH76" i="2"/>
  <c r="AG76" i="2"/>
  <c r="AF76" i="2"/>
  <c r="AD76" i="2"/>
  <c r="AC76" i="2"/>
  <c r="AB76" i="2"/>
  <c r="AA76" i="2"/>
  <c r="Y76" i="2"/>
  <c r="X76" i="2"/>
  <c r="W76" i="2"/>
  <c r="V76" i="2"/>
  <c r="T76" i="2"/>
  <c r="S76" i="2"/>
  <c r="R76" i="2"/>
  <c r="Q76" i="2"/>
  <c r="O76" i="2"/>
  <c r="N76" i="2"/>
  <c r="M76" i="2"/>
  <c r="L76" i="2"/>
  <c r="J76" i="2"/>
  <c r="I76" i="2"/>
  <c r="H76" i="2"/>
  <c r="G76" i="2"/>
  <c r="E76" i="2"/>
  <c r="D76" i="2"/>
  <c r="C76" i="2"/>
  <c r="CQ75" i="2"/>
  <c r="CP75" i="2"/>
  <c r="CO75" i="2"/>
  <c r="CN75" i="2"/>
  <c r="CL75" i="2"/>
  <c r="CK75" i="2"/>
  <c r="CJ75" i="2"/>
  <c r="CI75" i="2"/>
  <c r="CG75" i="2"/>
  <c r="CF75" i="2"/>
  <c r="CE75" i="2"/>
  <c r="CD75" i="2"/>
  <c r="CB75" i="2"/>
  <c r="CA75" i="2"/>
  <c r="BZ75" i="2"/>
  <c r="BY75" i="2"/>
  <c r="BW75" i="2"/>
  <c r="BV75" i="2"/>
  <c r="BU75" i="2"/>
  <c r="BT75" i="2"/>
  <c r="BR75" i="2"/>
  <c r="BQ75" i="2"/>
  <c r="BP75" i="2"/>
  <c r="BO75" i="2"/>
  <c r="BM75" i="2"/>
  <c r="BL75" i="2"/>
  <c r="BK75" i="2"/>
  <c r="BJ75" i="2"/>
  <c r="BH75" i="2"/>
  <c r="BG75" i="2"/>
  <c r="BF75" i="2"/>
  <c r="BE75" i="2"/>
  <c r="BC75" i="2"/>
  <c r="BB75" i="2"/>
  <c r="BA75" i="2"/>
  <c r="AZ75" i="2"/>
  <c r="AX75" i="2"/>
  <c r="AW75" i="2"/>
  <c r="AV75" i="2"/>
  <c r="AU75" i="2"/>
  <c r="AS75" i="2"/>
  <c r="AR75" i="2"/>
  <c r="AQ75" i="2"/>
  <c r="AP75" i="2"/>
  <c r="AN75" i="2"/>
  <c r="AM75" i="2"/>
  <c r="AL75" i="2"/>
  <c r="AK75" i="2"/>
  <c r="AI75" i="2"/>
  <c r="AH75" i="2"/>
  <c r="AG75" i="2"/>
  <c r="AF75" i="2"/>
  <c r="AD75" i="2"/>
  <c r="AC75" i="2"/>
  <c r="AB75" i="2"/>
  <c r="AA75" i="2"/>
  <c r="Y75" i="2"/>
  <c r="X75" i="2"/>
  <c r="W75" i="2"/>
  <c r="V75" i="2"/>
  <c r="T75" i="2"/>
  <c r="S75" i="2"/>
  <c r="R75" i="2"/>
  <c r="Q75" i="2"/>
  <c r="O75" i="2"/>
  <c r="N75" i="2"/>
  <c r="M75" i="2"/>
  <c r="L75" i="2"/>
  <c r="J75" i="2"/>
  <c r="I75" i="2"/>
  <c r="H75" i="2"/>
  <c r="G75" i="2"/>
  <c r="E75" i="2"/>
  <c r="D75" i="2"/>
  <c r="C75" i="2"/>
  <c r="CQ74" i="2"/>
  <c r="CP74" i="2"/>
  <c r="CO74" i="2"/>
  <c r="CN74" i="2"/>
  <c r="CL74" i="2"/>
  <c r="CK74" i="2"/>
  <c r="CJ74" i="2"/>
  <c r="CI74" i="2"/>
  <c r="CG74" i="2"/>
  <c r="CF74" i="2"/>
  <c r="CE74" i="2"/>
  <c r="CD74" i="2"/>
  <c r="CB74" i="2"/>
  <c r="CA74" i="2"/>
  <c r="BZ74" i="2"/>
  <c r="BY74" i="2"/>
  <c r="BW74" i="2"/>
  <c r="BV74" i="2"/>
  <c r="BU74" i="2"/>
  <c r="BT74" i="2"/>
  <c r="BR74" i="2"/>
  <c r="BQ74" i="2"/>
  <c r="BP74" i="2"/>
  <c r="BO74" i="2"/>
  <c r="BM74" i="2"/>
  <c r="BL74" i="2"/>
  <c r="BK74" i="2"/>
  <c r="BJ74" i="2"/>
  <c r="BH74" i="2"/>
  <c r="BG74" i="2"/>
  <c r="BF74" i="2"/>
  <c r="BE74" i="2"/>
  <c r="BC74" i="2"/>
  <c r="BB74" i="2"/>
  <c r="BA74" i="2"/>
  <c r="AZ74" i="2"/>
  <c r="AX74" i="2"/>
  <c r="AW74" i="2"/>
  <c r="AV74" i="2"/>
  <c r="AU74" i="2"/>
  <c r="AS74" i="2"/>
  <c r="AR74" i="2"/>
  <c r="AQ74" i="2"/>
  <c r="AP74" i="2"/>
  <c r="AN74" i="2"/>
  <c r="AM74" i="2"/>
  <c r="AL74" i="2"/>
  <c r="AK74" i="2"/>
  <c r="AI74" i="2"/>
  <c r="AH74" i="2"/>
  <c r="AG74" i="2"/>
  <c r="AF74" i="2"/>
  <c r="AD74" i="2"/>
  <c r="AC74" i="2"/>
  <c r="AB74" i="2"/>
  <c r="AA74" i="2"/>
  <c r="Y74" i="2"/>
  <c r="X74" i="2"/>
  <c r="W74" i="2"/>
  <c r="V74" i="2"/>
  <c r="T74" i="2"/>
  <c r="S74" i="2"/>
  <c r="R74" i="2"/>
  <c r="Q74" i="2"/>
  <c r="O74" i="2"/>
  <c r="N74" i="2"/>
  <c r="M74" i="2"/>
  <c r="L74" i="2"/>
  <c r="J74" i="2"/>
  <c r="I74" i="2"/>
  <c r="H74" i="2"/>
  <c r="G74" i="2"/>
  <c r="E74" i="2"/>
  <c r="D74" i="2"/>
  <c r="C74" i="2"/>
  <c r="CQ73" i="2"/>
  <c r="CP73" i="2"/>
  <c r="CO73" i="2"/>
  <c r="CN73" i="2"/>
  <c r="CL73" i="2"/>
  <c r="CK73" i="2"/>
  <c r="CJ73" i="2"/>
  <c r="CI73" i="2"/>
  <c r="CG73" i="2"/>
  <c r="CF73" i="2"/>
  <c r="CE73" i="2"/>
  <c r="CD73" i="2"/>
  <c r="CB73" i="2"/>
  <c r="CA73" i="2"/>
  <c r="BZ73" i="2"/>
  <c r="BY73" i="2"/>
  <c r="BW73" i="2"/>
  <c r="BV73" i="2"/>
  <c r="BU73" i="2"/>
  <c r="BT73" i="2"/>
  <c r="BR73" i="2"/>
  <c r="BQ73" i="2"/>
  <c r="BP73" i="2"/>
  <c r="BO73" i="2"/>
  <c r="BM73" i="2"/>
  <c r="BL73" i="2"/>
  <c r="BK73" i="2"/>
  <c r="BJ73" i="2"/>
  <c r="BH73" i="2"/>
  <c r="BG73" i="2"/>
  <c r="BF73" i="2"/>
  <c r="BE73" i="2"/>
  <c r="BC73" i="2"/>
  <c r="BB73" i="2"/>
  <c r="BA73" i="2"/>
  <c r="AZ73" i="2"/>
  <c r="AX73" i="2"/>
  <c r="AW73" i="2"/>
  <c r="AV73" i="2"/>
  <c r="AU73" i="2"/>
  <c r="AS73" i="2"/>
  <c r="AR73" i="2"/>
  <c r="AQ73" i="2"/>
  <c r="AP73" i="2"/>
  <c r="AN73" i="2"/>
  <c r="AM73" i="2"/>
  <c r="AL73" i="2"/>
  <c r="AK73" i="2"/>
  <c r="AI73" i="2"/>
  <c r="AH73" i="2"/>
  <c r="AG73" i="2"/>
  <c r="AF73" i="2"/>
  <c r="AD73" i="2"/>
  <c r="AC73" i="2"/>
  <c r="AB73" i="2"/>
  <c r="AA73" i="2"/>
  <c r="Y73" i="2"/>
  <c r="X73" i="2"/>
  <c r="W73" i="2"/>
  <c r="V73" i="2"/>
  <c r="T73" i="2"/>
  <c r="S73" i="2"/>
  <c r="R73" i="2"/>
  <c r="Q73" i="2"/>
  <c r="O73" i="2"/>
  <c r="N73" i="2"/>
  <c r="M73" i="2"/>
  <c r="L73" i="2"/>
  <c r="J73" i="2"/>
  <c r="I73" i="2"/>
  <c r="H73" i="2"/>
  <c r="G73" i="2"/>
  <c r="E73" i="2"/>
  <c r="D73" i="2"/>
  <c r="C73" i="2"/>
  <c r="CQ72" i="2"/>
  <c r="CP72" i="2"/>
  <c r="CO72" i="2"/>
  <c r="CN72" i="2"/>
  <c r="CL72" i="2"/>
  <c r="CK72" i="2"/>
  <c r="CJ72" i="2"/>
  <c r="CI72" i="2"/>
  <c r="CG72" i="2"/>
  <c r="CF72" i="2"/>
  <c r="CE72" i="2"/>
  <c r="CD72" i="2"/>
  <c r="CB72" i="2"/>
  <c r="CA72" i="2"/>
  <c r="BZ72" i="2"/>
  <c r="BY72" i="2"/>
  <c r="BW72" i="2"/>
  <c r="BV72" i="2"/>
  <c r="BU72" i="2"/>
  <c r="BT72" i="2"/>
  <c r="BR72" i="2"/>
  <c r="BQ72" i="2"/>
  <c r="BP72" i="2"/>
  <c r="BO72" i="2"/>
  <c r="BM72" i="2"/>
  <c r="BL72" i="2"/>
  <c r="BK72" i="2"/>
  <c r="BJ72" i="2"/>
  <c r="BH72" i="2"/>
  <c r="BG72" i="2"/>
  <c r="BF72" i="2"/>
  <c r="BE72" i="2"/>
  <c r="BC72" i="2"/>
  <c r="BB72" i="2"/>
  <c r="BA72" i="2"/>
  <c r="AZ72" i="2"/>
  <c r="AX72" i="2"/>
  <c r="AW72" i="2"/>
  <c r="AV72" i="2"/>
  <c r="AU72" i="2"/>
  <c r="AS72" i="2"/>
  <c r="AR72" i="2"/>
  <c r="AQ72" i="2"/>
  <c r="AP72" i="2"/>
  <c r="AN72" i="2"/>
  <c r="AM72" i="2"/>
  <c r="AL72" i="2"/>
  <c r="AK72" i="2"/>
  <c r="AI72" i="2"/>
  <c r="AH72" i="2"/>
  <c r="AG72" i="2"/>
  <c r="AF72" i="2"/>
  <c r="AD72" i="2"/>
  <c r="AC72" i="2"/>
  <c r="AB72" i="2"/>
  <c r="AA72" i="2"/>
  <c r="Y72" i="2"/>
  <c r="X72" i="2"/>
  <c r="W72" i="2"/>
  <c r="V72" i="2"/>
  <c r="T72" i="2"/>
  <c r="S72" i="2"/>
  <c r="R72" i="2"/>
  <c r="Q72" i="2"/>
  <c r="O72" i="2"/>
  <c r="N72" i="2"/>
  <c r="M72" i="2"/>
  <c r="L72" i="2"/>
  <c r="J72" i="2"/>
  <c r="I72" i="2"/>
  <c r="H72" i="2"/>
  <c r="G72" i="2"/>
  <c r="E72" i="2"/>
  <c r="D72" i="2"/>
  <c r="C72" i="2"/>
  <c r="CQ71" i="2"/>
  <c r="CP71" i="2"/>
  <c r="CO71" i="2"/>
  <c r="CN71" i="2"/>
  <c r="CL71" i="2"/>
  <c r="CK71" i="2"/>
  <c r="CJ71" i="2"/>
  <c r="CI71" i="2"/>
  <c r="CG71" i="2"/>
  <c r="CF71" i="2"/>
  <c r="CE71" i="2"/>
  <c r="CD71" i="2"/>
  <c r="CB71" i="2"/>
  <c r="CA71" i="2"/>
  <c r="BZ71" i="2"/>
  <c r="BY71" i="2"/>
  <c r="BW71" i="2"/>
  <c r="BV71" i="2"/>
  <c r="BU71" i="2"/>
  <c r="BT71" i="2"/>
  <c r="BR71" i="2"/>
  <c r="BQ71" i="2"/>
  <c r="BP71" i="2"/>
  <c r="BO71" i="2"/>
  <c r="BM71" i="2"/>
  <c r="BL71" i="2"/>
  <c r="BK71" i="2"/>
  <c r="BJ71" i="2"/>
  <c r="BH71" i="2"/>
  <c r="BG71" i="2"/>
  <c r="BF71" i="2"/>
  <c r="BE71" i="2"/>
  <c r="BC71" i="2"/>
  <c r="BB71" i="2"/>
  <c r="BA71" i="2"/>
  <c r="AZ71" i="2"/>
  <c r="AX71" i="2"/>
  <c r="AW71" i="2"/>
  <c r="AV71" i="2"/>
  <c r="AU71" i="2"/>
  <c r="AS71" i="2"/>
  <c r="AR71" i="2"/>
  <c r="AQ71" i="2"/>
  <c r="AP71" i="2"/>
  <c r="AN71" i="2"/>
  <c r="AM71" i="2"/>
  <c r="AL71" i="2"/>
  <c r="AK71" i="2"/>
  <c r="AI71" i="2"/>
  <c r="AH71" i="2"/>
  <c r="AG71" i="2"/>
  <c r="AF71" i="2"/>
  <c r="AD71" i="2"/>
  <c r="AC71" i="2"/>
  <c r="AB71" i="2"/>
  <c r="AA71" i="2"/>
  <c r="Y71" i="2"/>
  <c r="X71" i="2"/>
  <c r="W71" i="2"/>
  <c r="V71" i="2"/>
  <c r="T71" i="2"/>
  <c r="S71" i="2"/>
  <c r="R71" i="2"/>
  <c r="Q71" i="2"/>
  <c r="O71" i="2"/>
  <c r="N71" i="2"/>
  <c r="M71" i="2"/>
  <c r="L71" i="2"/>
  <c r="J71" i="2"/>
  <c r="I71" i="2"/>
  <c r="H71" i="2"/>
  <c r="G71" i="2"/>
  <c r="E71" i="2"/>
  <c r="D71" i="2"/>
  <c r="C71" i="2"/>
  <c r="B68" i="2"/>
  <c r="C68" i="2" s="1"/>
  <c r="D68" i="2" s="1"/>
  <c r="E68" i="2" s="1"/>
  <c r="F68" i="2" s="1"/>
  <c r="G68" i="2" s="1"/>
  <c r="H68" i="2" s="1"/>
  <c r="I68" i="2" s="1"/>
  <c r="J68" i="2" s="1"/>
  <c r="K68" i="2" s="1"/>
  <c r="L68" i="2" s="1"/>
  <c r="M68" i="2" s="1"/>
  <c r="N68" i="2" s="1"/>
  <c r="O68" i="2" s="1"/>
  <c r="P68" i="2" s="1"/>
  <c r="Q68" i="2" s="1"/>
  <c r="R68" i="2" s="1"/>
  <c r="S68" i="2" s="1"/>
  <c r="T68" i="2" s="1"/>
  <c r="U68" i="2" s="1"/>
  <c r="V68" i="2" s="1"/>
  <c r="W68" i="2" s="1"/>
  <c r="X68" i="2" s="1"/>
  <c r="Y68" i="2" s="1"/>
  <c r="Z68" i="2" s="1"/>
  <c r="AA68" i="2" s="1"/>
  <c r="AB68" i="2" s="1"/>
  <c r="AC68" i="2" s="1"/>
  <c r="AD68" i="2" s="1"/>
  <c r="AE68" i="2" s="1"/>
  <c r="AF68" i="2" s="1"/>
  <c r="AG68" i="2" s="1"/>
  <c r="AH68" i="2" s="1"/>
  <c r="AI68" i="2" s="1"/>
  <c r="AJ68" i="2" s="1"/>
  <c r="AK68" i="2" s="1"/>
  <c r="AL68" i="2" s="1"/>
  <c r="AM68" i="2" s="1"/>
  <c r="AN68" i="2" s="1"/>
  <c r="AO68" i="2" s="1"/>
  <c r="AP68" i="2" s="1"/>
  <c r="AQ68" i="2" s="1"/>
  <c r="AR68" i="2" s="1"/>
  <c r="AS68" i="2" s="1"/>
  <c r="AT68" i="2" s="1"/>
  <c r="AU68" i="2" s="1"/>
  <c r="AV68" i="2" s="1"/>
  <c r="AW68" i="2" s="1"/>
  <c r="AX68" i="2" s="1"/>
  <c r="AY68" i="2" s="1"/>
  <c r="AZ68" i="2" s="1"/>
  <c r="BA68" i="2" s="1"/>
  <c r="BB68" i="2" s="1"/>
  <c r="BC68" i="2" s="1"/>
  <c r="BD68" i="2" s="1"/>
  <c r="BE68" i="2" s="1"/>
  <c r="BF68" i="2" s="1"/>
  <c r="BG68" i="2" s="1"/>
  <c r="BH68" i="2" s="1"/>
  <c r="BI68" i="2" s="1"/>
  <c r="BJ68" i="2" s="1"/>
  <c r="BK68" i="2" s="1"/>
  <c r="BL68" i="2" s="1"/>
  <c r="BM68" i="2" s="1"/>
  <c r="BN68" i="2" s="1"/>
  <c r="BO68" i="2" s="1"/>
  <c r="BP68" i="2" s="1"/>
  <c r="BQ68" i="2" s="1"/>
  <c r="BR68" i="2" s="1"/>
  <c r="BS68" i="2" s="1"/>
  <c r="BT68" i="2" s="1"/>
  <c r="BU68" i="2" s="1"/>
  <c r="BV68" i="2" s="1"/>
  <c r="BW68" i="2" s="1"/>
  <c r="BX68" i="2" s="1"/>
  <c r="BY68" i="2" s="1"/>
  <c r="BZ68" i="2" s="1"/>
  <c r="CA68" i="2" s="1"/>
  <c r="CB68" i="2" s="1"/>
  <c r="CC68" i="2" s="1"/>
  <c r="CD68" i="2" s="1"/>
  <c r="CE68" i="2" s="1"/>
  <c r="CF68" i="2" s="1"/>
  <c r="CG68" i="2" s="1"/>
  <c r="CH68" i="2" s="1"/>
  <c r="CI68" i="2" s="1"/>
  <c r="CJ68" i="2" s="1"/>
  <c r="CK68" i="2" s="1"/>
  <c r="CL68" i="2" s="1"/>
  <c r="CM68" i="2" s="1"/>
  <c r="CN68" i="2" s="1"/>
  <c r="CO68" i="2" s="1"/>
  <c r="CP68" i="2" s="1"/>
  <c r="CQ68" i="2" s="1"/>
  <c r="CR68" i="2" s="1"/>
  <c r="CR59" i="2"/>
  <c r="CM59" i="2"/>
  <c r="CH59" i="2"/>
  <c r="CC59" i="2"/>
  <c r="BX59" i="2"/>
  <c r="BS59" i="2"/>
  <c r="BN59" i="2"/>
  <c r="BI59" i="2"/>
  <c r="BD59" i="2"/>
  <c r="AY59" i="2"/>
  <c r="AT59" i="2"/>
  <c r="AO59" i="2"/>
  <c r="AJ59" i="2"/>
  <c r="AE59" i="2"/>
  <c r="Z59" i="2"/>
  <c r="U59" i="2"/>
  <c r="P59" i="2"/>
  <c r="K59" i="2"/>
  <c r="F59" i="2"/>
  <c r="CR57" i="2"/>
  <c r="CM57" i="2"/>
  <c r="CH57" i="2"/>
  <c r="CC57" i="2"/>
  <c r="BX57" i="2"/>
  <c r="BS57" i="2"/>
  <c r="BN57" i="2"/>
  <c r="BI57" i="2"/>
  <c r="BD57" i="2"/>
  <c r="AY57" i="2"/>
  <c r="AT57" i="2"/>
  <c r="AO57" i="2"/>
  <c r="AJ57" i="2"/>
  <c r="AE57" i="2"/>
  <c r="Z57" i="2"/>
  <c r="U57" i="2"/>
  <c r="P57" i="2"/>
  <c r="K57" i="2"/>
  <c r="F57" i="2"/>
  <c r="CR55" i="2"/>
  <c r="CM55" i="2"/>
  <c r="CH55" i="2"/>
  <c r="CC55" i="2"/>
  <c r="BX55" i="2"/>
  <c r="BS55" i="2"/>
  <c r="BN55" i="2"/>
  <c r="BI55" i="2"/>
  <c r="BD55" i="2"/>
  <c r="AY55" i="2"/>
  <c r="AT55" i="2"/>
  <c r="AO55" i="2"/>
  <c r="AJ55" i="2"/>
  <c r="AE55" i="2"/>
  <c r="AE87" i="2" s="1"/>
  <c r="Z55" i="2"/>
  <c r="U55" i="2"/>
  <c r="P55" i="2"/>
  <c r="K55" i="2"/>
  <c r="F55" i="2"/>
  <c r="CR53" i="2"/>
  <c r="CM53" i="2"/>
  <c r="CH53" i="2"/>
  <c r="CC53" i="2"/>
  <c r="BX53" i="2"/>
  <c r="BS53" i="2"/>
  <c r="BN53" i="2"/>
  <c r="BI53" i="2"/>
  <c r="BD53" i="2"/>
  <c r="AY53" i="2"/>
  <c r="AT53" i="2"/>
  <c r="AO53" i="2"/>
  <c r="AJ53" i="2"/>
  <c r="AE53" i="2"/>
  <c r="Z53" i="2"/>
  <c r="U53" i="2"/>
  <c r="P53" i="2"/>
  <c r="K53" i="2"/>
  <c r="F53" i="2"/>
  <c r="CR52" i="2"/>
  <c r="CM52" i="2"/>
  <c r="CH52" i="2"/>
  <c r="CC52" i="2"/>
  <c r="BX52" i="2"/>
  <c r="BS52" i="2"/>
  <c r="BN52" i="2"/>
  <c r="BI52" i="2"/>
  <c r="BD52" i="2"/>
  <c r="AY52" i="2"/>
  <c r="AY84" i="2" s="1"/>
  <c r="AT52" i="2"/>
  <c r="AO52" i="2"/>
  <c r="AJ52" i="2"/>
  <c r="AE52" i="2"/>
  <c r="Z52" i="2"/>
  <c r="U52" i="2"/>
  <c r="P52" i="2"/>
  <c r="K52" i="2"/>
  <c r="F52" i="2"/>
  <c r="CQ51" i="2"/>
  <c r="CP51" i="2"/>
  <c r="CO51" i="2"/>
  <c r="CN51" i="2"/>
  <c r="CL51" i="2"/>
  <c r="CK51" i="2"/>
  <c r="CJ51" i="2"/>
  <c r="CI51" i="2"/>
  <c r="CG51" i="2"/>
  <c r="CF51" i="2"/>
  <c r="CF83" i="2" s="1"/>
  <c r="CE51" i="2"/>
  <c r="CD51" i="2"/>
  <c r="CB51" i="2"/>
  <c r="CA51" i="2"/>
  <c r="BZ51" i="2"/>
  <c r="BY51" i="2"/>
  <c r="BW51" i="2"/>
  <c r="BV51" i="2"/>
  <c r="BU51" i="2"/>
  <c r="BT51" i="2"/>
  <c r="BR51" i="2"/>
  <c r="BQ51" i="2"/>
  <c r="BP51" i="2"/>
  <c r="BP83" i="2" s="1"/>
  <c r="BO51" i="2"/>
  <c r="BM51" i="2"/>
  <c r="BL51" i="2"/>
  <c r="BK51" i="2"/>
  <c r="BJ51" i="2"/>
  <c r="BH51" i="2"/>
  <c r="BG51" i="2"/>
  <c r="BF51" i="2"/>
  <c r="BE51" i="2"/>
  <c r="BI51" i="2" s="1"/>
  <c r="BC51" i="2"/>
  <c r="BB51" i="2"/>
  <c r="BA51" i="2"/>
  <c r="AZ51" i="2"/>
  <c r="AX51" i="2"/>
  <c r="AW51" i="2"/>
  <c r="AV51" i="2"/>
  <c r="AU51" i="2"/>
  <c r="AS51" i="2"/>
  <c r="AR51" i="2"/>
  <c r="AR83" i="2" s="1"/>
  <c r="AQ51" i="2"/>
  <c r="AP51" i="2"/>
  <c r="AN51" i="2"/>
  <c r="AM51" i="2"/>
  <c r="AL51" i="2"/>
  <c r="AK51" i="2"/>
  <c r="AI51" i="2"/>
  <c r="AH51" i="2"/>
  <c r="AH83" i="2" s="1"/>
  <c r="AG51" i="2"/>
  <c r="AF51" i="2"/>
  <c r="AD51" i="2"/>
  <c r="AC51" i="2"/>
  <c r="AB51" i="2"/>
  <c r="AA51" i="2"/>
  <c r="Y51" i="2"/>
  <c r="X51" i="2"/>
  <c r="X83" i="2" s="1"/>
  <c r="W51" i="2"/>
  <c r="V51" i="2"/>
  <c r="T51" i="2"/>
  <c r="S51" i="2"/>
  <c r="R51" i="2"/>
  <c r="Q51" i="2"/>
  <c r="U51" i="2" s="1"/>
  <c r="O51" i="2"/>
  <c r="N51" i="2"/>
  <c r="M51" i="2"/>
  <c r="L51" i="2"/>
  <c r="L83" i="2" s="1"/>
  <c r="J51" i="2"/>
  <c r="I51" i="2"/>
  <c r="H51" i="2"/>
  <c r="G51" i="2"/>
  <c r="E51" i="2"/>
  <c r="D51" i="2"/>
  <c r="C51" i="2"/>
  <c r="B51" i="2"/>
  <c r="C83" i="2" s="1"/>
  <c r="CR49" i="2"/>
  <c r="CM49" i="2"/>
  <c r="CM113" i="2" s="1"/>
  <c r="CH49" i="2"/>
  <c r="CC49" i="2"/>
  <c r="BX49" i="2"/>
  <c r="BS49" i="2"/>
  <c r="BN49" i="2"/>
  <c r="BI49" i="2"/>
  <c r="BI81" i="2" s="1"/>
  <c r="BD49" i="2"/>
  <c r="AY49" i="2"/>
  <c r="AT49" i="2"/>
  <c r="AO49" i="2"/>
  <c r="AJ49" i="2"/>
  <c r="AE49" i="2"/>
  <c r="Z49" i="2"/>
  <c r="U49" i="2"/>
  <c r="P49" i="2"/>
  <c r="P145" i="2" s="1"/>
  <c r="K49" i="2"/>
  <c r="F49" i="2"/>
  <c r="CR47" i="2"/>
  <c r="CM47" i="2"/>
  <c r="CH47" i="2"/>
  <c r="CC47" i="2"/>
  <c r="CC79" i="2" s="1"/>
  <c r="BX47" i="2"/>
  <c r="BS47" i="2"/>
  <c r="BN47" i="2"/>
  <c r="BI47" i="2"/>
  <c r="BD47" i="2"/>
  <c r="AY47" i="2"/>
  <c r="AT47" i="2"/>
  <c r="AO47" i="2"/>
  <c r="AO79" i="2" s="1"/>
  <c r="AJ47" i="2"/>
  <c r="AJ79" i="2" s="1"/>
  <c r="AE47" i="2"/>
  <c r="Z47" i="2"/>
  <c r="U47" i="2"/>
  <c r="P47" i="2"/>
  <c r="K47" i="2"/>
  <c r="F47" i="2"/>
  <c r="CR45" i="2"/>
  <c r="CM45" i="2"/>
  <c r="CM77" i="2" s="1"/>
  <c r="CH45" i="2"/>
  <c r="CH77" i="2" s="1"/>
  <c r="CC45" i="2"/>
  <c r="BX45" i="2"/>
  <c r="BS45" i="2"/>
  <c r="BN45" i="2"/>
  <c r="BI45" i="2"/>
  <c r="BD45" i="2"/>
  <c r="AY45" i="2"/>
  <c r="AT45" i="2"/>
  <c r="AT77" i="2" s="1"/>
  <c r="AO45" i="2"/>
  <c r="AJ45" i="2"/>
  <c r="AE45" i="2"/>
  <c r="Z45" i="2"/>
  <c r="U45" i="2"/>
  <c r="P45" i="2"/>
  <c r="K45" i="2"/>
  <c r="F45" i="2"/>
  <c r="CR44" i="2"/>
  <c r="CM44" i="2"/>
  <c r="CH44" i="2"/>
  <c r="CC44" i="2"/>
  <c r="BX44" i="2"/>
  <c r="BX76" i="2" s="1"/>
  <c r="BS44" i="2"/>
  <c r="BN44" i="2"/>
  <c r="BS76" i="2" s="1"/>
  <c r="BI44" i="2"/>
  <c r="BD44" i="2"/>
  <c r="AY44" i="2"/>
  <c r="AT44" i="2"/>
  <c r="AO44" i="2"/>
  <c r="AJ44" i="2"/>
  <c r="AE44" i="2"/>
  <c r="Z44" i="2"/>
  <c r="AE76" i="2" s="1"/>
  <c r="U44" i="2"/>
  <c r="P44" i="2"/>
  <c r="K44" i="2"/>
  <c r="F44" i="2"/>
  <c r="CR43" i="2"/>
  <c r="CM43" i="2"/>
  <c r="CM75" i="2" s="1"/>
  <c r="CH43" i="2"/>
  <c r="CC43" i="2"/>
  <c r="BX43" i="2"/>
  <c r="BS43" i="2"/>
  <c r="BN43" i="2"/>
  <c r="BI43" i="2"/>
  <c r="BD43" i="2"/>
  <c r="AY43" i="2"/>
  <c r="AY75" i="2" s="1"/>
  <c r="AT43" i="2"/>
  <c r="AO43" i="2"/>
  <c r="AJ43" i="2"/>
  <c r="AE43" i="2"/>
  <c r="Z43" i="2"/>
  <c r="U43" i="2"/>
  <c r="P43" i="2"/>
  <c r="K43" i="2"/>
  <c r="F43" i="2"/>
  <c r="CR42" i="2"/>
  <c r="CM42" i="2"/>
  <c r="CH42" i="2"/>
  <c r="CC42" i="2"/>
  <c r="BX42" i="2"/>
  <c r="BS42" i="2"/>
  <c r="BN42" i="2"/>
  <c r="BN74" i="2" s="1"/>
  <c r="BI42" i="2"/>
  <c r="BD42" i="2"/>
  <c r="AY42" i="2"/>
  <c r="AT42" i="2"/>
  <c r="AO42" i="2"/>
  <c r="AJ42" i="2"/>
  <c r="AE42" i="2"/>
  <c r="Z42" i="2"/>
  <c r="U42" i="2"/>
  <c r="U74" i="2" s="1"/>
  <c r="P42" i="2"/>
  <c r="K42" i="2"/>
  <c r="F42" i="2"/>
  <c r="CR41" i="2"/>
  <c r="CM41" i="2"/>
  <c r="CH41" i="2"/>
  <c r="CC41" i="2"/>
  <c r="BX41" i="2"/>
  <c r="BS41" i="2"/>
  <c r="BN41" i="2"/>
  <c r="BN73" i="2" s="1"/>
  <c r="BI41" i="2"/>
  <c r="BD41" i="2"/>
  <c r="AY41" i="2"/>
  <c r="AT41" i="2"/>
  <c r="AO41" i="2"/>
  <c r="AJ41" i="2"/>
  <c r="AE41" i="2"/>
  <c r="Z41" i="2"/>
  <c r="Z73" i="2" s="1"/>
  <c r="U41" i="2"/>
  <c r="P41" i="2"/>
  <c r="K41" i="2"/>
  <c r="F41" i="2"/>
  <c r="CR40" i="2"/>
  <c r="CR72" i="2" s="1"/>
  <c r="CM40" i="2"/>
  <c r="CH40" i="2"/>
  <c r="CM72" i="2" s="1"/>
  <c r="CC40" i="2"/>
  <c r="CC72" i="2" s="1"/>
  <c r="BX40" i="2"/>
  <c r="BS40" i="2"/>
  <c r="BN40" i="2"/>
  <c r="BI40" i="2"/>
  <c r="BD40" i="2"/>
  <c r="BD72" i="2" s="1"/>
  <c r="AY40" i="2"/>
  <c r="AT40" i="2"/>
  <c r="AY72" i="2" s="1"/>
  <c r="AO40" i="2"/>
  <c r="AO72" i="2" s="1"/>
  <c r="AJ40" i="2"/>
  <c r="AE40" i="2"/>
  <c r="Z40" i="2"/>
  <c r="U40" i="2"/>
  <c r="P40" i="2"/>
  <c r="P72" i="2" s="1"/>
  <c r="K40" i="2"/>
  <c r="F40" i="2"/>
  <c r="K72" i="2" s="1"/>
  <c r="CR39" i="2"/>
  <c r="CM39" i="2"/>
  <c r="CH39" i="2"/>
  <c r="CC39" i="2"/>
  <c r="BX39" i="2"/>
  <c r="BS39" i="2"/>
  <c r="BS71" i="2" s="1"/>
  <c r="BN39" i="2"/>
  <c r="BI39" i="2"/>
  <c r="BD39" i="2"/>
  <c r="AY39" i="2"/>
  <c r="AT39" i="2"/>
  <c r="AO39" i="2"/>
  <c r="AJ39" i="2"/>
  <c r="AE39" i="2"/>
  <c r="Z39" i="2"/>
  <c r="U39" i="2"/>
  <c r="P39" i="2"/>
  <c r="K39" i="2"/>
  <c r="F39" i="2"/>
  <c r="CQ38" i="2"/>
  <c r="CQ61" i="2" s="1"/>
  <c r="CP38" i="2"/>
  <c r="CP70" i="2" s="1"/>
  <c r="CO38" i="2"/>
  <c r="CN38" i="2"/>
  <c r="CN61" i="2" s="1"/>
  <c r="CL38" i="2"/>
  <c r="CL70" i="2" s="1"/>
  <c r="CK38" i="2"/>
  <c r="CK70" i="2" s="1"/>
  <c r="CJ38" i="2"/>
  <c r="CI38" i="2"/>
  <c r="CG38" i="2"/>
  <c r="CF38" i="2"/>
  <c r="CF61" i="2" s="1"/>
  <c r="CE38" i="2"/>
  <c r="CE70" i="2" s="1"/>
  <c r="CD38" i="2"/>
  <c r="CB38" i="2"/>
  <c r="CA38" i="2"/>
  <c r="BZ38" i="2"/>
  <c r="BZ70" i="2" s="1"/>
  <c r="BY38" i="2"/>
  <c r="CC38" i="2" s="1"/>
  <c r="BW38" i="2"/>
  <c r="BW70" i="2" s="1"/>
  <c r="BV38" i="2"/>
  <c r="BU38" i="2"/>
  <c r="BU70" i="2" s="1"/>
  <c r="BT38" i="2"/>
  <c r="BR38" i="2"/>
  <c r="BR70" i="2" s="1"/>
  <c r="BQ38" i="2"/>
  <c r="BP38" i="2"/>
  <c r="BP61" i="2" s="1"/>
  <c r="BO38" i="2"/>
  <c r="BS38" i="2" s="1"/>
  <c r="BM38" i="2"/>
  <c r="BL38" i="2"/>
  <c r="BK38" i="2"/>
  <c r="BK61" i="2" s="1"/>
  <c r="BJ38" i="2"/>
  <c r="BH38" i="2"/>
  <c r="BJ70" i="2" s="1"/>
  <c r="BG38" i="2"/>
  <c r="BG70" i="2" s="1"/>
  <c r="BF38" i="2"/>
  <c r="BE38" i="2"/>
  <c r="BC38" i="2"/>
  <c r="BB38" i="2"/>
  <c r="BB70" i="2" s="1"/>
  <c r="BA38" i="2"/>
  <c r="AZ38" i="2"/>
  <c r="BA70" i="2" s="1"/>
  <c r="AX38" i="2"/>
  <c r="AW38" i="2"/>
  <c r="AV38" i="2"/>
  <c r="AU38" i="2"/>
  <c r="AS38" i="2"/>
  <c r="AR38" i="2"/>
  <c r="AR61" i="2" s="1"/>
  <c r="AQ38" i="2"/>
  <c r="AQ70" i="2" s="1"/>
  <c r="AP38" i="2"/>
  <c r="AN38" i="2"/>
  <c r="AM38" i="2"/>
  <c r="AM61" i="2" s="1"/>
  <c r="AL38" i="2"/>
  <c r="AL70" i="2" s="1"/>
  <c r="AK38" i="2"/>
  <c r="AI38" i="2"/>
  <c r="AI70" i="2" s="1"/>
  <c r="AH38" i="2"/>
  <c r="AG38" i="2"/>
  <c r="AG70" i="2" s="1"/>
  <c r="AF38" i="2"/>
  <c r="AD38" i="2"/>
  <c r="AD70" i="2" s="1"/>
  <c r="AC38" i="2"/>
  <c r="AB38" i="2"/>
  <c r="AB61" i="2" s="1"/>
  <c r="AA38" i="2"/>
  <c r="AE38" i="2" s="1"/>
  <c r="Y38" i="2"/>
  <c r="X38" i="2"/>
  <c r="W38" i="2"/>
  <c r="W61" i="2" s="1"/>
  <c r="V38" i="2"/>
  <c r="T38" i="2"/>
  <c r="T61" i="2" s="1"/>
  <c r="S38" i="2"/>
  <c r="S70" i="2" s="1"/>
  <c r="R38" i="2"/>
  <c r="Q38" i="2"/>
  <c r="O38" i="2"/>
  <c r="O61" i="2" s="1"/>
  <c r="N38" i="2"/>
  <c r="N70" i="2" s="1"/>
  <c r="M38" i="2"/>
  <c r="L38" i="2"/>
  <c r="M70" i="2" s="1"/>
  <c r="J38" i="2"/>
  <c r="I38" i="2"/>
  <c r="H38" i="2"/>
  <c r="G38" i="2"/>
  <c r="G61" i="2" s="1"/>
  <c r="E38" i="2"/>
  <c r="D38" i="2"/>
  <c r="E70" i="2" s="1"/>
  <c r="C38" i="2"/>
  <c r="B38" i="2"/>
  <c r="B36" i="2"/>
  <c r="C36" i="2" s="1"/>
  <c r="D36" i="2" s="1"/>
  <c r="E36" i="2" s="1"/>
  <c r="F36" i="2" s="1"/>
  <c r="G36" i="2" s="1"/>
  <c r="H36" i="2" s="1"/>
  <c r="I36" i="2" s="1"/>
  <c r="J36" i="2" s="1"/>
  <c r="K36" i="2" s="1"/>
  <c r="L36" i="2" s="1"/>
  <c r="M36" i="2" s="1"/>
  <c r="N36" i="2" s="1"/>
  <c r="O36" i="2" s="1"/>
  <c r="P36" i="2" s="1"/>
  <c r="Q36" i="2" s="1"/>
  <c r="R36" i="2" s="1"/>
  <c r="S36" i="2" s="1"/>
  <c r="T36" i="2" s="1"/>
  <c r="U36" i="2" s="1"/>
  <c r="V36" i="2" s="1"/>
  <c r="W36" i="2" s="1"/>
  <c r="X36" i="2" s="1"/>
  <c r="Y36" i="2" s="1"/>
  <c r="Z36" i="2" s="1"/>
  <c r="AA36" i="2" s="1"/>
  <c r="AB36" i="2" s="1"/>
  <c r="AC36" i="2" s="1"/>
  <c r="AD36" i="2" s="1"/>
  <c r="AE36" i="2" s="1"/>
  <c r="AF36" i="2" s="1"/>
  <c r="AG36" i="2" s="1"/>
  <c r="AH36" i="2" s="1"/>
  <c r="AI36" i="2" s="1"/>
  <c r="AJ36" i="2" s="1"/>
  <c r="AK36" i="2" s="1"/>
  <c r="AL36" i="2" s="1"/>
  <c r="AM36" i="2" s="1"/>
  <c r="AN36" i="2" s="1"/>
  <c r="AO36" i="2" s="1"/>
  <c r="AP36" i="2" s="1"/>
  <c r="AQ36" i="2" s="1"/>
  <c r="AR36" i="2" s="1"/>
  <c r="AS36" i="2" s="1"/>
  <c r="AT36" i="2" s="1"/>
  <c r="AU36" i="2" s="1"/>
  <c r="AV36" i="2" s="1"/>
  <c r="AW36" i="2" s="1"/>
  <c r="AX36" i="2" s="1"/>
  <c r="AY36" i="2" s="1"/>
  <c r="AZ36" i="2" s="1"/>
  <c r="BA36" i="2" s="1"/>
  <c r="BB36" i="2" s="1"/>
  <c r="BC36" i="2" s="1"/>
  <c r="BD36" i="2" s="1"/>
  <c r="BE36" i="2" s="1"/>
  <c r="BF36" i="2" s="1"/>
  <c r="BG36" i="2" s="1"/>
  <c r="BH36" i="2" s="1"/>
  <c r="BI36" i="2" s="1"/>
  <c r="BJ36" i="2" s="1"/>
  <c r="BK36" i="2" s="1"/>
  <c r="BL36" i="2" s="1"/>
  <c r="BM36" i="2" s="1"/>
  <c r="BN36" i="2" s="1"/>
  <c r="BO36" i="2" s="1"/>
  <c r="BP36" i="2" s="1"/>
  <c r="BQ36" i="2" s="1"/>
  <c r="BR36" i="2" s="1"/>
  <c r="BS36" i="2" s="1"/>
  <c r="BT36" i="2" s="1"/>
  <c r="BU36" i="2" s="1"/>
  <c r="BV36" i="2" s="1"/>
  <c r="BW36" i="2" s="1"/>
  <c r="BX36" i="2" s="1"/>
  <c r="BY36" i="2" s="1"/>
  <c r="BZ36" i="2" s="1"/>
  <c r="CA36" i="2" s="1"/>
  <c r="CB36" i="2" s="1"/>
  <c r="CC36" i="2" s="1"/>
  <c r="CD36" i="2" s="1"/>
  <c r="CE36" i="2" s="1"/>
  <c r="CF36" i="2" s="1"/>
  <c r="CG36" i="2" s="1"/>
  <c r="CH36" i="2" s="1"/>
  <c r="CI36" i="2" s="1"/>
  <c r="CJ36" i="2" s="1"/>
  <c r="CK36" i="2" s="1"/>
  <c r="CL36" i="2" s="1"/>
  <c r="CM36" i="2" s="1"/>
  <c r="CN36" i="2" s="1"/>
  <c r="CO36" i="2" s="1"/>
  <c r="CP36" i="2" s="1"/>
  <c r="CQ36" i="2" s="1"/>
  <c r="CR36" i="2" s="1"/>
  <c r="B34" i="2"/>
  <c r="B66" i="2" s="1"/>
  <c r="B98" i="2" s="1"/>
  <c r="B130" i="2" s="1"/>
  <c r="B162" i="2" s="1"/>
  <c r="B194" i="2" s="1"/>
  <c r="B226" i="2" s="1"/>
  <c r="B258" i="2" s="1"/>
  <c r="B290" i="2" s="1"/>
  <c r="B322" i="2" s="1"/>
  <c r="B334" i="2" s="1"/>
  <c r="B346" i="2" s="1"/>
  <c r="B358" i="2" s="1"/>
  <c r="B370" i="2" s="1"/>
  <c r="B382" i="2" s="1"/>
  <c r="B394" i="2" s="1"/>
  <c r="B406" i="2" s="1"/>
  <c r="B418" i="2" s="1"/>
  <c r="A34" i="2"/>
  <c r="A66" i="2" s="1"/>
  <c r="A98" i="2" s="1"/>
  <c r="A130" i="2" s="1"/>
  <c r="A162" i="2" s="1"/>
  <c r="A194" i="2" s="1"/>
  <c r="A226" i="2" s="1"/>
  <c r="A258" i="2" s="1"/>
  <c r="A290" i="2" s="1"/>
  <c r="A322" i="2" s="1"/>
  <c r="A334" i="2" s="1"/>
  <c r="A346" i="2" s="1"/>
  <c r="A358" i="2" s="1"/>
  <c r="A370" i="2" s="1"/>
  <c r="A382" i="2" s="1"/>
  <c r="A394" i="2" s="1"/>
  <c r="A406" i="2" s="1"/>
  <c r="A418" i="2" s="1"/>
  <c r="CR27" i="2"/>
  <c r="CM27" i="2"/>
  <c r="CH27" i="2"/>
  <c r="CC27" i="2"/>
  <c r="BX27" i="2"/>
  <c r="BS27" i="2"/>
  <c r="BN27" i="2"/>
  <c r="BI27" i="2"/>
  <c r="BD27" i="2"/>
  <c r="AY27" i="2"/>
  <c r="AT27" i="2"/>
  <c r="AO27" i="2"/>
  <c r="AJ27" i="2"/>
  <c r="AE27" i="2"/>
  <c r="Z27" i="2"/>
  <c r="U27" i="2"/>
  <c r="P27" i="2"/>
  <c r="K27" i="2"/>
  <c r="F27" i="2"/>
  <c r="CR25" i="2"/>
  <c r="CM25" i="2"/>
  <c r="CH25" i="2"/>
  <c r="CC25" i="2"/>
  <c r="BX25" i="2"/>
  <c r="BS25" i="2"/>
  <c r="BN25" i="2"/>
  <c r="BI25" i="2"/>
  <c r="BD25" i="2"/>
  <c r="AY25" i="2"/>
  <c r="AT25" i="2"/>
  <c r="AO25" i="2"/>
  <c r="AJ25" i="2"/>
  <c r="AE25" i="2"/>
  <c r="Z25" i="2"/>
  <c r="U25" i="2"/>
  <c r="P25" i="2"/>
  <c r="K25" i="2"/>
  <c r="F25" i="2"/>
  <c r="CR23" i="2"/>
  <c r="CM23" i="2"/>
  <c r="CH23" i="2"/>
  <c r="CC23" i="2"/>
  <c r="BX23" i="2"/>
  <c r="BS23" i="2"/>
  <c r="BN23" i="2"/>
  <c r="BI23" i="2"/>
  <c r="BD23" i="2"/>
  <c r="AY23" i="2"/>
  <c r="AT23" i="2"/>
  <c r="AO23" i="2"/>
  <c r="AJ23" i="2"/>
  <c r="AE23" i="2"/>
  <c r="Z23" i="2"/>
  <c r="U23" i="2"/>
  <c r="P23" i="2"/>
  <c r="K23" i="2"/>
  <c r="F23" i="2"/>
  <c r="CR21" i="2"/>
  <c r="CM21" i="2"/>
  <c r="CH21" i="2"/>
  <c r="CC21" i="2"/>
  <c r="BX21" i="2"/>
  <c r="BS21" i="2"/>
  <c r="BN21" i="2"/>
  <c r="BI21" i="2"/>
  <c r="BD21" i="2"/>
  <c r="AY21" i="2"/>
  <c r="AT21" i="2"/>
  <c r="AO21" i="2"/>
  <c r="AJ21" i="2"/>
  <c r="AE21" i="2"/>
  <c r="Z21" i="2"/>
  <c r="U21" i="2"/>
  <c r="P21" i="2"/>
  <c r="K21" i="2"/>
  <c r="F21" i="2"/>
  <c r="CR20" i="2"/>
  <c r="CM20" i="2"/>
  <c r="CH20" i="2"/>
  <c r="CC20" i="2"/>
  <c r="BX20" i="2"/>
  <c r="BS20" i="2"/>
  <c r="BN20" i="2"/>
  <c r="BI20" i="2"/>
  <c r="BD20" i="2"/>
  <c r="AY20" i="2"/>
  <c r="AT20" i="2"/>
  <c r="AO20" i="2"/>
  <c r="AJ20" i="2"/>
  <c r="AE20" i="2"/>
  <c r="Z20" i="2"/>
  <c r="U20" i="2"/>
  <c r="P20" i="2"/>
  <c r="K20" i="2"/>
  <c r="F20" i="2"/>
  <c r="CQ19" i="2"/>
  <c r="CP19" i="2"/>
  <c r="CO19" i="2"/>
  <c r="CN19" i="2"/>
  <c r="CL19" i="2"/>
  <c r="CK19" i="2"/>
  <c r="CJ19" i="2"/>
  <c r="CI19" i="2"/>
  <c r="CG19" i="2"/>
  <c r="CF19" i="2"/>
  <c r="CE19" i="2"/>
  <c r="CD19" i="2"/>
  <c r="CB19" i="2"/>
  <c r="CA19" i="2"/>
  <c r="BZ19" i="2"/>
  <c r="BY19" i="2"/>
  <c r="BW19" i="2"/>
  <c r="BV19" i="2"/>
  <c r="BU19" i="2"/>
  <c r="BT19" i="2"/>
  <c r="BR19" i="2"/>
  <c r="BQ19" i="2"/>
  <c r="BP19" i="2"/>
  <c r="BO19" i="2"/>
  <c r="BM19" i="2"/>
  <c r="BL19" i="2"/>
  <c r="BK19" i="2"/>
  <c r="BJ19" i="2"/>
  <c r="BH19" i="2"/>
  <c r="BG19" i="2"/>
  <c r="BF19" i="2"/>
  <c r="BE19" i="2"/>
  <c r="BI19" i="2" s="1"/>
  <c r="BC19" i="2"/>
  <c r="BB19" i="2"/>
  <c r="BA19" i="2"/>
  <c r="AZ19" i="2"/>
  <c r="AX19" i="2"/>
  <c r="AW19" i="2"/>
  <c r="AV19" i="2"/>
  <c r="AU19" i="2"/>
  <c r="AS19" i="2"/>
  <c r="AR19" i="2"/>
  <c r="AQ19" i="2"/>
  <c r="AP19" i="2"/>
  <c r="AN19" i="2"/>
  <c r="AM19" i="2"/>
  <c r="AL19" i="2"/>
  <c r="AK19" i="2"/>
  <c r="AI19" i="2"/>
  <c r="AH19" i="2"/>
  <c r="AG19" i="2"/>
  <c r="AF19" i="2"/>
  <c r="AD19" i="2"/>
  <c r="AC19" i="2"/>
  <c r="AB19" i="2"/>
  <c r="AA19" i="2"/>
  <c r="AE19" i="2" s="1"/>
  <c r="Y19" i="2"/>
  <c r="X19" i="2"/>
  <c r="W19" i="2"/>
  <c r="V19" i="2"/>
  <c r="T19" i="2"/>
  <c r="S19" i="2"/>
  <c r="R19" i="2"/>
  <c r="Q19" i="2"/>
  <c r="U19" i="2" s="1"/>
  <c r="O19" i="2"/>
  <c r="N19" i="2"/>
  <c r="M19" i="2"/>
  <c r="L19" i="2"/>
  <c r="J19" i="2"/>
  <c r="I19" i="2"/>
  <c r="H19" i="2"/>
  <c r="G19" i="2"/>
  <c r="E19" i="2"/>
  <c r="D19" i="2"/>
  <c r="C19" i="2"/>
  <c r="B19" i="2"/>
  <c r="CR17" i="2"/>
  <c r="CM17" i="2"/>
  <c r="CH17" i="2"/>
  <c r="CC17" i="2"/>
  <c r="BX17" i="2"/>
  <c r="BS17" i="2"/>
  <c r="BN17" i="2"/>
  <c r="BI17" i="2"/>
  <c r="BD17" i="2"/>
  <c r="AY17" i="2"/>
  <c r="AT17" i="2"/>
  <c r="AO17" i="2"/>
  <c r="AJ17" i="2"/>
  <c r="AE17" i="2"/>
  <c r="Z17" i="2"/>
  <c r="U17" i="2"/>
  <c r="P17" i="2"/>
  <c r="K17" i="2"/>
  <c r="F17" i="2"/>
  <c r="CR15" i="2"/>
  <c r="CM15" i="2"/>
  <c r="CH15" i="2"/>
  <c r="CC15" i="2"/>
  <c r="BX15" i="2"/>
  <c r="BS15" i="2"/>
  <c r="BN15" i="2"/>
  <c r="BI15" i="2"/>
  <c r="BD15" i="2"/>
  <c r="AY15" i="2"/>
  <c r="AT15" i="2"/>
  <c r="AO15" i="2"/>
  <c r="AJ15" i="2"/>
  <c r="AE15" i="2"/>
  <c r="Z15" i="2"/>
  <c r="U15" i="2"/>
  <c r="P15" i="2"/>
  <c r="K15" i="2"/>
  <c r="F15" i="2"/>
  <c r="CR13" i="2"/>
  <c r="CM13" i="2"/>
  <c r="CH13" i="2"/>
  <c r="CC13" i="2"/>
  <c r="BX13" i="2"/>
  <c r="BS13" i="2"/>
  <c r="BN13" i="2"/>
  <c r="BI13" i="2"/>
  <c r="BD13" i="2"/>
  <c r="AY13" i="2"/>
  <c r="AT13" i="2"/>
  <c r="AO13" i="2"/>
  <c r="AJ13" i="2"/>
  <c r="AE13" i="2"/>
  <c r="Z13" i="2"/>
  <c r="U13" i="2"/>
  <c r="P13" i="2"/>
  <c r="K13" i="2"/>
  <c r="F13" i="2"/>
  <c r="CR12" i="2"/>
  <c r="CM12" i="2"/>
  <c r="CH12" i="2"/>
  <c r="CC12" i="2"/>
  <c r="BX12" i="2"/>
  <c r="BS12" i="2"/>
  <c r="BN12" i="2"/>
  <c r="BI12" i="2"/>
  <c r="BD12" i="2"/>
  <c r="AY12" i="2"/>
  <c r="AT12" i="2"/>
  <c r="AO12" i="2"/>
  <c r="AJ12" i="2"/>
  <c r="AE12" i="2"/>
  <c r="Z12" i="2"/>
  <c r="U12" i="2"/>
  <c r="P12" i="2"/>
  <c r="K12" i="2"/>
  <c r="F12" i="2"/>
  <c r="CR11" i="2"/>
  <c r="CM11" i="2"/>
  <c r="CH11" i="2"/>
  <c r="CC11" i="2"/>
  <c r="BX11" i="2"/>
  <c r="BS11" i="2"/>
  <c r="BN11" i="2"/>
  <c r="BI11" i="2"/>
  <c r="BD11" i="2"/>
  <c r="AY11" i="2"/>
  <c r="AT11" i="2"/>
  <c r="AO11" i="2"/>
  <c r="AJ11" i="2"/>
  <c r="AE11" i="2"/>
  <c r="Z11" i="2"/>
  <c r="U11" i="2"/>
  <c r="P11" i="2"/>
  <c r="K11" i="2"/>
  <c r="F11" i="2"/>
  <c r="CR10" i="2"/>
  <c r="CM10" i="2"/>
  <c r="CH10" i="2"/>
  <c r="CC10" i="2"/>
  <c r="BX10" i="2"/>
  <c r="BS10" i="2"/>
  <c r="BN10" i="2"/>
  <c r="BI10" i="2"/>
  <c r="BD10" i="2"/>
  <c r="AY10" i="2"/>
  <c r="AT10" i="2"/>
  <c r="AO10" i="2"/>
  <c r="AJ10" i="2"/>
  <c r="AE10" i="2"/>
  <c r="Z10" i="2"/>
  <c r="U10" i="2"/>
  <c r="P10" i="2"/>
  <c r="K10" i="2"/>
  <c r="F10" i="2"/>
  <c r="CR9" i="2"/>
  <c r="CM9" i="2"/>
  <c r="CH9" i="2"/>
  <c r="CC9" i="2"/>
  <c r="BX9" i="2"/>
  <c r="BS9" i="2"/>
  <c r="BN9" i="2"/>
  <c r="BI9" i="2"/>
  <c r="BD9" i="2"/>
  <c r="AY9" i="2"/>
  <c r="AT9" i="2"/>
  <c r="AO9" i="2"/>
  <c r="AJ9" i="2"/>
  <c r="AE9" i="2"/>
  <c r="Z9" i="2"/>
  <c r="U9" i="2"/>
  <c r="P9" i="2"/>
  <c r="K9" i="2"/>
  <c r="F9" i="2"/>
  <c r="CR8" i="2"/>
  <c r="CM8" i="2"/>
  <c r="CH8" i="2"/>
  <c r="CC8" i="2"/>
  <c r="BX8" i="2"/>
  <c r="BS8" i="2"/>
  <c r="BN8" i="2"/>
  <c r="BI8" i="2"/>
  <c r="BD8" i="2"/>
  <c r="AY8" i="2"/>
  <c r="AT8" i="2"/>
  <c r="AO8" i="2"/>
  <c r="AJ8" i="2"/>
  <c r="AE8" i="2"/>
  <c r="Z8" i="2"/>
  <c r="U8" i="2"/>
  <c r="P8" i="2"/>
  <c r="K8" i="2"/>
  <c r="F8" i="2"/>
  <c r="CR7" i="2"/>
  <c r="CM7" i="2"/>
  <c r="CH7" i="2"/>
  <c r="CC7" i="2"/>
  <c r="BX7" i="2"/>
  <c r="BS7" i="2"/>
  <c r="BN7" i="2"/>
  <c r="BI7" i="2"/>
  <c r="BD7" i="2"/>
  <c r="AY7" i="2"/>
  <c r="AT7" i="2"/>
  <c r="AO7" i="2"/>
  <c r="AJ7" i="2"/>
  <c r="AE7" i="2"/>
  <c r="Z7" i="2"/>
  <c r="U7" i="2"/>
  <c r="P7" i="2"/>
  <c r="K7" i="2"/>
  <c r="F7" i="2"/>
  <c r="CQ6" i="2"/>
  <c r="CP6" i="2"/>
  <c r="CO6" i="2"/>
  <c r="CN6" i="2"/>
  <c r="CL6" i="2"/>
  <c r="CK6" i="2"/>
  <c r="CK29" i="2" s="1"/>
  <c r="CJ6" i="2"/>
  <c r="CI6" i="2"/>
  <c r="CI29" i="2" s="1"/>
  <c r="CG6" i="2"/>
  <c r="CF6" i="2"/>
  <c r="CE6" i="2"/>
  <c r="CD6" i="2"/>
  <c r="CB6" i="2"/>
  <c r="CA6" i="2"/>
  <c r="CA29" i="2" s="1"/>
  <c r="BZ6" i="2"/>
  <c r="BY6" i="2"/>
  <c r="BW6" i="2"/>
  <c r="BW29" i="2" s="1"/>
  <c r="BV6" i="2"/>
  <c r="BU6" i="2"/>
  <c r="BT6" i="2"/>
  <c r="BR6" i="2"/>
  <c r="BQ6" i="2"/>
  <c r="BP6" i="2"/>
  <c r="BO6" i="2"/>
  <c r="BM6" i="2"/>
  <c r="BM29" i="2" s="1"/>
  <c r="BL6" i="2"/>
  <c r="BK6" i="2"/>
  <c r="BK29" i="2" s="1"/>
  <c r="BJ6" i="2"/>
  <c r="BH6" i="2"/>
  <c r="BG6" i="2"/>
  <c r="BG29" i="2" s="1"/>
  <c r="BF6" i="2"/>
  <c r="BE6" i="2"/>
  <c r="BE29" i="2" s="1"/>
  <c r="BC6" i="2"/>
  <c r="BB6" i="2"/>
  <c r="BA6" i="2"/>
  <c r="AZ6" i="2"/>
  <c r="AX6" i="2"/>
  <c r="AW6" i="2"/>
  <c r="AW29" i="2" s="1"/>
  <c r="AV6" i="2"/>
  <c r="AU6" i="2"/>
  <c r="AS6" i="2"/>
  <c r="AR6" i="2"/>
  <c r="AR29" i="2" s="1"/>
  <c r="AQ6" i="2"/>
  <c r="AQ29" i="2" s="1"/>
  <c r="AP6" i="2"/>
  <c r="AN6" i="2"/>
  <c r="AM6" i="2"/>
  <c r="AL6" i="2"/>
  <c r="AK6" i="2"/>
  <c r="AI6" i="2"/>
  <c r="AI29" i="2" s="1"/>
  <c r="AH6" i="2"/>
  <c r="AG6" i="2"/>
  <c r="AG29" i="2" s="1"/>
  <c r="AF6" i="2"/>
  <c r="AD6" i="2"/>
  <c r="AC6" i="2"/>
  <c r="AB6" i="2"/>
  <c r="AB29" i="2" s="1"/>
  <c r="AA6" i="2"/>
  <c r="AE6" i="2" s="1"/>
  <c r="Y6" i="2"/>
  <c r="Y29" i="2" s="1"/>
  <c r="X6" i="2"/>
  <c r="W6" i="2"/>
  <c r="W29" i="2" s="1"/>
  <c r="V6" i="2"/>
  <c r="T6" i="2"/>
  <c r="S6" i="2"/>
  <c r="S29" i="2" s="1"/>
  <c r="R6" i="2"/>
  <c r="Q6" i="2"/>
  <c r="Q29" i="2" s="1"/>
  <c r="O6" i="2"/>
  <c r="O29" i="2" s="1"/>
  <c r="N6" i="2"/>
  <c r="M6" i="2"/>
  <c r="L6" i="2"/>
  <c r="J6" i="2"/>
  <c r="I6" i="2"/>
  <c r="H6" i="2"/>
  <c r="G6" i="2"/>
  <c r="E6" i="2"/>
  <c r="D6" i="2"/>
  <c r="C6" i="2"/>
  <c r="C29" i="2" s="1"/>
  <c r="B6" i="2"/>
  <c r="B4" i="2"/>
  <c r="C4" i="2" s="1"/>
  <c r="D4" i="2" s="1"/>
  <c r="E4" i="2" s="1"/>
  <c r="F4" i="2" s="1"/>
  <c r="G4" i="2" s="1"/>
  <c r="H4" i="2" s="1"/>
  <c r="I4" i="2" s="1"/>
  <c r="J4" i="2" s="1"/>
  <c r="K4" i="2" s="1"/>
  <c r="L4" i="2" s="1"/>
  <c r="M4" i="2" s="1"/>
  <c r="N4" i="2" s="1"/>
  <c r="O4" i="2" s="1"/>
  <c r="P4" i="2" s="1"/>
  <c r="Q4" i="2" s="1"/>
  <c r="R4" i="2" s="1"/>
  <c r="S4" i="2" s="1"/>
  <c r="T4" i="2" s="1"/>
  <c r="U4" i="2" s="1"/>
  <c r="V4" i="2" s="1"/>
  <c r="W4" i="2" s="1"/>
  <c r="X4" i="2" s="1"/>
  <c r="Y4" i="2" s="1"/>
  <c r="Z4" i="2" s="1"/>
  <c r="AA4" i="2" s="1"/>
  <c r="AB4" i="2" s="1"/>
  <c r="AC4" i="2" s="1"/>
  <c r="AD4" i="2" s="1"/>
  <c r="AE4" i="2" s="1"/>
  <c r="AF4" i="2" s="1"/>
  <c r="AG4" i="2" s="1"/>
  <c r="AH4" i="2" s="1"/>
  <c r="AI4" i="2" s="1"/>
  <c r="AJ4" i="2" s="1"/>
  <c r="AK4" i="2" s="1"/>
  <c r="AL4" i="2" s="1"/>
  <c r="AM4" i="2" s="1"/>
  <c r="AN4" i="2" s="1"/>
  <c r="AO4" i="2" s="1"/>
  <c r="AP4" i="2" s="1"/>
  <c r="AQ4" i="2" s="1"/>
  <c r="AR4" i="2" s="1"/>
  <c r="AS4" i="2" s="1"/>
  <c r="AT4" i="2" s="1"/>
  <c r="AU4" i="2" s="1"/>
  <c r="AV4" i="2" s="1"/>
  <c r="AW4" i="2" s="1"/>
  <c r="AX4" i="2" s="1"/>
  <c r="AY4" i="2" s="1"/>
  <c r="AZ4" i="2" s="1"/>
  <c r="BA4" i="2" s="1"/>
  <c r="BB4" i="2" s="1"/>
  <c r="BC4" i="2" s="1"/>
  <c r="BD4" i="2" s="1"/>
  <c r="BE4" i="2" s="1"/>
  <c r="BF4" i="2" s="1"/>
  <c r="BG4" i="2" s="1"/>
  <c r="BH4" i="2" s="1"/>
  <c r="BI4" i="2" s="1"/>
  <c r="BJ4" i="2" s="1"/>
  <c r="BK4" i="2" s="1"/>
  <c r="BL4" i="2" s="1"/>
  <c r="BM4" i="2" s="1"/>
  <c r="BN4" i="2" s="1"/>
  <c r="BO4" i="2" s="1"/>
  <c r="BP4" i="2" s="1"/>
  <c r="BQ4" i="2" s="1"/>
  <c r="BR4" i="2" s="1"/>
  <c r="BS4" i="2" s="1"/>
  <c r="BT4" i="2" s="1"/>
  <c r="BU4" i="2" s="1"/>
  <c r="BV4" i="2" s="1"/>
  <c r="BW4" i="2" s="1"/>
  <c r="BX4" i="2" s="1"/>
  <c r="BY4" i="2" s="1"/>
  <c r="BZ4" i="2" s="1"/>
  <c r="CA4" i="2" s="1"/>
  <c r="CB4" i="2" s="1"/>
  <c r="CC4" i="2" s="1"/>
  <c r="CD4" i="2" s="1"/>
  <c r="CE4" i="2" s="1"/>
  <c r="CF4" i="2" s="1"/>
  <c r="CG4" i="2" s="1"/>
  <c r="CH4" i="2" s="1"/>
  <c r="CI4" i="2" s="1"/>
  <c r="CJ4" i="2" s="1"/>
  <c r="CK4" i="2" s="1"/>
  <c r="CL4" i="2" s="1"/>
  <c r="CM4" i="2" s="1"/>
  <c r="CN4" i="2" s="1"/>
  <c r="CO4" i="2" s="1"/>
  <c r="CP4" i="2" s="1"/>
  <c r="CQ4" i="2" s="1"/>
  <c r="CR4" i="2" s="1"/>
  <c r="CN352" i="2" l="1"/>
  <c r="CP251" i="2"/>
  <c r="CN364" i="2"/>
  <c r="BW352" i="2"/>
  <c r="BO352" i="2"/>
  <c r="BL364" i="2"/>
  <c r="BH352" i="2"/>
  <c r="BF352" i="2"/>
  <c r="BC364" i="2"/>
  <c r="AZ352" i="2"/>
  <c r="AR364" i="2"/>
  <c r="AQ352" i="2"/>
  <c r="AN364" i="2"/>
  <c r="V352" i="2"/>
  <c r="T364" i="2"/>
  <c r="S364" i="2"/>
  <c r="BW249" i="2"/>
  <c r="E213" i="2"/>
  <c r="D213" i="2"/>
  <c r="AI212" i="2"/>
  <c r="X244" i="2"/>
  <c r="CO239" i="2"/>
  <c r="CQ364" i="2"/>
  <c r="CK234" i="2"/>
  <c r="BU234" i="2"/>
  <c r="BM234" i="2"/>
  <c r="AA232" i="2"/>
  <c r="BS87" i="2"/>
  <c r="BI87" i="2"/>
  <c r="AY119" i="2"/>
  <c r="CB83" i="2"/>
  <c r="BH83" i="2"/>
  <c r="BG83" i="2"/>
  <c r="AZ83" i="2"/>
  <c r="AW115" i="2"/>
  <c r="AB83" i="2"/>
  <c r="T83" i="2"/>
  <c r="S83" i="2"/>
  <c r="R83" i="2"/>
  <c r="N147" i="2"/>
  <c r="J83" i="2"/>
  <c r="CR145" i="2"/>
  <c r="BS81" i="2"/>
  <c r="BD81" i="2"/>
  <c r="AE81" i="2"/>
  <c r="U81" i="2"/>
  <c r="CH79" i="2"/>
  <c r="Z79" i="2"/>
  <c r="AY77" i="2"/>
  <c r="U76" i="2"/>
  <c r="CC75" i="2"/>
  <c r="P75" i="2"/>
  <c r="BD74" i="2"/>
  <c r="U106" i="2"/>
  <c r="P74" i="2"/>
  <c r="BS73" i="2"/>
  <c r="BI103" i="2"/>
  <c r="AJ71" i="2"/>
  <c r="BY102" i="2"/>
  <c r="BV70" i="2"/>
  <c r="M102" i="2"/>
  <c r="J70" i="2"/>
  <c r="M364" i="2"/>
  <c r="J364" i="2"/>
  <c r="G376" i="2"/>
  <c r="E352" i="2"/>
  <c r="C352" i="2"/>
  <c r="CQ362" i="2"/>
  <c r="CA362" i="2"/>
  <c r="BK362" i="2"/>
  <c r="BC362" i="2"/>
  <c r="AM362" i="2"/>
  <c r="W362" i="2"/>
  <c r="O362" i="2"/>
  <c r="D350" i="2"/>
  <c r="CK251" i="2"/>
  <c r="BZ251" i="2"/>
  <c r="AK213" i="2"/>
  <c r="CJ244" i="2"/>
  <c r="BK244" i="2"/>
  <c r="BA239" i="2"/>
  <c r="AK239" i="2"/>
  <c r="AC239" i="2"/>
  <c r="M239" i="2"/>
  <c r="E207" i="2"/>
  <c r="D207" i="2"/>
  <c r="BZ237" i="2"/>
  <c r="D205" i="2"/>
  <c r="CQ204" i="2"/>
  <c r="CI204" i="2"/>
  <c r="BK204" i="2"/>
  <c r="BC204" i="2"/>
  <c r="AU204" i="2"/>
  <c r="AM204" i="2"/>
  <c r="AA204" i="2"/>
  <c r="W204" i="2"/>
  <c r="C204" i="2"/>
  <c r="BP203" i="2"/>
  <c r="BH203" i="2"/>
  <c r="BE234" i="2"/>
  <c r="AW234" i="2"/>
  <c r="AQ234" i="2"/>
  <c r="AG234" i="2"/>
  <c r="Y234" i="2"/>
  <c r="Q234" i="2"/>
  <c r="I234" i="2"/>
  <c r="E202" i="2"/>
  <c r="BQ201" i="2"/>
  <c r="AK201" i="2"/>
  <c r="E201" i="2"/>
  <c r="D201" i="2"/>
  <c r="CQ200" i="2"/>
  <c r="CE232" i="2"/>
  <c r="BW232" i="2"/>
  <c r="BO232" i="2"/>
  <c r="BK200" i="2"/>
  <c r="BG232" i="2"/>
  <c r="AQ232" i="2"/>
  <c r="AI232" i="2"/>
  <c r="S232" i="2"/>
  <c r="C200" i="2"/>
  <c r="CK199" i="2"/>
  <c r="AV199" i="2"/>
  <c r="Y199" i="2"/>
  <c r="BS91" i="2"/>
  <c r="CR89" i="2"/>
  <c r="BD89" i="2"/>
  <c r="P89" i="2"/>
  <c r="U87" i="2"/>
  <c r="K119" i="2"/>
  <c r="CH85" i="2"/>
  <c r="AT85" i="2"/>
  <c r="AJ85" i="2"/>
  <c r="CM84" i="2"/>
  <c r="BI84" i="2"/>
  <c r="U84" i="2"/>
  <c r="K84" i="2"/>
  <c r="CE83" i="2"/>
  <c r="CD83" i="2"/>
  <c r="BF83" i="2"/>
  <c r="AX83" i="2"/>
  <c r="AI83" i="2"/>
  <c r="AG115" i="2"/>
  <c r="AA83" i="2"/>
  <c r="BX79" i="2"/>
  <c r="BN79" i="2"/>
  <c r="AT79" i="2"/>
  <c r="K77" i="2"/>
  <c r="BI76" i="2"/>
  <c r="AJ76" i="2"/>
  <c r="AO75" i="2"/>
  <c r="K107" i="2"/>
  <c r="CR74" i="2"/>
  <c r="AE73" i="2"/>
  <c r="CR135" i="2"/>
  <c r="AE71" i="2"/>
  <c r="U71" i="2"/>
  <c r="CG102" i="2"/>
  <c r="CD70" i="2"/>
  <c r="BW102" i="2"/>
  <c r="BM70" i="2"/>
  <c r="BG102" i="2"/>
  <c r="BF70" i="2"/>
  <c r="BA102" i="2"/>
  <c r="AP70" i="2"/>
  <c r="AK102" i="2"/>
  <c r="AI102" i="2"/>
  <c r="AH70" i="2"/>
  <c r="R70" i="2"/>
  <c r="I70" i="2"/>
  <c r="C70" i="2"/>
  <c r="AU29" i="2"/>
  <c r="AQ217" i="2"/>
  <c r="AQ249" i="2"/>
  <c r="CN83" i="2"/>
  <c r="CL83" i="2"/>
  <c r="BI106" i="2"/>
  <c r="BI74" i="2"/>
  <c r="Z138" i="2"/>
  <c r="Z74" i="2"/>
  <c r="BX137" i="2"/>
  <c r="BX73" i="2"/>
  <c r="AJ137" i="2"/>
  <c r="AJ73" i="2"/>
  <c r="BO29" i="2"/>
  <c r="BS6" i="2"/>
  <c r="W276" i="2"/>
  <c r="W279" i="2"/>
  <c r="W283" i="2"/>
  <c r="W285" i="2"/>
  <c r="W281" i="2"/>
  <c r="W263" i="2"/>
  <c r="W264" i="2"/>
  <c r="W265" i="2"/>
  <c r="W269" i="2"/>
  <c r="W266" i="2"/>
  <c r="W271" i="2"/>
  <c r="W267" i="2"/>
  <c r="W273" i="2"/>
  <c r="W268" i="2"/>
  <c r="W277" i="2"/>
  <c r="W189" i="2"/>
  <c r="BK315" i="2"/>
  <c r="BK317" i="2"/>
  <c r="BK301" i="2"/>
  <c r="BK313" i="2"/>
  <c r="BK303" i="2"/>
  <c r="BK296" i="2"/>
  <c r="BK311" i="2"/>
  <c r="BK305" i="2"/>
  <c r="BK309" i="2"/>
  <c r="BK300" i="2"/>
  <c r="BK308" i="2"/>
  <c r="BK299" i="2"/>
  <c r="BK298" i="2"/>
  <c r="BK295" i="2"/>
  <c r="BK297" i="2"/>
  <c r="Q277" i="2"/>
  <c r="Q279" i="2"/>
  <c r="Q283" i="2"/>
  <c r="Q269" i="2"/>
  <c r="Q271" i="2"/>
  <c r="Q265" i="2"/>
  <c r="Q273" i="2"/>
  <c r="Q266" i="2"/>
  <c r="Q281" i="2"/>
  <c r="Q267" i="2"/>
  <c r="Q268" i="2"/>
  <c r="Q285" i="2"/>
  <c r="Q276" i="2"/>
  <c r="Q263" i="2"/>
  <c r="Q264" i="2"/>
  <c r="O315" i="2"/>
  <c r="O317" i="2"/>
  <c r="O305" i="2"/>
  <c r="O301" i="2"/>
  <c r="O313" i="2"/>
  <c r="O303" i="2"/>
  <c r="O296" i="2"/>
  <c r="O309" i="2"/>
  <c r="O295" i="2"/>
  <c r="O297" i="2"/>
  <c r="O298" i="2"/>
  <c r="O311" i="2"/>
  <c r="O308" i="2"/>
  <c r="O299" i="2"/>
  <c r="O300" i="2"/>
  <c r="G315" i="2"/>
  <c r="G317" i="2"/>
  <c r="G301" i="2"/>
  <c r="G311" i="2"/>
  <c r="G309" i="2"/>
  <c r="G303" i="2"/>
  <c r="G296" i="2"/>
  <c r="G308" i="2"/>
  <c r="G297" i="2"/>
  <c r="G298" i="2"/>
  <c r="G299" i="2"/>
  <c r="G313" i="2"/>
  <c r="G305" i="2"/>
  <c r="G300" i="2"/>
  <c r="G295" i="2"/>
  <c r="CI276" i="2"/>
  <c r="CI279" i="2"/>
  <c r="CI283" i="2"/>
  <c r="CI285" i="2"/>
  <c r="CI263" i="2"/>
  <c r="CI264" i="2"/>
  <c r="CI281" i="2"/>
  <c r="CI265" i="2"/>
  <c r="CI269" i="2"/>
  <c r="CI266" i="2"/>
  <c r="CI271" i="2"/>
  <c r="CI267" i="2"/>
  <c r="CI268" i="2"/>
  <c r="CI273" i="2"/>
  <c r="CI277" i="2"/>
  <c r="AW277" i="2"/>
  <c r="AW279" i="2"/>
  <c r="AW283" i="2"/>
  <c r="AW269" i="2"/>
  <c r="AW271" i="2"/>
  <c r="AW265" i="2"/>
  <c r="AW276" i="2"/>
  <c r="AW273" i="2"/>
  <c r="AW266" i="2"/>
  <c r="AW267" i="2"/>
  <c r="AW268" i="2"/>
  <c r="AW285" i="2"/>
  <c r="AW281" i="2"/>
  <c r="AW263" i="2"/>
  <c r="AW264" i="2"/>
  <c r="AU276" i="2"/>
  <c r="AU279" i="2"/>
  <c r="AU283" i="2"/>
  <c r="AU285" i="2"/>
  <c r="AU263" i="2"/>
  <c r="AU269" i="2"/>
  <c r="AU264" i="2"/>
  <c r="AU271" i="2"/>
  <c r="AU265" i="2"/>
  <c r="AU273" i="2"/>
  <c r="AU266" i="2"/>
  <c r="AU267" i="2"/>
  <c r="AU268" i="2"/>
  <c r="AU277" i="2"/>
  <c r="AU281" i="2"/>
  <c r="CQ315" i="2"/>
  <c r="CQ301" i="2"/>
  <c r="CQ317" i="2"/>
  <c r="CQ308" i="2"/>
  <c r="CQ311" i="2"/>
  <c r="CQ305" i="2"/>
  <c r="CQ309" i="2"/>
  <c r="CQ296" i="2"/>
  <c r="CQ313" i="2"/>
  <c r="CQ303" i="2"/>
  <c r="CQ299" i="2"/>
  <c r="CQ298" i="2"/>
  <c r="CQ295" i="2"/>
  <c r="CQ300" i="2"/>
  <c r="CQ297" i="2"/>
  <c r="AM315" i="2"/>
  <c r="AM317" i="2"/>
  <c r="AM301" i="2"/>
  <c r="AM309" i="2"/>
  <c r="AM313" i="2"/>
  <c r="AM305" i="2"/>
  <c r="AM296" i="2"/>
  <c r="AM311" i="2"/>
  <c r="AM308" i="2"/>
  <c r="AM297" i="2"/>
  <c r="AM303" i="2"/>
  <c r="AM300" i="2"/>
  <c r="AM299" i="2"/>
  <c r="AM298" i="2"/>
  <c r="AM295" i="2"/>
  <c r="CA276" i="2"/>
  <c r="CA279" i="2"/>
  <c r="CA283" i="2"/>
  <c r="CA285" i="2"/>
  <c r="CA263" i="2"/>
  <c r="CA269" i="2"/>
  <c r="CA264" i="2"/>
  <c r="CA277" i="2"/>
  <c r="CA271" i="2"/>
  <c r="CA265" i="2"/>
  <c r="CA273" i="2"/>
  <c r="CA266" i="2"/>
  <c r="CA281" i="2"/>
  <c r="CA267" i="2"/>
  <c r="CA268" i="2"/>
  <c r="BK276" i="2"/>
  <c r="BK279" i="2"/>
  <c r="BK283" i="2"/>
  <c r="BK285" i="2"/>
  <c r="BK277" i="2"/>
  <c r="BK263" i="2"/>
  <c r="BK281" i="2"/>
  <c r="BK264" i="2"/>
  <c r="BK265" i="2"/>
  <c r="BK266" i="2"/>
  <c r="BK267" i="2"/>
  <c r="BK269" i="2"/>
  <c r="BK268" i="2"/>
  <c r="BK271" i="2"/>
  <c r="BK273" i="2"/>
  <c r="BK189" i="2"/>
  <c r="BN180" i="2"/>
  <c r="Y337" i="2"/>
  <c r="Y102" i="2"/>
  <c r="Y61" i="2"/>
  <c r="AA70" i="2"/>
  <c r="AE337" i="2"/>
  <c r="AW337" i="2"/>
  <c r="AW102" i="2"/>
  <c r="AW61" i="2"/>
  <c r="AT135" i="2"/>
  <c r="AT103" i="2"/>
  <c r="AT71" i="2"/>
  <c r="CH135" i="2"/>
  <c r="CH103" i="2"/>
  <c r="CH71" i="2"/>
  <c r="BS136" i="2"/>
  <c r="BS104" i="2"/>
  <c r="P137" i="2"/>
  <c r="P105" i="2"/>
  <c r="P73" i="2"/>
  <c r="BD137" i="2"/>
  <c r="BD105" i="2"/>
  <c r="BD73" i="2"/>
  <c r="CR137" i="2"/>
  <c r="CR105" i="2"/>
  <c r="CR73" i="2"/>
  <c r="AO138" i="2"/>
  <c r="AO106" i="2"/>
  <c r="AO74" i="2"/>
  <c r="CC138" i="2"/>
  <c r="CC106" i="2"/>
  <c r="CC74" i="2"/>
  <c r="Z107" i="2"/>
  <c r="Z139" i="2"/>
  <c r="Z75" i="2"/>
  <c r="BN107" i="2"/>
  <c r="BN139" i="2"/>
  <c r="BN75" i="2"/>
  <c r="K140" i="2"/>
  <c r="K108" i="2"/>
  <c r="K76" i="2"/>
  <c r="AY140" i="2"/>
  <c r="AY108" i="2"/>
  <c r="AY76" i="2"/>
  <c r="CM140" i="2"/>
  <c r="CM108" i="2"/>
  <c r="CM76" i="2"/>
  <c r="AK339" i="2"/>
  <c r="AK147" i="2"/>
  <c r="AK83" i="2"/>
  <c r="AK115" i="2"/>
  <c r="AN147" i="2"/>
  <c r="AM147" i="2"/>
  <c r="AL147" i="2"/>
  <c r="AO51" i="2"/>
  <c r="AJ116" i="2"/>
  <c r="AJ84" i="2"/>
  <c r="AJ148" i="2"/>
  <c r="AY181" i="2"/>
  <c r="F187" i="2"/>
  <c r="CK277" i="2"/>
  <c r="CK279" i="2"/>
  <c r="CK281" i="2"/>
  <c r="CK283" i="2"/>
  <c r="CK269" i="2"/>
  <c r="CK265" i="2"/>
  <c r="CK266" i="2"/>
  <c r="CK285" i="2"/>
  <c r="CK276" i="2"/>
  <c r="CK271" i="2"/>
  <c r="CK267" i="2"/>
  <c r="CK268" i="2"/>
  <c r="CK273" i="2"/>
  <c r="CK263" i="2"/>
  <c r="CK264" i="2"/>
  <c r="G325" i="2"/>
  <c r="G166" i="2"/>
  <c r="K6" i="2"/>
  <c r="AI281" i="2"/>
  <c r="AI283" i="2"/>
  <c r="AI285" i="2"/>
  <c r="AI273" i="2"/>
  <c r="AI276" i="2"/>
  <c r="AI277" i="2"/>
  <c r="AI267" i="2"/>
  <c r="AI268" i="2"/>
  <c r="AI269" i="2"/>
  <c r="AI271" i="2"/>
  <c r="AI263" i="2"/>
  <c r="AI264" i="2"/>
  <c r="AI265" i="2"/>
  <c r="AI279" i="2"/>
  <c r="AI266" i="2"/>
  <c r="BU325" i="2"/>
  <c r="BU166" i="2"/>
  <c r="O276" i="2"/>
  <c r="O279" i="2"/>
  <c r="O283" i="2"/>
  <c r="O285" i="2"/>
  <c r="O263" i="2"/>
  <c r="O269" i="2"/>
  <c r="O264" i="2"/>
  <c r="O277" i="2"/>
  <c r="O271" i="2"/>
  <c r="O265" i="2"/>
  <c r="O281" i="2"/>
  <c r="O273" i="2"/>
  <c r="O266" i="2"/>
  <c r="O267" i="2"/>
  <c r="O268" i="2"/>
  <c r="O189" i="2"/>
  <c r="CI337" i="2"/>
  <c r="CK134" i="2"/>
  <c r="CJ134" i="2"/>
  <c r="CI134" i="2"/>
  <c r="CL134" i="2"/>
  <c r="CI102" i="2"/>
  <c r="CI70" i="2"/>
  <c r="CM38" i="2"/>
  <c r="AE136" i="2"/>
  <c r="AE104" i="2"/>
  <c r="AB283" i="2"/>
  <c r="AB269" i="2"/>
  <c r="AB285" i="2"/>
  <c r="AB277" i="2"/>
  <c r="AB279" i="2"/>
  <c r="AB271" i="2"/>
  <c r="AB268" i="2"/>
  <c r="AB276" i="2"/>
  <c r="AB273" i="2"/>
  <c r="AB263" i="2"/>
  <c r="AB264" i="2"/>
  <c r="AB265" i="2"/>
  <c r="AB281" i="2"/>
  <c r="AB266" i="2"/>
  <c r="AB267" i="2"/>
  <c r="AB189" i="2"/>
  <c r="BC325" i="2"/>
  <c r="BC166" i="2"/>
  <c r="BD6" i="2"/>
  <c r="BM325" i="2"/>
  <c r="BM262" i="2"/>
  <c r="BM166" i="2"/>
  <c r="W327" i="2"/>
  <c r="W275" i="2"/>
  <c r="W179" i="2"/>
  <c r="BI179" i="2"/>
  <c r="CA327" i="2"/>
  <c r="CA275" i="2"/>
  <c r="CA179" i="2"/>
  <c r="W337" i="2"/>
  <c r="W294" i="2"/>
  <c r="W102" i="2"/>
  <c r="W70" i="2"/>
  <c r="Z38" i="2"/>
  <c r="AO38" i="2"/>
  <c r="AX70" i="2"/>
  <c r="CA337" i="2"/>
  <c r="CA70" i="2"/>
  <c r="CA102" i="2"/>
  <c r="AY103" i="2"/>
  <c r="U105" i="2"/>
  <c r="AT74" i="2"/>
  <c r="CH74" i="2"/>
  <c r="BR147" i="2"/>
  <c r="CG339" i="2"/>
  <c r="CG83" i="2"/>
  <c r="CG115" i="2"/>
  <c r="CQ325" i="2"/>
  <c r="CQ166" i="2"/>
  <c r="CR6" i="2"/>
  <c r="U185" i="2"/>
  <c r="Y277" i="2"/>
  <c r="Y279" i="2"/>
  <c r="Y283" i="2"/>
  <c r="Y269" i="2"/>
  <c r="Y265" i="2"/>
  <c r="Y266" i="2"/>
  <c r="Y285" i="2"/>
  <c r="Y276" i="2"/>
  <c r="Y271" i="2"/>
  <c r="Y267" i="2"/>
  <c r="Y273" i="2"/>
  <c r="Y268" i="2"/>
  <c r="Y264" i="2"/>
  <c r="Y263" i="2"/>
  <c r="Y281" i="2"/>
  <c r="Q325" i="2"/>
  <c r="Q262" i="2"/>
  <c r="Q166" i="2"/>
  <c r="U6" i="2"/>
  <c r="AR283" i="2"/>
  <c r="AR269" i="2"/>
  <c r="AR285" i="2"/>
  <c r="AR277" i="2"/>
  <c r="AR279" i="2"/>
  <c r="AR281" i="2"/>
  <c r="AR268" i="2"/>
  <c r="AR276" i="2"/>
  <c r="AR263" i="2"/>
  <c r="AR271" i="2"/>
  <c r="AR264" i="2"/>
  <c r="AR273" i="2"/>
  <c r="AR265" i="2"/>
  <c r="AR266" i="2"/>
  <c r="AR267" i="2"/>
  <c r="AR189" i="2"/>
  <c r="M327" i="2"/>
  <c r="M179" i="2"/>
  <c r="P19" i="2"/>
  <c r="BQ327" i="2"/>
  <c r="BQ179" i="2"/>
  <c r="I325" i="2"/>
  <c r="I166" i="2"/>
  <c r="S281" i="2"/>
  <c r="S283" i="2"/>
  <c r="S285" i="2"/>
  <c r="S273" i="2"/>
  <c r="S276" i="2"/>
  <c r="S277" i="2"/>
  <c r="S267" i="2"/>
  <c r="S268" i="2"/>
  <c r="S263" i="2"/>
  <c r="S279" i="2"/>
  <c r="S264" i="2"/>
  <c r="S269" i="2"/>
  <c r="S265" i="2"/>
  <c r="S271" i="2"/>
  <c r="S266" i="2"/>
  <c r="AU325" i="2"/>
  <c r="AU262" i="2"/>
  <c r="AU166" i="2"/>
  <c r="AY6" i="2"/>
  <c r="BE325" i="2"/>
  <c r="BE262" i="2"/>
  <c r="BE166" i="2"/>
  <c r="BI6" i="2"/>
  <c r="BO281" i="2"/>
  <c r="BO283" i="2"/>
  <c r="BO285" i="2"/>
  <c r="BO273" i="2"/>
  <c r="BO276" i="2"/>
  <c r="BO277" i="2"/>
  <c r="BO267" i="2"/>
  <c r="BO268" i="2"/>
  <c r="BO269" i="2"/>
  <c r="BO279" i="2"/>
  <c r="BO271" i="2"/>
  <c r="BO263" i="2"/>
  <c r="BO264" i="2"/>
  <c r="BO265" i="2"/>
  <c r="BO266" i="2"/>
  <c r="BW281" i="2"/>
  <c r="BW283" i="2"/>
  <c r="BW285" i="2"/>
  <c r="BW273" i="2"/>
  <c r="BW276" i="2"/>
  <c r="BW277" i="2"/>
  <c r="BW279" i="2"/>
  <c r="BW267" i="2"/>
  <c r="BW268" i="2"/>
  <c r="BW269" i="2"/>
  <c r="BW263" i="2"/>
  <c r="BW271" i="2"/>
  <c r="BW264" i="2"/>
  <c r="BW265" i="2"/>
  <c r="BW266" i="2"/>
  <c r="AJ167" i="2"/>
  <c r="BX167" i="2"/>
  <c r="U168" i="2"/>
  <c r="BI168" i="2"/>
  <c r="F169" i="2"/>
  <c r="AT169" i="2"/>
  <c r="CH169" i="2"/>
  <c r="AE170" i="2"/>
  <c r="BS170" i="2"/>
  <c r="P171" i="2"/>
  <c r="BD171" i="2"/>
  <c r="CR171" i="2"/>
  <c r="AO172" i="2"/>
  <c r="CC172" i="2"/>
  <c r="Z173" i="2"/>
  <c r="BN173" i="2"/>
  <c r="K175" i="2"/>
  <c r="AY175" i="2"/>
  <c r="CM175" i="2"/>
  <c r="AJ177" i="2"/>
  <c r="BX177" i="2"/>
  <c r="E327" i="2"/>
  <c r="E179" i="2"/>
  <c r="F19" i="2"/>
  <c r="O327" i="2"/>
  <c r="O275" i="2"/>
  <c r="O179" i="2"/>
  <c r="BA327" i="2"/>
  <c r="BA179" i="2"/>
  <c r="BD19" i="2"/>
  <c r="BS19" i="2"/>
  <c r="BC29" i="2"/>
  <c r="BC262" i="2" s="1"/>
  <c r="AG337" i="2"/>
  <c r="AG102" i="2"/>
  <c r="AJ38" i="2"/>
  <c r="AG61" i="2"/>
  <c r="AG294" i="2" s="1"/>
  <c r="BS337" i="2"/>
  <c r="CK337" i="2"/>
  <c r="CK102" i="2"/>
  <c r="CK61" i="2"/>
  <c r="AC339" i="2"/>
  <c r="AC83" i="2"/>
  <c r="AC115" i="2"/>
  <c r="AE51" i="2"/>
  <c r="AE61" i="2" s="1"/>
  <c r="BY339" i="2"/>
  <c r="BY147" i="2"/>
  <c r="BY83" i="2"/>
  <c r="BY115" i="2"/>
  <c r="CB147" i="2"/>
  <c r="CA147" i="2"/>
  <c r="BZ147" i="2"/>
  <c r="CC51" i="2"/>
  <c r="CA61" i="2"/>
  <c r="BS72" i="2"/>
  <c r="BX183" i="2"/>
  <c r="BE277" i="2"/>
  <c r="BE279" i="2"/>
  <c r="BE283" i="2"/>
  <c r="BE269" i="2"/>
  <c r="BE265" i="2"/>
  <c r="BE266" i="2"/>
  <c r="BE285" i="2"/>
  <c r="BE271" i="2"/>
  <c r="BE267" i="2"/>
  <c r="BE281" i="2"/>
  <c r="BE273" i="2"/>
  <c r="BE268" i="2"/>
  <c r="BE276" i="2"/>
  <c r="BE264" i="2"/>
  <c r="BE263" i="2"/>
  <c r="O337" i="2"/>
  <c r="O294" i="2"/>
  <c r="O70" i="2"/>
  <c r="O102" i="2"/>
  <c r="CC337" i="2"/>
  <c r="CC61" i="2"/>
  <c r="U339" i="2"/>
  <c r="BQ339" i="2"/>
  <c r="BQ83" i="2"/>
  <c r="BQ115" i="2"/>
  <c r="W315" i="2"/>
  <c r="W317" i="2"/>
  <c r="W313" i="2"/>
  <c r="W308" i="2"/>
  <c r="W301" i="2"/>
  <c r="W309" i="2"/>
  <c r="W305" i="2"/>
  <c r="W311" i="2"/>
  <c r="W296" i="2"/>
  <c r="W303" i="2"/>
  <c r="W300" i="2"/>
  <c r="W295" i="2"/>
  <c r="W298" i="2"/>
  <c r="W297" i="2"/>
  <c r="W299" i="2"/>
  <c r="CI61" i="2"/>
  <c r="AM325" i="2"/>
  <c r="AM166" i="2"/>
  <c r="BK327" i="2"/>
  <c r="BK275" i="2"/>
  <c r="BK179" i="2"/>
  <c r="CM181" i="2"/>
  <c r="BI185" i="2"/>
  <c r="CH187" i="2"/>
  <c r="BK337" i="2"/>
  <c r="BK294" i="2"/>
  <c r="BK70" i="2"/>
  <c r="BK102" i="2"/>
  <c r="BN38" i="2"/>
  <c r="BS70" i="2" s="1"/>
  <c r="AE166" i="2"/>
  <c r="AW325" i="2"/>
  <c r="AW262" i="2"/>
  <c r="AW166" i="2"/>
  <c r="BG281" i="2"/>
  <c r="BG283" i="2"/>
  <c r="BG285" i="2"/>
  <c r="BG273" i="2"/>
  <c r="BG276" i="2"/>
  <c r="BG277" i="2"/>
  <c r="BG269" i="2"/>
  <c r="BG267" i="2"/>
  <c r="BG271" i="2"/>
  <c r="BG268" i="2"/>
  <c r="BG263" i="2"/>
  <c r="BG264" i="2"/>
  <c r="BG279" i="2"/>
  <c r="BG265" i="2"/>
  <c r="BG266" i="2"/>
  <c r="CI325" i="2"/>
  <c r="CI262" i="2"/>
  <c r="CI166" i="2"/>
  <c r="CM6" i="2"/>
  <c r="F167" i="2"/>
  <c r="AT167" i="2"/>
  <c r="CH167" i="2"/>
  <c r="AE168" i="2"/>
  <c r="BS168" i="2"/>
  <c r="P169" i="2"/>
  <c r="BD169" i="2"/>
  <c r="CR169" i="2"/>
  <c r="AO170" i="2"/>
  <c r="CC170" i="2"/>
  <c r="Z171" i="2"/>
  <c r="BN171" i="2"/>
  <c r="K172" i="2"/>
  <c r="AY172" i="2"/>
  <c r="CM172" i="2"/>
  <c r="AJ173" i="2"/>
  <c r="BX173" i="2"/>
  <c r="U175" i="2"/>
  <c r="BI175" i="2"/>
  <c r="F177" i="2"/>
  <c r="AT177" i="2"/>
  <c r="CH177" i="2"/>
  <c r="AS327" i="2"/>
  <c r="AS179" i="2"/>
  <c r="AT19" i="2"/>
  <c r="BC327" i="2"/>
  <c r="BC275" i="2"/>
  <c r="BC179" i="2"/>
  <c r="CO327" i="2"/>
  <c r="CO179" i="2"/>
  <c r="CR19" i="2"/>
  <c r="AE29" i="2"/>
  <c r="CQ29" i="2"/>
  <c r="G337" i="2"/>
  <c r="G294" i="2"/>
  <c r="I134" i="2"/>
  <c r="H134" i="2"/>
  <c r="G134" i="2"/>
  <c r="G102" i="2"/>
  <c r="G70" i="2"/>
  <c r="J134" i="2"/>
  <c r="K38" i="2"/>
  <c r="Q337" i="2"/>
  <c r="Q134" i="2"/>
  <c r="Q102" i="2"/>
  <c r="T134" i="2"/>
  <c r="S134" i="2"/>
  <c r="U38" i="2"/>
  <c r="R134" i="2"/>
  <c r="Q61" i="2"/>
  <c r="Q294" i="2" s="1"/>
  <c r="AR309" i="2"/>
  <c r="AR311" i="2"/>
  <c r="AR313" i="2"/>
  <c r="AR315" i="2"/>
  <c r="AR317" i="2"/>
  <c r="AR298" i="2"/>
  <c r="AR299" i="2"/>
  <c r="AR303" i="2"/>
  <c r="AR300" i="2"/>
  <c r="AR308" i="2"/>
  <c r="AR301" i="2"/>
  <c r="AR295" i="2"/>
  <c r="AR305" i="2"/>
  <c r="AR297" i="2"/>
  <c r="AR296" i="2"/>
  <c r="AR125" i="2"/>
  <c r="BU337" i="2"/>
  <c r="BU102" i="2"/>
  <c r="BX38" i="2"/>
  <c r="BU61" i="2"/>
  <c r="BU294" i="2" s="1"/>
  <c r="CN309" i="2"/>
  <c r="CN311" i="2"/>
  <c r="CN313" i="2"/>
  <c r="CN315" i="2"/>
  <c r="CN317" i="2"/>
  <c r="CN303" i="2"/>
  <c r="CN298" i="2"/>
  <c r="CN299" i="2"/>
  <c r="CN300" i="2"/>
  <c r="CN301" i="2"/>
  <c r="CN305" i="2"/>
  <c r="CN296" i="2"/>
  <c r="CN308" i="2"/>
  <c r="CN297" i="2"/>
  <c r="CN295" i="2"/>
  <c r="CN125" i="2"/>
  <c r="CN157" i="2"/>
  <c r="M339" i="2"/>
  <c r="M83" i="2"/>
  <c r="M115" i="2"/>
  <c r="P51" i="2"/>
  <c r="AT51" i="2"/>
  <c r="BI339" i="2"/>
  <c r="CA339" i="2"/>
  <c r="CA307" i="2"/>
  <c r="CA115" i="2"/>
  <c r="CA83" i="2"/>
  <c r="Q70" i="2"/>
  <c r="AJ183" i="2"/>
  <c r="C281" i="2"/>
  <c r="C283" i="2"/>
  <c r="C285" i="2"/>
  <c r="C273" i="2"/>
  <c r="C277" i="2"/>
  <c r="C267" i="2"/>
  <c r="C268" i="2"/>
  <c r="C269" i="2"/>
  <c r="C279" i="2"/>
  <c r="C276" i="2"/>
  <c r="C271" i="2"/>
  <c r="C263" i="2"/>
  <c r="C264" i="2"/>
  <c r="C265" i="2"/>
  <c r="C266" i="2"/>
  <c r="AK327" i="2"/>
  <c r="AK179" i="2"/>
  <c r="AO19" i="2"/>
  <c r="AJ180" i="2"/>
  <c r="BI181" i="2"/>
  <c r="F183" i="2"/>
  <c r="AT183" i="2"/>
  <c r="CH183" i="2"/>
  <c r="AE281" i="2"/>
  <c r="AE185" i="2"/>
  <c r="BS185" i="2"/>
  <c r="P187" i="2"/>
  <c r="CR187" i="2"/>
  <c r="BM277" i="2"/>
  <c r="BM279" i="2"/>
  <c r="BM283" i="2"/>
  <c r="BM269" i="2"/>
  <c r="BM285" i="2"/>
  <c r="BM281" i="2"/>
  <c r="BM265" i="2"/>
  <c r="BM266" i="2"/>
  <c r="BM267" i="2"/>
  <c r="BM276" i="2"/>
  <c r="BM268" i="2"/>
  <c r="BM271" i="2"/>
  <c r="BM273" i="2"/>
  <c r="BM264" i="2"/>
  <c r="BM263" i="2"/>
  <c r="AB309" i="2"/>
  <c r="AB311" i="2"/>
  <c r="AB313" i="2"/>
  <c r="AB315" i="2"/>
  <c r="AB317" i="2"/>
  <c r="AB303" i="2"/>
  <c r="AB298" i="2"/>
  <c r="AB299" i="2"/>
  <c r="AB300" i="2"/>
  <c r="AB301" i="2"/>
  <c r="AB308" i="2"/>
  <c r="AB305" i="2"/>
  <c r="AB296" i="2"/>
  <c r="AB297" i="2"/>
  <c r="AB295" i="2"/>
  <c r="AB125" i="2"/>
  <c r="BC337" i="2"/>
  <c r="BC70" i="2"/>
  <c r="BC102" i="2"/>
  <c r="BM337" i="2"/>
  <c r="BM102" i="2"/>
  <c r="BM61" i="2"/>
  <c r="BO70" i="2"/>
  <c r="BA339" i="2"/>
  <c r="BA83" i="2"/>
  <c r="BA115" i="2"/>
  <c r="BD51" i="2"/>
  <c r="BS51" i="2"/>
  <c r="AW70" i="2"/>
  <c r="K181" i="2"/>
  <c r="W325" i="2"/>
  <c r="W262" i="2"/>
  <c r="W166" i="2"/>
  <c r="Z6" i="2"/>
  <c r="CA325" i="2"/>
  <c r="CA262" i="2"/>
  <c r="CA166" i="2"/>
  <c r="BX180" i="2"/>
  <c r="AG277" i="2"/>
  <c r="AG279" i="2"/>
  <c r="AG283" i="2"/>
  <c r="AG269" i="2"/>
  <c r="AG285" i="2"/>
  <c r="AG265" i="2"/>
  <c r="AG266" i="2"/>
  <c r="AG267" i="2"/>
  <c r="AG268" i="2"/>
  <c r="AG281" i="2"/>
  <c r="AG271" i="2"/>
  <c r="AG273" i="2"/>
  <c r="AG276" i="2"/>
  <c r="AG264" i="2"/>
  <c r="AG263" i="2"/>
  <c r="AG189" i="2"/>
  <c r="AG325" i="2"/>
  <c r="AG262" i="2"/>
  <c r="AG166" i="2"/>
  <c r="BS166" i="2"/>
  <c r="CK325" i="2"/>
  <c r="CK262" i="2"/>
  <c r="CK166" i="2"/>
  <c r="AC327" i="2"/>
  <c r="AC179" i="2"/>
  <c r="CG327" i="2"/>
  <c r="CG179" i="2"/>
  <c r="CH19" i="2"/>
  <c r="CQ327" i="2"/>
  <c r="CQ179" i="2"/>
  <c r="G29" i="2"/>
  <c r="G262" i="2" s="1"/>
  <c r="AM29" i="2"/>
  <c r="AM262" i="2" s="1"/>
  <c r="BS29" i="2"/>
  <c r="I337" i="2"/>
  <c r="I102" i="2"/>
  <c r="I61" i="2"/>
  <c r="AU337" i="2"/>
  <c r="AW134" i="2"/>
  <c r="AV134" i="2"/>
  <c r="AU134" i="2"/>
  <c r="AU102" i="2"/>
  <c r="AU70" i="2"/>
  <c r="AY38" i="2"/>
  <c r="AX134" i="2"/>
  <c r="BE337" i="2"/>
  <c r="BE134" i="2"/>
  <c r="BE102" i="2"/>
  <c r="BH134" i="2"/>
  <c r="BG134" i="2"/>
  <c r="BI38" i="2"/>
  <c r="BF134" i="2"/>
  <c r="BE61" i="2"/>
  <c r="BE294" i="2" s="1"/>
  <c r="CF309" i="2"/>
  <c r="CF311" i="2"/>
  <c r="CF313" i="2"/>
  <c r="CF315" i="2"/>
  <c r="CF317" i="2"/>
  <c r="CF298" i="2"/>
  <c r="CF299" i="2"/>
  <c r="CF300" i="2"/>
  <c r="CF308" i="2"/>
  <c r="CF301" i="2"/>
  <c r="CF305" i="2"/>
  <c r="CF303" i="2"/>
  <c r="CF295" i="2"/>
  <c r="CF296" i="2"/>
  <c r="CF297" i="2"/>
  <c r="CF125" i="2"/>
  <c r="AJ135" i="2"/>
  <c r="AJ103" i="2"/>
  <c r="BX135" i="2"/>
  <c r="BX103" i="2"/>
  <c r="U136" i="2"/>
  <c r="U104" i="2"/>
  <c r="U72" i="2"/>
  <c r="BI136" i="2"/>
  <c r="BI104" i="2"/>
  <c r="BI72" i="2"/>
  <c r="AT105" i="2"/>
  <c r="AT137" i="2"/>
  <c r="AT73" i="2"/>
  <c r="CH105" i="2"/>
  <c r="CH137" i="2"/>
  <c r="CH73" i="2"/>
  <c r="AE138" i="2"/>
  <c r="AE106" i="2"/>
  <c r="AE74" i="2"/>
  <c r="BS138" i="2"/>
  <c r="BS106" i="2"/>
  <c r="BS74" i="2"/>
  <c r="P107" i="2"/>
  <c r="P139" i="2"/>
  <c r="BD107" i="2"/>
  <c r="BD75" i="2"/>
  <c r="BD139" i="2"/>
  <c r="CR107" i="2"/>
  <c r="CR75" i="2"/>
  <c r="CR139" i="2"/>
  <c r="AO140" i="2"/>
  <c r="AO76" i="2"/>
  <c r="AO108" i="2"/>
  <c r="CC300" i="2"/>
  <c r="CC140" i="2"/>
  <c r="CC76" i="2"/>
  <c r="CC108" i="2"/>
  <c r="Z141" i="2"/>
  <c r="Z109" i="2"/>
  <c r="Z77" i="2"/>
  <c r="BN141" i="2"/>
  <c r="BN109" i="2"/>
  <c r="BN77" i="2"/>
  <c r="K111" i="2"/>
  <c r="K143" i="2"/>
  <c r="K79" i="2"/>
  <c r="AY111" i="2"/>
  <c r="AY143" i="2"/>
  <c r="AY79" i="2"/>
  <c r="CM111" i="2"/>
  <c r="CM143" i="2"/>
  <c r="CM79" i="2"/>
  <c r="AJ338" i="2"/>
  <c r="AJ145" i="2"/>
  <c r="AJ113" i="2"/>
  <c r="AJ81" i="2"/>
  <c r="BX338" i="2"/>
  <c r="BX145" i="2"/>
  <c r="BX113" i="2"/>
  <c r="BX81" i="2"/>
  <c r="E339" i="2"/>
  <c r="E83" i="2"/>
  <c r="O339" i="2"/>
  <c r="O307" i="2"/>
  <c r="O115" i="2"/>
  <c r="O83" i="2"/>
  <c r="CP147" i="2"/>
  <c r="Z148" i="2"/>
  <c r="Z116" i="2"/>
  <c r="Z84" i="2"/>
  <c r="BN148" i="2"/>
  <c r="BN116" i="2"/>
  <c r="BN84" i="2"/>
  <c r="K85" i="2"/>
  <c r="K117" i="2"/>
  <c r="K149" i="2"/>
  <c r="AY85" i="2"/>
  <c r="AY117" i="2"/>
  <c r="AY149" i="2"/>
  <c r="CM85" i="2"/>
  <c r="CM117" i="2"/>
  <c r="CM149" i="2"/>
  <c r="AJ87" i="2"/>
  <c r="AJ151" i="2"/>
  <c r="AJ119" i="2"/>
  <c r="BX87" i="2"/>
  <c r="BX151" i="2"/>
  <c r="BX119" i="2"/>
  <c r="U340" i="2"/>
  <c r="U153" i="2"/>
  <c r="U121" i="2"/>
  <c r="U89" i="2"/>
  <c r="BI340" i="2"/>
  <c r="BI153" i="2"/>
  <c r="BI121" i="2"/>
  <c r="BI89" i="2"/>
  <c r="AT123" i="2"/>
  <c r="AT155" i="2"/>
  <c r="AT91" i="2"/>
  <c r="CH123" i="2"/>
  <c r="CH155" i="2"/>
  <c r="CH91" i="2"/>
  <c r="AU61" i="2"/>
  <c r="Y70" i="2"/>
  <c r="BX71" i="2"/>
  <c r="G327" i="2"/>
  <c r="G275" i="2"/>
  <c r="G179" i="2"/>
  <c r="K19" i="2"/>
  <c r="Z180" i="2"/>
  <c r="AT187" i="2"/>
  <c r="AO6" i="2"/>
  <c r="AU327" i="2"/>
  <c r="AU275" i="2"/>
  <c r="AU179" i="2"/>
  <c r="AY19" i="2"/>
  <c r="U181" i="2"/>
  <c r="BD187" i="2"/>
  <c r="O325" i="2"/>
  <c r="O262" i="2"/>
  <c r="O166" i="2"/>
  <c r="P6" i="2"/>
  <c r="Y325" i="2"/>
  <c r="Y262" i="2"/>
  <c r="Y166" i="2"/>
  <c r="AQ281" i="2"/>
  <c r="AQ283" i="2"/>
  <c r="AQ285" i="2"/>
  <c r="AQ273" i="2"/>
  <c r="AQ276" i="2"/>
  <c r="AQ277" i="2"/>
  <c r="AQ267" i="2"/>
  <c r="AQ268" i="2"/>
  <c r="AQ279" i="2"/>
  <c r="AQ269" i="2"/>
  <c r="AQ263" i="2"/>
  <c r="AQ271" i="2"/>
  <c r="AQ264" i="2"/>
  <c r="AQ265" i="2"/>
  <c r="AQ266" i="2"/>
  <c r="BK325" i="2"/>
  <c r="BK262" i="2"/>
  <c r="BK166" i="2"/>
  <c r="BN6" i="2"/>
  <c r="CC6" i="2"/>
  <c r="U179" i="2"/>
  <c r="AM275" i="2"/>
  <c r="AM327" i="2"/>
  <c r="AM179" i="2"/>
  <c r="BY327" i="2"/>
  <c r="BY179" i="2"/>
  <c r="CC19" i="2"/>
  <c r="CI327" i="2"/>
  <c r="CI275" i="2"/>
  <c r="CI179" i="2"/>
  <c r="CM19" i="2"/>
  <c r="I29" i="2"/>
  <c r="BU29" i="2"/>
  <c r="T309" i="2"/>
  <c r="T311" i="2"/>
  <c r="T313" i="2"/>
  <c r="T315" i="2"/>
  <c r="T317" i="2"/>
  <c r="T298" i="2"/>
  <c r="T299" i="2"/>
  <c r="T300" i="2"/>
  <c r="T308" i="2"/>
  <c r="T301" i="2"/>
  <c r="T305" i="2"/>
  <c r="T295" i="2"/>
  <c r="T296" i="2"/>
  <c r="T303" i="2"/>
  <c r="T297" i="2"/>
  <c r="T125" i="2"/>
  <c r="AM337" i="2"/>
  <c r="AM294" i="2"/>
  <c r="AM70" i="2"/>
  <c r="AM102" i="2"/>
  <c r="BP309" i="2"/>
  <c r="BP311" i="2"/>
  <c r="BP313" i="2"/>
  <c r="BP315" i="2"/>
  <c r="BP317" i="2"/>
  <c r="BP298" i="2"/>
  <c r="BP299" i="2"/>
  <c r="BP305" i="2"/>
  <c r="BP300" i="2"/>
  <c r="BP301" i="2"/>
  <c r="BP308" i="2"/>
  <c r="BP303" i="2"/>
  <c r="BP295" i="2"/>
  <c r="BP296" i="2"/>
  <c r="BP297" i="2"/>
  <c r="BP125" i="2"/>
  <c r="CQ337" i="2"/>
  <c r="CQ294" i="2"/>
  <c r="CQ70" i="2"/>
  <c r="CQ102" i="2"/>
  <c r="AS339" i="2"/>
  <c r="AS83" i="2"/>
  <c r="AS115" i="2"/>
  <c r="CO339" i="2"/>
  <c r="CO83" i="2"/>
  <c r="CO115" i="2"/>
  <c r="CR51" i="2"/>
  <c r="BC61" i="2"/>
  <c r="BE70" i="2"/>
  <c r="AE72" i="2"/>
  <c r="H325" i="2"/>
  <c r="H166" i="2"/>
  <c r="X325" i="2"/>
  <c r="X166" i="2"/>
  <c r="AF325" i="2"/>
  <c r="AF166" i="2"/>
  <c r="AN325" i="2"/>
  <c r="AN166" i="2"/>
  <c r="AV325" i="2"/>
  <c r="AV166" i="2"/>
  <c r="BL325" i="2"/>
  <c r="BL166" i="2"/>
  <c r="BT325" i="2"/>
  <c r="BT166" i="2"/>
  <c r="CB325" i="2"/>
  <c r="CB166" i="2"/>
  <c r="CJ325" i="2"/>
  <c r="CJ166" i="2"/>
  <c r="AO167" i="2"/>
  <c r="CC167" i="2"/>
  <c r="Z168" i="2"/>
  <c r="BN168" i="2"/>
  <c r="K169" i="2"/>
  <c r="AY169" i="2"/>
  <c r="CM169" i="2"/>
  <c r="AJ170" i="2"/>
  <c r="BX170" i="2"/>
  <c r="U171" i="2"/>
  <c r="BI171" i="2"/>
  <c r="F172" i="2"/>
  <c r="AT172" i="2"/>
  <c r="CH172" i="2"/>
  <c r="AE173" i="2"/>
  <c r="BS173" i="2"/>
  <c r="P175" i="2"/>
  <c r="BD175" i="2"/>
  <c r="CR175" i="2"/>
  <c r="AO177" i="2"/>
  <c r="CC177" i="2"/>
  <c r="N327" i="2"/>
  <c r="N179" i="2"/>
  <c r="V327" i="2"/>
  <c r="V179" i="2"/>
  <c r="AD327" i="2"/>
  <c r="AD179" i="2"/>
  <c r="AL327" i="2"/>
  <c r="AL179" i="2"/>
  <c r="BB327" i="2"/>
  <c r="BB179" i="2"/>
  <c r="BJ327" i="2"/>
  <c r="BJ179" i="2"/>
  <c r="BR327" i="2"/>
  <c r="BR179" i="2"/>
  <c r="BZ327" i="2"/>
  <c r="BZ179" i="2"/>
  <c r="CP327" i="2"/>
  <c r="CP179" i="2"/>
  <c r="AE180" i="2"/>
  <c r="BS180" i="2"/>
  <c r="P181" i="2"/>
  <c r="BD181" i="2"/>
  <c r="CR181" i="2"/>
  <c r="AO183" i="2"/>
  <c r="CC183" i="2"/>
  <c r="Z185" i="2"/>
  <c r="BN185" i="2"/>
  <c r="K187" i="2"/>
  <c r="AY187" i="2"/>
  <c r="CM187" i="2"/>
  <c r="H29" i="2"/>
  <c r="H262" i="2" s="1"/>
  <c r="X29" i="2"/>
  <c r="X262" i="2" s="1"/>
  <c r="AF29" i="2"/>
  <c r="AF262" i="2" s="1"/>
  <c r="AN29" i="2"/>
  <c r="AV29" i="2"/>
  <c r="AV262" i="2" s="1"/>
  <c r="BL29" i="2"/>
  <c r="BL262" i="2" s="1"/>
  <c r="BT29" i="2"/>
  <c r="BT262" i="2" s="1"/>
  <c r="CB29" i="2"/>
  <c r="CB275" i="2" s="1"/>
  <c r="CJ29" i="2"/>
  <c r="H337" i="2"/>
  <c r="H102" i="2"/>
  <c r="P38" i="2"/>
  <c r="X337" i="2"/>
  <c r="X102" i="2"/>
  <c r="AF337" i="2"/>
  <c r="AG134" i="2"/>
  <c r="AF134" i="2"/>
  <c r="AF102" i="2"/>
  <c r="AI134" i="2"/>
  <c r="AN337" i="2"/>
  <c r="AN102" i="2"/>
  <c r="AV337" i="2"/>
  <c r="AV102" i="2"/>
  <c r="BD38" i="2"/>
  <c r="BL337" i="2"/>
  <c r="BL102" i="2"/>
  <c r="BT337" i="2"/>
  <c r="BU134" i="2"/>
  <c r="BT134" i="2"/>
  <c r="BT102" i="2"/>
  <c r="BW134" i="2"/>
  <c r="CB337" i="2"/>
  <c r="CB102" i="2"/>
  <c r="CJ337" i="2"/>
  <c r="CJ102" i="2"/>
  <c r="CR38" i="2"/>
  <c r="AO135" i="2"/>
  <c r="CC295" i="2"/>
  <c r="CC135" i="2"/>
  <c r="Z136" i="2"/>
  <c r="Z104" i="2"/>
  <c r="BN136" i="2"/>
  <c r="BN104" i="2"/>
  <c r="K137" i="2"/>
  <c r="K105" i="2"/>
  <c r="AY137" i="2"/>
  <c r="AY105" i="2"/>
  <c r="CM137" i="2"/>
  <c r="CM105" i="2"/>
  <c r="AJ106" i="2"/>
  <c r="AJ138" i="2"/>
  <c r="BX106" i="2"/>
  <c r="BX138" i="2"/>
  <c r="U139" i="2"/>
  <c r="U107" i="2"/>
  <c r="BI139" i="2"/>
  <c r="BI107" i="2"/>
  <c r="AT108" i="2"/>
  <c r="CH108" i="2"/>
  <c r="AE141" i="2"/>
  <c r="BS141" i="2"/>
  <c r="P143" i="2"/>
  <c r="P111" i="2"/>
  <c r="BD143" i="2"/>
  <c r="BD111" i="2"/>
  <c r="CR143" i="2"/>
  <c r="CR111" i="2"/>
  <c r="AO338" i="2"/>
  <c r="AO113" i="2"/>
  <c r="AO145" i="2"/>
  <c r="CC338" i="2"/>
  <c r="CC305" i="2"/>
  <c r="CC113" i="2"/>
  <c r="CC145" i="2"/>
  <c r="F51" i="2"/>
  <c r="N339" i="2"/>
  <c r="N115" i="2"/>
  <c r="V339" i="2"/>
  <c r="V115" i="2"/>
  <c r="Y147" i="2"/>
  <c r="X147" i="2"/>
  <c r="W147" i="2"/>
  <c r="AD339" i="2"/>
  <c r="AD115" i="2"/>
  <c r="AL339" i="2"/>
  <c r="AL115" i="2"/>
  <c r="BB339" i="2"/>
  <c r="BB115" i="2"/>
  <c r="BJ339" i="2"/>
  <c r="BJ115" i="2"/>
  <c r="BM147" i="2"/>
  <c r="BL147" i="2"/>
  <c r="BK147" i="2"/>
  <c r="BR339" i="2"/>
  <c r="BR115" i="2"/>
  <c r="BZ339" i="2"/>
  <c r="BZ115" i="2"/>
  <c r="CH51" i="2"/>
  <c r="CP339" i="2"/>
  <c r="CP115" i="2"/>
  <c r="AE148" i="2"/>
  <c r="BS148" i="2"/>
  <c r="P149" i="2"/>
  <c r="P85" i="2"/>
  <c r="P117" i="2"/>
  <c r="BD149" i="2"/>
  <c r="BD85" i="2"/>
  <c r="BD117" i="2"/>
  <c r="CR149" i="2"/>
  <c r="CR85" i="2"/>
  <c r="CR117" i="2"/>
  <c r="AO119" i="2"/>
  <c r="AO151" i="2"/>
  <c r="CC311" i="2"/>
  <c r="CC119" i="2"/>
  <c r="CC151" i="2"/>
  <c r="Z340" i="2"/>
  <c r="Z153" i="2"/>
  <c r="Z121" i="2"/>
  <c r="BN340" i="2"/>
  <c r="BN153" i="2"/>
  <c r="BN121" i="2"/>
  <c r="K155" i="2"/>
  <c r="K123" i="2"/>
  <c r="AY155" i="2"/>
  <c r="AY123" i="2"/>
  <c r="CM155" i="2"/>
  <c r="CM123" i="2"/>
  <c r="H61" i="2"/>
  <c r="X61" i="2"/>
  <c r="AF61" i="2"/>
  <c r="AN61" i="2"/>
  <c r="AV61" i="2"/>
  <c r="AV294" i="2" s="1"/>
  <c r="BL61" i="2"/>
  <c r="BL294" i="2" s="1"/>
  <c r="BT61" i="2"/>
  <c r="BT294" i="2" s="1"/>
  <c r="CB61" i="2"/>
  <c r="CB307" i="2" s="1"/>
  <c r="CJ61" i="2"/>
  <c r="BI71" i="2"/>
  <c r="K73" i="2"/>
  <c r="AY73" i="2"/>
  <c r="CM73" i="2"/>
  <c r="AE77" i="2"/>
  <c r="BS77" i="2"/>
  <c r="CR81" i="2"/>
  <c r="N83" i="2"/>
  <c r="BO83" i="2"/>
  <c r="BZ83" i="2"/>
  <c r="BB147" i="2"/>
  <c r="AJ109" i="2"/>
  <c r="U143" i="2"/>
  <c r="F338" i="2"/>
  <c r="CH338" i="2"/>
  <c r="CH145" i="2"/>
  <c r="CH113" i="2"/>
  <c r="CH81" i="2"/>
  <c r="AU339" i="2"/>
  <c r="AU307" i="2"/>
  <c r="AU115" i="2"/>
  <c r="AX147" i="2"/>
  <c r="AW147" i="2"/>
  <c r="AV147" i="2"/>
  <c r="AU147" i="2"/>
  <c r="BK339" i="2"/>
  <c r="BK307" i="2"/>
  <c r="BK115" i="2"/>
  <c r="CI339" i="2"/>
  <c r="CI307" i="2"/>
  <c r="CI115" i="2"/>
  <c r="CL147" i="2"/>
  <c r="CK147" i="2"/>
  <c r="CJ147" i="2"/>
  <c r="CI147" i="2"/>
  <c r="CI83" i="2"/>
  <c r="U149" i="2"/>
  <c r="U85" i="2"/>
  <c r="BI149" i="2"/>
  <c r="BI85" i="2"/>
  <c r="AT87" i="2"/>
  <c r="AT151" i="2"/>
  <c r="AT119" i="2"/>
  <c r="AE340" i="2"/>
  <c r="AE121" i="2"/>
  <c r="AE89" i="2"/>
  <c r="AE153" i="2"/>
  <c r="P155" i="2"/>
  <c r="P91" i="2"/>
  <c r="P123" i="2"/>
  <c r="CR155" i="2"/>
  <c r="CR91" i="2"/>
  <c r="CR123" i="2"/>
  <c r="P77" i="2"/>
  <c r="BD77" i="2"/>
  <c r="CR77" i="2"/>
  <c r="AU83" i="2"/>
  <c r="BS84" i="2"/>
  <c r="BN89" i="2"/>
  <c r="CM91" i="2"/>
  <c r="AE105" i="2"/>
  <c r="AT136" i="2"/>
  <c r="BD145" i="2"/>
  <c r="BJ147" i="2"/>
  <c r="BX109" i="2"/>
  <c r="BI143" i="2"/>
  <c r="AT338" i="2"/>
  <c r="AT145" i="2"/>
  <c r="AT113" i="2"/>
  <c r="AT81" i="2"/>
  <c r="G339" i="2"/>
  <c r="G307" i="2"/>
  <c r="G115" i="2"/>
  <c r="J147" i="2"/>
  <c r="I147" i="2"/>
  <c r="H147" i="2"/>
  <c r="G147" i="2"/>
  <c r="W339" i="2"/>
  <c r="W307" i="2"/>
  <c r="W115" i="2"/>
  <c r="AM339" i="2"/>
  <c r="AM307" i="2"/>
  <c r="AM115" i="2"/>
  <c r="BC339" i="2"/>
  <c r="BC307" i="2"/>
  <c r="BC115" i="2"/>
  <c r="CQ339" i="2"/>
  <c r="CQ307" i="2"/>
  <c r="CQ115" i="2"/>
  <c r="CQ83" i="2"/>
  <c r="BX116" i="2"/>
  <c r="BX84" i="2"/>
  <c r="CH87" i="2"/>
  <c r="CH151" i="2"/>
  <c r="CH119" i="2"/>
  <c r="BS340" i="2"/>
  <c r="BS121" i="2"/>
  <c r="BS89" i="2"/>
  <c r="BS153" i="2"/>
  <c r="BD155" i="2"/>
  <c r="BD91" i="2"/>
  <c r="BD123" i="2"/>
  <c r="B325" i="2"/>
  <c r="B166" i="2"/>
  <c r="J325" i="2"/>
  <c r="J166" i="2"/>
  <c r="R325" i="2"/>
  <c r="R166" i="2"/>
  <c r="AH325" i="2"/>
  <c r="AH166" i="2"/>
  <c r="AP325" i="2"/>
  <c r="AP166" i="2"/>
  <c r="AX325" i="2"/>
  <c r="AX166" i="2"/>
  <c r="BF325" i="2"/>
  <c r="BF166" i="2"/>
  <c r="BV325" i="2"/>
  <c r="BV166" i="2"/>
  <c r="CD325" i="2"/>
  <c r="CD166" i="2"/>
  <c r="CL325" i="2"/>
  <c r="CL166" i="2"/>
  <c r="K167" i="2"/>
  <c r="AY167" i="2"/>
  <c r="CM167" i="2"/>
  <c r="AJ168" i="2"/>
  <c r="BX168" i="2"/>
  <c r="U169" i="2"/>
  <c r="BI169" i="2"/>
  <c r="F170" i="2"/>
  <c r="AT170" i="2"/>
  <c r="CH170" i="2"/>
  <c r="AE267" i="2"/>
  <c r="AE171" i="2"/>
  <c r="BS171" i="2"/>
  <c r="P172" i="2"/>
  <c r="BD172" i="2"/>
  <c r="CR172" i="2"/>
  <c r="AO173" i="2"/>
  <c r="CC173" i="2"/>
  <c r="Z175" i="2"/>
  <c r="BN175" i="2"/>
  <c r="K177" i="2"/>
  <c r="AY177" i="2"/>
  <c r="CM177" i="2"/>
  <c r="H327" i="2"/>
  <c r="H275" i="2"/>
  <c r="H179" i="2"/>
  <c r="X327" i="2"/>
  <c r="X275" i="2"/>
  <c r="X179" i="2"/>
  <c r="AF327" i="2"/>
  <c r="AF275" i="2"/>
  <c r="AF179" i="2"/>
  <c r="AN327" i="2"/>
  <c r="AN179" i="2"/>
  <c r="AV327" i="2"/>
  <c r="AV275" i="2"/>
  <c r="AV179" i="2"/>
  <c r="BL327" i="2"/>
  <c r="BL275" i="2"/>
  <c r="BL179" i="2"/>
  <c r="BT327" i="2"/>
  <c r="BT275" i="2"/>
  <c r="BT179" i="2"/>
  <c r="CB327" i="2"/>
  <c r="CB179" i="2"/>
  <c r="CJ327" i="2"/>
  <c r="CJ275" i="2"/>
  <c r="CJ179" i="2"/>
  <c r="AO180" i="2"/>
  <c r="CC180" i="2"/>
  <c r="Z181" i="2"/>
  <c r="BN181" i="2"/>
  <c r="K183" i="2"/>
  <c r="AY183" i="2"/>
  <c r="CM183" i="2"/>
  <c r="AJ185" i="2"/>
  <c r="BX185" i="2"/>
  <c r="U187" i="2"/>
  <c r="BI187" i="2"/>
  <c r="B29" i="2"/>
  <c r="B262" i="2" s="1"/>
  <c r="J29" i="2"/>
  <c r="R29" i="2"/>
  <c r="R262" i="2" s="1"/>
  <c r="AH29" i="2"/>
  <c r="AH262" i="2" s="1"/>
  <c r="AP29" i="2"/>
  <c r="AX29" i="2"/>
  <c r="BF29" i="2"/>
  <c r="BF262" i="2" s="1"/>
  <c r="BV29" i="2"/>
  <c r="CD29" i="2"/>
  <c r="CD262" i="2" s="1"/>
  <c r="CL29" i="2"/>
  <c r="B337" i="2"/>
  <c r="J337" i="2"/>
  <c r="J102" i="2"/>
  <c r="R337" i="2"/>
  <c r="R102" i="2"/>
  <c r="AH337" i="2"/>
  <c r="AH102" i="2"/>
  <c r="AP337" i="2"/>
  <c r="AP102" i="2"/>
  <c r="AS134" i="2"/>
  <c r="AR134" i="2"/>
  <c r="AQ134" i="2"/>
  <c r="AX337" i="2"/>
  <c r="AX102" i="2"/>
  <c r="BF337" i="2"/>
  <c r="BF102" i="2"/>
  <c r="BV337" i="2"/>
  <c r="BV102" i="2"/>
  <c r="CD337" i="2"/>
  <c r="CD102" i="2"/>
  <c r="CG134" i="2"/>
  <c r="CF134" i="2"/>
  <c r="CE134" i="2"/>
  <c r="CL337" i="2"/>
  <c r="CL102" i="2"/>
  <c r="K135" i="2"/>
  <c r="AY135" i="2"/>
  <c r="CM135" i="2"/>
  <c r="AJ136" i="2"/>
  <c r="AJ104" i="2"/>
  <c r="BX136" i="2"/>
  <c r="BX104" i="2"/>
  <c r="U137" i="2"/>
  <c r="BI105" i="2"/>
  <c r="BI137" i="2"/>
  <c r="AT138" i="2"/>
  <c r="AT106" i="2"/>
  <c r="CH138" i="2"/>
  <c r="CH106" i="2"/>
  <c r="AE139" i="2"/>
  <c r="AE107" i="2"/>
  <c r="BS139" i="2"/>
  <c r="BS107" i="2"/>
  <c r="P108" i="2"/>
  <c r="P140" i="2"/>
  <c r="BD108" i="2"/>
  <c r="BD140" i="2"/>
  <c r="CR108" i="2"/>
  <c r="CR140" i="2"/>
  <c r="AO141" i="2"/>
  <c r="AO109" i="2"/>
  <c r="CC301" i="2"/>
  <c r="CC141" i="2"/>
  <c r="CC109" i="2"/>
  <c r="Z111" i="2"/>
  <c r="BN111" i="2"/>
  <c r="K338" i="2"/>
  <c r="K145" i="2"/>
  <c r="AY338" i="2"/>
  <c r="AY145" i="2"/>
  <c r="CM338" i="2"/>
  <c r="CM145" i="2"/>
  <c r="H339" i="2"/>
  <c r="H307" i="2"/>
  <c r="H115" i="2"/>
  <c r="X339" i="2"/>
  <c r="X307" i="2"/>
  <c r="X115" i="2"/>
  <c r="AF339" i="2"/>
  <c r="AF307" i="2"/>
  <c r="AF115" i="2"/>
  <c r="AI147" i="2"/>
  <c r="AH147" i="2"/>
  <c r="AG147" i="2"/>
  <c r="AF147" i="2"/>
  <c r="AN339" i="2"/>
  <c r="AN115" i="2"/>
  <c r="AV339" i="2"/>
  <c r="AV307" i="2"/>
  <c r="AV115" i="2"/>
  <c r="BL339" i="2"/>
  <c r="BL307" i="2"/>
  <c r="BL115" i="2"/>
  <c r="BT339" i="2"/>
  <c r="BT307" i="2"/>
  <c r="BT115" i="2"/>
  <c r="BW147" i="2"/>
  <c r="BV147" i="2"/>
  <c r="BU147" i="2"/>
  <c r="BT147" i="2"/>
  <c r="CB339" i="2"/>
  <c r="CB115" i="2"/>
  <c r="CJ339" i="2"/>
  <c r="CJ307" i="2"/>
  <c r="CJ115" i="2"/>
  <c r="AO148" i="2"/>
  <c r="AO116" i="2"/>
  <c r="CC308" i="2"/>
  <c r="CC148" i="2"/>
  <c r="CC116" i="2"/>
  <c r="Z117" i="2"/>
  <c r="Z149" i="2"/>
  <c r="BN117" i="2"/>
  <c r="BN149" i="2"/>
  <c r="K87" i="2"/>
  <c r="K151" i="2"/>
  <c r="AY87" i="2"/>
  <c r="AY151" i="2"/>
  <c r="CM87" i="2"/>
  <c r="CM151" i="2"/>
  <c r="AJ340" i="2"/>
  <c r="AJ153" i="2"/>
  <c r="AJ121" i="2"/>
  <c r="BX340" i="2"/>
  <c r="BX153" i="2"/>
  <c r="BX121" i="2"/>
  <c r="U123" i="2"/>
  <c r="U155" i="2"/>
  <c r="BI123" i="2"/>
  <c r="BI155" i="2"/>
  <c r="B61" i="2"/>
  <c r="B294" i="2" s="1"/>
  <c r="J61" i="2"/>
  <c r="R61" i="2"/>
  <c r="AH61" i="2"/>
  <c r="AH294" i="2" s="1"/>
  <c r="AP61" i="2"/>
  <c r="AP294" i="2" s="1"/>
  <c r="AX61" i="2"/>
  <c r="AX294" i="2" s="1"/>
  <c r="BF61" i="2"/>
  <c r="BF294" i="2" s="1"/>
  <c r="BV61" i="2"/>
  <c r="CD61" i="2"/>
  <c r="CL61" i="2"/>
  <c r="L70" i="2"/>
  <c r="T70" i="2"/>
  <c r="AB70" i="2"/>
  <c r="AR70" i="2"/>
  <c r="AZ70" i="2"/>
  <c r="BH70" i="2"/>
  <c r="BP70" i="2"/>
  <c r="CF70" i="2"/>
  <c r="CN70" i="2"/>
  <c r="Z72" i="2"/>
  <c r="BN72" i="2"/>
  <c r="U73" i="2"/>
  <c r="BI73" i="2"/>
  <c r="K75" i="2"/>
  <c r="AT76" i="2"/>
  <c r="CH76" i="2"/>
  <c r="AO77" i="2"/>
  <c r="CC77" i="2"/>
  <c r="CC81" i="2"/>
  <c r="AL83" i="2"/>
  <c r="AV83" i="2"/>
  <c r="BR83" i="2"/>
  <c r="CP83" i="2"/>
  <c r="CC84" i="2"/>
  <c r="AO87" i="2"/>
  <c r="BX89" i="2"/>
  <c r="CC103" i="2"/>
  <c r="BS105" i="2"/>
  <c r="AE109" i="2"/>
  <c r="CM119" i="2"/>
  <c r="CH136" i="2"/>
  <c r="AT140" i="2"/>
  <c r="AA325" i="2"/>
  <c r="AA166" i="2"/>
  <c r="CE325" i="2"/>
  <c r="CE166" i="2"/>
  <c r="AO168" i="2"/>
  <c r="BN169" i="2"/>
  <c r="AJ171" i="2"/>
  <c r="U172" i="2"/>
  <c r="CH173" i="2"/>
  <c r="AE271" i="2"/>
  <c r="AE175" i="2"/>
  <c r="CR177" i="2"/>
  <c r="Y327" i="2"/>
  <c r="Y275" i="2"/>
  <c r="Y179" i="2"/>
  <c r="AG327" i="2"/>
  <c r="AG275" i="2"/>
  <c r="AG179" i="2"/>
  <c r="BE327" i="2"/>
  <c r="BE275" i="2"/>
  <c r="BE179" i="2"/>
  <c r="BM327" i="2"/>
  <c r="BM275" i="2"/>
  <c r="BM179" i="2"/>
  <c r="BU327" i="2"/>
  <c r="BU275" i="2"/>
  <c r="BU179" i="2"/>
  <c r="F180" i="2"/>
  <c r="AT180" i="2"/>
  <c r="BS181" i="2"/>
  <c r="P183" i="2"/>
  <c r="BD183" i="2"/>
  <c r="CR183" i="2"/>
  <c r="AO185" i="2"/>
  <c r="CC185" i="2"/>
  <c r="Z187" i="2"/>
  <c r="BN187" i="2"/>
  <c r="AA29" i="2"/>
  <c r="AA262" i="2" s="1"/>
  <c r="CE29" i="2"/>
  <c r="C337" i="2"/>
  <c r="S337" i="2"/>
  <c r="AA337" i="2"/>
  <c r="AD134" i="2"/>
  <c r="AC134" i="2"/>
  <c r="AB134" i="2"/>
  <c r="AA134" i="2"/>
  <c r="AI337" i="2"/>
  <c r="AQ337" i="2"/>
  <c r="BG337" i="2"/>
  <c r="BO337" i="2"/>
  <c r="BR134" i="2"/>
  <c r="BQ134" i="2"/>
  <c r="BP134" i="2"/>
  <c r="BO134" i="2"/>
  <c r="BW337" i="2"/>
  <c r="CE337" i="2"/>
  <c r="P103" i="2"/>
  <c r="BD103" i="2"/>
  <c r="CR103" i="2"/>
  <c r="AO136" i="2"/>
  <c r="CC296" i="2"/>
  <c r="CC136" i="2"/>
  <c r="Z137" i="2"/>
  <c r="Z105" i="2"/>
  <c r="BN137" i="2"/>
  <c r="BN105" i="2"/>
  <c r="K106" i="2"/>
  <c r="K138" i="2"/>
  <c r="AY106" i="2"/>
  <c r="AY138" i="2"/>
  <c r="CM106" i="2"/>
  <c r="CM138" i="2"/>
  <c r="AJ139" i="2"/>
  <c r="AJ107" i="2"/>
  <c r="BX139" i="2"/>
  <c r="BX107" i="2"/>
  <c r="U140" i="2"/>
  <c r="U108" i="2"/>
  <c r="BI140" i="2"/>
  <c r="BI108" i="2"/>
  <c r="AT109" i="2"/>
  <c r="AT141" i="2"/>
  <c r="CH109" i="2"/>
  <c r="CH141" i="2"/>
  <c r="AE143" i="2"/>
  <c r="AE111" i="2"/>
  <c r="BS143" i="2"/>
  <c r="BS111" i="2"/>
  <c r="P338" i="2"/>
  <c r="P113" i="2"/>
  <c r="BD338" i="2"/>
  <c r="BD113" i="2"/>
  <c r="CR338" i="2"/>
  <c r="CR113" i="2"/>
  <c r="I339" i="2"/>
  <c r="I307" i="2"/>
  <c r="I83" i="2"/>
  <c r="Q339" i="2"/>
  <c r="Q307" i="2"/>
  <c r="T147" i="2"/>
  <c r="S147" i="2"/>
  <c r="R147" i="2"/>
  <c r="Q147" i="2"/>
  <c r="Q83" i="2"/>
  <c r="Y339" i="2"/>
  <c r="Y83" i="2"/>
  <c r="AG339" i="2"/>
  <c r="AG307" i="2"/>
  <c r="AG83" i="2"/>
  <c r="AW339" i="2"/>
  <c r="AW307" i="2"/>
  <c r="AW83" i="2"/>
  <c r="BE339" i="2"/>
  <c r="BE307" i="2"/>
  <c r="BH147" i="2"/>
  <c r="BG147" i="2"/>
  <c r="BF147" i="2"/>
  <c r="BE147" i="2"/>
  <c r="BE83" i="2"/>
  <c r="BM339" i="2"/>
  <c r="BM83" i="2"/>
  <c r="BU339" i="2"/>
  <c r="BU307" i="2"/>
  <c r="BU83" i="2"/>
  <c r="CK339" i="2"/>
  <c r="CK83" i="2"/>
  <c r="AT116" i="2"/>
  <c r="AT84" i="2"/>
  <c r="AT148" i="2"/>
  <c r="CH116" i="2"/>
  <c r="CH84" i="2"/>
  <c r="CH148" i="2"/>
  <c r="AE149" i="2"/>
  <c r="AE85" i="2"/>
  <c r="AE117" i="2"/>
  <c r="BS149" i="2"/>
  <c r="BS85" i="2"/>
  <c r="BS117" i="2"/>
  <c r="P119" i="2"/>
  <c r="P87" i="2"/>
  <c r="P151" i="2"/>
  <c r="BD119" i="2"/>
  <c r="BD87" i="2"/>
  <c r="BD151" i="2"/>
  <c r="CR119" i="2"/>
  <c r="CR87" i="2"/>
  <c r="CR151" i="2"/>
  <c r="AO340" i="2"/>
  <c r="AO89" i="2"/>
  <c r="AO153" i="2"/>
  <c r="CC340" i="2"/>
  <c r="CC313" i="2"/>
  <c r="CC89" i="2"/>
  <c r="CC153" i="2"/>
  <c r="Z155" i="2"/>
  <c r="Z91" i="2"/>
  <c r="Z123" i="2"/>
  <c r="BN155" i="2"/>
  <c r="BN91" i="2"/>
  <c r="BN123" i="2"/>
  <c r="C61" i="2"/>
  <c r="C294" i="2" s="1"/>
  <c r="S61" i="2"/>
  <c r="S294" i="2" s="1"/>
  <c r="AA61" i="2"/>
  <c r="AI61" i="2"/>
  <c r="AI189" i="2" s="1"/>
  <c r="AQ61" i="2"/>
  <c r="AR93" i="2" s="1"/>
  <c r="BG61" i="2"/>
  <c r="BO61" i="2"/>
  <c r="BO307" i="2" s="1"/>
  <c r="BW61" i="2"/>
  <c r="BW294" i="2" s="1"/>
  <c r="CE61" i="2"/>
  <c r="D70" i="2"/>
  <c r="AC70" i="2"/>
  <c r="AK70" i="2"/>
  <c r="AS70" i="2"/>
  <c r="BQ70" i="2"/>
  <c r="BY70" i="2"/>
  <c r="CG70" i="2"/>
  <c r="CO70" i="2"/>
  <c r="P71" i="2"/>
  <c r="BD71" i="2"/>
  <c r="CR71" i="2"/>
  <c r="AJ75" i="2"/>
  <c r="BX75" i="2"/>
  <c r="U79" i="2"/>
  <c r="BI79" i="2"/>
  <c r="P81" i="2"/>
  <c r="CM81" i="2"/>
  <c r="G83" i="2"/>
  <c r="AM83" i="2"/>
  <c r="Z85" i="2"/>
  <c r="K91" i="2"/>
  <c r="S102" i="2"/>
  <c r="CE102" i="2"/>
  <c r="CM103" i="2"/>
  <c r="BS109" i="2"/>
  <c r="BE115" i="2"/>
  <c r="AO121" i="2"/>
  <c r="BV134" i="2"/>
  <c r="CH140" i="2"/>
  <c r="AI325" i="2"/>
  <c r="AI262" i="2"/>
  <c r="AI166" i="2"/>
  <c r="BW325" i="2"/>
  <c r="BW262" i="2"/>
  <c r="BW166" i="2"/>
  <c r="BD167" i="2"/>
  <c r="AY170" i="2"/>
  <c r="F173" i="2"/>
  <c r="BD177" i="2"/>
  <c r="CK327" i="2"/>
  <c r="CK275" i="2"/>
  <c r="CK179" i="2"/>
  <c r="D325" i="2"/>
  <c r="D166" i="2"/>
  <c r="AZ325" i="2"/>
  <c r="AZ166" i="2"/>
  <c r="BI167" i="2"/>
  <c r="BD170" i="2"/>
  <c r="CM173" i="2"/>
  <c r="AH327" i="2"/>
  <c r="AH275" i="2"/>
  <c r="AH179" i="2"/>
  <c r="CL327" i="2"/>
  <c r="CL275" i="2"/>
  <c r="CL179" i="2"/>
  <c r="BI183" i="2"/>
  <c r="L337" i="2"/>
  <c r="L102" i="2"/>
  <c r="O134" i="2"/>
  <c r="N134" i="2"/>
  <c r="M134" i="2"/>
  <c r="L134" i="2"/>
  <c r="AZ337" i="2"/>
  <c r="AZ102" i="2"/>
  <c r="BC134" i="2"/>
  <c r="BB134" i="2"/>
  <c r="BA134" i="2"/>
  <c r="AZ134" i="2"/>
  <c r="BD138" i="2"/>
  <c r="BD106" i="2"/>
  <c r="BN140" i="2"/>
  <c r="BN108" i="2"/>
  <c r="BX111" i="2"/>
  <c r="BX143" i="2"/>
  <c r="B339" i="2"/>
  <c r="B307" i="2"/>
  <c r="AH339" i="2"/>
  <c r="AH115" i="2"/>
  <c r="AX339" i="2"/>
  <c r="AX307" i="2"/>
  <c r="AX115" i="2"/>
  <c r="BF339" i="2"/>
  <c r="BF307" i="2"/>
  <c r="BF115" i="2"/>
  <c r="CD339" i="2"/>
  <c r="CD307" i="2"/>
  <c r="CG147" i="2"/>
  <c r="CF147" i="2"/>
  <c r="CE147" i="2"/>
  <c r="CD147" i="2"/>
  <c r="CD115" i="2"/>
  <c r="CL339" i="2"/>
  <c r="CL307" i="2"/>
  <c r="CL115" i="2"/>
  <c r="K148" i="2"/>
  <c r="K116" i="2"/>
  <c r="CM148" i="2"/>
  <c r="CM116" i="2"/>
  <c r="BX117" i="2"/>
  <c r="BX149" i="2"/>
  <c r="U151" i="2"/>
  <c r="U119" i="2"/>
  <c r="BI151" i="2"/>
  <c r="BI119" i="2"/>
  <c r="F340" i="2"/>
  <c r="AT340" i="2"/>
  <c r="AT121" i="2"/>
  <c r="AT89" i="2"/>
  <c r="AT153" i="2"/>
  <c r="CH340" i="2"/>
  <c r="CH121" i="2"/>
  <c r="CH89" i="2"/>
  <c r="CH153" i="2"/>
  <c r="AE155" i="2"/>
  <c r="BS155" i="2"/>
  <c r="D61" i="2"/>
  <c r="L61" i="2"/>
  <c r="L294" i="2" s="1"/>
  <c r="AZ61" i="2"/>
  <c r="AZ294" i="2" s="1"/>
  <c r="BH61" i="2"/>
  <c r="AO71" i="2"/>
  <c r="CC71" i="2"/>
  <c r="AJ72" i="2"/>
  <c r="BX72" i="2"/>
  <c r="U75" i="2"/>
  <c r="BI75" i="2"/>
  <c r="P76" i="2"/>
  <c r="BD76" i="2"/>
  <c r="CR76" i="2"/>
  <c r="AO81" i="2"/>
  <c r="H83" i="2"/>
  <c r="AD83" i="2"/>
  <c r="AN83" i="2"/>
  <c r="BJ83" i="2"/>
  <c r="BT83" i="2"/>
  <c r="U91" i="2"/>
  <c r="AQ102" i="2"/>
  <c r="U111" i="2"/>
  <c r="BM115" i="2"/>
  <c r="AE116" i="2"/>
  <c r="CC121" i="2"/>
  <c r="CD134" i="2"/>
  <c r="AJ141" i="2"/>
  <c r="V147" i="2"/>
  <c r="AQ325" i="2"/>
  <c r="AQ262" i="2"/>
  <c r="AQ166" i="2"/>
  <c r="BG325" i="2"/>
  <c r="BG262" i="2"/>
  <c r="BG166" i="2"/>
  <c r="CR167" i="2"/>
  <c r="Z169" i="2"/>
  <c r="CM170" i="2"/>
  <c r="BI172" i="2"/>
  <c r="BS175" i="2"/>
  <c r="I327" i="2"/>
  <c r="I275" i="2"/>
  <c r="I179" i="2"/>
  <c r="AW327" i="2"/>
  <c r="AW275" i="2"/>
  <c r="AW179" i="2"/>
  <c r="CH180" i="2"/>
  <c r="T325" i="2"/>
  <c r="T166" i="2"/>
  <c r="AJ6" i="2"/>
  <c r="BH325" i="2"/>
  <c r="BH166" i="2"/>
  <c r="BX6" i="2"/>
  <c r="CN325" i="2"/>
  <c r="CN166" i="2"/>
  <c r="F168" i="2"/>
  <c r="CH168" i="2"/>
  <c r="BS265" i="2"/>
  <c r="BS169" i="2"/>
  <c r="CR170" i="2"/>
  <c r="CC171" i="2"/>
  <c r="BN172" i="2"/>
  <c r="AY173" i="2"/>
  <c r="BX175" i="2"/>
  <c r="BI177" i="2"/>
  <c r="J327" i="2"/>
  <c r="J275" i="2"/>
  <c r="J179" i="2"/>
  <c r="Z19" i="2"/>
  <c r="AX327" i="2"/>
  <c r="AX275" i="2"/>
  <c r="AX179" i="2"/>
  <c r="BN19" i="2"/>
  <c r="CD327" i="2"/>
  <c r="CD179" i="2"/>
  <c r="AY180" i="2"/>
  <c r="AJ181" i="2"/>
  <c r="U183" i="2"/>
  <c r="AT185" i="2"/>
  <c r="AE187" i="2"/>
  <c r="D29" i="2"/>
  <c r="D262" i="2" s="1"/>
  <c r="T29" i="2"/>
  <c r="T275" i="2" s="1"/>
  <c r="BH29" i="2"/>
  <c r="BH262" i="2" s="1"/>
  <c r="T337" i="2"/>
  <c r="T294" i="2"/>
  <c r="T102" i="2"/>
  <c r="BH337" i="2"/>
  <c r="BH102" i="2"/>
  <c r="CN337" i="2"/>
  <c r="CN294" i="2"/>
  <c r="CN102" i="2"/>
  <c r="CQ134" i="2"/>
  <c r="CP134" i="2"/>
  <c r="CO134" i="2"/>
  <c r="CN134" i="2"/>
  <c r="BI135" i="2"/>
  <c r="CH104" i="2"/>
  <c r="BS137" i="2"/>
  <c r="CR138" i="2"/>
  <c r="CR106" i="2"/>
  <c r="CC299" i="2"/>
  <c r="CC107" i="2"/>
  <c r="CC139" i="2"/>
  <c r="K141" i="2"/>
  <c r="K109" i="2"/>
  <c r="CM141" i="2"/>
  <c r="CM109" i="2"/>
  <c r="U338" i="2"/>
  <c r="U145" i="2"/>
  <c r="U113" i="2"/>
  <c r="R339" i="2"/>
  <c r="R115" i="2"/>
  <c r="AP339" i="2"/>
  <c r="AP307" i="2"/>
  <c r="AS147" i="2"/>
  <c r="AR147" i="2"/>
  <c r="AQ147" i="2"/>
  <c r="AP147" i="2"/>
  <c r="AP115" i="2"/>
  <c r="BV339" i="2"/>
  <c r="BV307" i="2"/>
  <c r="BV115" i="2"/>
  <c r="AJ117" i="2"/>
  <c r="AJ149" i="2"/>
  <c r="V70" i="2"/>
  <c r="E325" i="2"/>
  <c r="E166" i="2"/>
  <c r="E198" i="2" s="1"/>
  <c r="M325" i="2"/>
  <c r="M166" i="2"/>
  <c r="AC325" i="2"/>
  <c r="AC166" i="2"/>
  <c r="AK325" i="2"/>
  <c r="AK166" i="2"/>
  <c r="AS325" i="2"/>
  <c r="AS166" i="2"/>
  <c r="BA325" i="2"/>
  <c r="BA166" i="2"/>
  <c r="BQ325" i="2"/>
  <c r="BQ166" i="2"/>
  <c r="BY325" i="2"/>
  <c r="BY166" i="2"/>
  <c r="CG325" i="2"/>
  <c r="CG166" i="2"/>
  <c r="CO325" i="2"/>
  <c r="CO166" i="2"/>
  <c r="Z167" i="2"/>
  <c r="BN167" i="2"/>
  <c r="K168" i="2"/>
  <c r="AY168" i="2"/>
  <c r="CM168" i="2"/>
  <c r="AJ169" i="2"/>
  <c r="BX169" i="2"/>
  <c r="U170" i="2"/>
  <c r="BI170" i="2"/>
  <c r="F171" i="2"/>
  <c r="AT171" i="2"/>
  <c r="CH171" i="2"/>
  <c r="AE268" i="2"/>
  <c r="AE172" i="2"/>
  <c r="BS172" i="2"/>
  <c r="P173" i="2"/>
  <c r="BD173" i="2"/>
  <c r="CR173" i="2"/>
  <c r="AO175" i="2"/>
  <c r="CC175" i="2"/>
  <c r="Z177" i="2"/>
  <c r="BN177" i="2"/>
  <c r="C327" i="2"/>
  <c r="C275" i="2"/>
  <c r="C179" i="2"/>
  <c r="S327" i="2"/>
  <c r="S275" i="2"/>
  <c r="S179" i="2"/>
  <c r="AA327" i="2"/>
  <c r="AA275" i="2"/>
  <c r="AA179" i="2"/>
  <c r="AI327" i="2"/>
  <c r="AI275" i="2"/>
  <c r="AI179" i="2"/>
  <c r="AQ327" i="2"/>
  <c r="AQ275" i="2"/>
  <c r="AQ179" i="2"/>
  <c r="BG327" i="2"/>
  <c r="BG275" i="2"/>
  <c r="BG179" i="2"/>
  <c r="BO327" i="2"/>
  <c r="BO275" i="2"/>
  <c r="BO179" i="2"/>
  <c r="BW327" i="2"/>
  <c r="BW275" i="2"/>
  <c r="BW179" i="2"/>
  <c r="CE327" i="2"/>
  <c r="CE179" i="2"/>
  <c r="P180" i="2"/>
  <c r="BD180" i="2"/>
  <c r="CR180" i="2"/>
  <c r="AO181" i="2"/>
  <c r="CC181" i="2"/>
  <c r="Z183" i="2"/>
  <c r="BN183" i="2"/>
  <c r="K185" i="2"/>
  <c r="AY185" i="2"/>
  <c r="CM185" i="2"/>
  <c r="AJ187" i="2"/>
  <c r="BX187" i="2"/>
  <c r="E29" i="2"/>
  <c r="E275" i="2" s="1"/>
  <c r="M29" i="2"/>
  <c r="AC29" i="2"/>
  <c r="AC262" i="2" s="1"/>
  <c r="AK29" i="2"/>
  <c r="AS29" i="2"/>
  <c r="AS275" i="2" s="1"/>
  <c r="BA29" i="2"/>
  <c r="BA275" i="2" s="1"/>
  <c r="BQ29" i="2"/>
  <c r="BY29" i="2"/>
  <c r="CG29" i="2"/>
  <c r="CG275" i="2" s="1"/>
  <c r="CO29" i="2"/>
  <c r="E337" i="2"/>
  <c r="M337" i="2"/>
  <c r="AC337" i="2"/>
  <c r="AK337" i="2"/>
  <c r="AN134" i="2"/>
  <c r="AM134" i="2"/>
  <c r="AL134" i="2"/>
  <c r="AK134" i="2"/>
  <c r="AS337" i="2"/>
  <c r="BA337" i="2"/>
  <c r="BQ337" i="2"/>
  <c r="BY337" i="2"/>
  <c r="CB134" i="2"/>
  <c r="CA134" i="2"/>
  <c r="BZ134" i="2"/>
  <c r="BY134" i="2"/>
  <c r="CG337" i="2"/>
  <c r="CO337" i="2"/>
  <c r="Z103" i="2"/>
  <c r="Z135" i="2"/>
  <c r="BN103" i="2"/>
  <c r="BN135" i="2"/>
  <c r="K136" i="2"/>
  <c r="K104" i="2"/>
  <c r="AY136" i="2"/>
  <c r="AY104" i="2"/>
  <c r="CM136" i="2"/>
  <c r="CM104" i="2"/>
  <c r="AJ105" i="2"/>
  <c r="BX105" i="2"/>
  <c r="U138" i="2"/>
  <c r="BI138" i="2"/>
  <c r="AT139" i="2"/>
  <c r="AT107" i="2"/>
  <c r="CH139" i="2"/>
  <c r="CH107" i="2"/>
  <c r="AE108" i="2"/>
  <c r="AE140" i="2"/>
  <c r="BS108" i="2"/>
  <c r="BS140" i="2"/>
  <c r="P141" i="2"/>
  <c r="P109" i="2"/>
  <c r="BD141" i="2"/>
  <c r="BD109" i="2"/>
  <c r="CR141" i="2"/>
  <c r="CR109" i="2"/>
  <c r="AO143" i="2"/>
  <c r="AO111" i="2"/>
  <c r="CC303" i="2"/>
  <c r="CC143" i="2"/>
  <c r="CC111" i="2"/>
  <c r="Z338" i="2"/>
  <c r="Z113" i="2"/>
  <c r="Z145" i="2"/>
  <c r="BN338" i="2"/>
  <c r="BN113" i="2"/>
  <c r="BN81" i="2"/>
  <c r="BN145" i="2"/>
  <c r="C339" i="2"/>
  <c r="C351" i="2" s="1"/>
  <c r="C307" i="2"/>
  <c r="K51" i="2"/>
  <c r="S339" i="2"/>
  <c r="S307" i="2"/>
  <c r="S115" i="2"/>
  <c r="AA339" i="2"/>
  <c r="AC147" i="2"/>
  <c r="AB147" i="2"/>
  <c r="AA147" i="2"/>
  <c r="AA115" i="2"/>
  <c r="AI339" i="2"/>
  <c r="AI115" i="2"/>
  <c r="AQ339" i="2"/>
  <c r="AQ307" i="2"/>
  <c r="AQ115" i="2"/>
  <c r="AY51" i="2"/>
  <c r="BG339" i="2"/>
  <c r="BG307" i="2"/>
  <c r="BG115" i="2"/>
  <c r="BO339" i="2"/>
  <c r="BQ147" i="2"/>
  <c r="BP147" i="2"/>
  <c r="BO147" i="2"/>
  <c r="BO115" i="2"/>
  <c r="BW339" i="2"/>
  <c r="BW115" i="2"/>
  <c r="CE339" i="2"/>
  <c r="CE307" i="2"/>
  <c r="CE115" i="2"/>
  <c r="CM51" i="2"/>
  <c r="P84" i="2"/>
  <c r="P148" i="2"/>
  <c r="P116" i="2"/>
  <c r="BD84" i="2"/>
  <c r="BD148" i="2"/>
  <c r="BD116" i="2"/>
  <c r="CR84" i="2"/>
  <c r="CR148" i="2"/>
  <c r="CR116" i="2"/>
  <c r="AO149" i="2"/>
  <c r="AO85" i="2"/>
  <c r="AO117" i="2"/>
  <c r="CC309" i="2"/>
  <c r="CC149" i="2"/>
  <c r="CC85" i="2"/>
  <c r="CC117" i="2"/>
  <c r="Z119" i="2"/>
  <c r="Z87" i="2"/>
  <c r="Z151" i="2"/>
  <c r="BN119" i="2"/>
  <c r="BN87" i="2"/>
  <c r="BN151" i="2"/>
  <c r="K340" i="2"/>
  <c r="K153" i="2"/>
  <c r="K121" i="2"/>
  <c r="K89" i="2"/>
  <c r="AY340" i="2"/>
  <c r="AY153" i="2"/>
  <c r="AY121" i="2"/>
  <c r="AY89" i="2"/>
  <c r="CM340" i="2"/>
  <c r="CM153" i="2"/>
  <c r="CM121" i="2"/>
  <c r="CM89" i="2"/>
  <c r="AJ91" i="2"/>
  <c r="AJ123" i="2"/>
  <c r="AJ155" i="2"/>
  <c r="BX91" i="2"/>
  <c r="BX123" i="2"/>
  <c r="BX155" i="2"/>
  <c r="E61" i="2"/>
  <c r="E294" i="2" s="1"/>
  <c r="M61" i="2"/>
  <c r="AC61" i="2"/>
  <c r="AK61" i="2"/>
  <c r="AS61" i="2"/>
  <c r="AS307" i="2" s="1"/>
  <c r="BA61" i="2"/>
  <c r="BA307" i="2" s="1"/>
  <c r="BQ61" i="2"/>
  <c r="BQ294" i="2" s="1"/>
  <c r="BY61" i="2"/>
  <c r="BY307" i="2" s="1"/>
  <c r="CG61" i="2"/>
  <c r="CG294" i="2" s="1"/>
  <c r="CO61" i="2"/>
  <c r="CO294" i="2" s="1"/>
  <c r="Z71" i="2"/>
  <c r="BN71" i="2"/>
  <c r="K74" i="2"/>
  <c r="AY74" i="2"/>
  <c r="CM74" i="2"/>
  <c r="AT75" i="2"/>
  <c r="CH75" i="2"/>
  <c r="AJ77" i="2"/>
  <c r="BX77" i="2"/>
  <c r="AE79" i="2"/>
  <c r="BS79" i="2"/>
  <c r="Z81" i="2"/>
  <c r="AY81" i="2"/>
  <c r="AP83" i="2"/>
  <c r="BK83" i="2"/>
  <c r="BV83" i="2"/>
  <c r="AE84" i="2"/>
  <c r="CC87" i="2"/>
  <c r="AE91" i="2"/>
  <c r="AS102" i="2"/>
  <c r="BO102" i="2"/>
  <c r="K103" i="2"/>
  <c r="AO104" i="2"/>
  <c r="BI111" i="2"/>
  <c r="I115" i="2"/>
  <c r="BU115" i="2"/>
  <c r="BS116" i="2"/>
  <c r="AE123" i="2"/>
  <c r="BX141" i="2"/>
  <c r="AD147" i="2"/>
  <c r="C325" i="2"/>
  <c r="C262" i="2"/>
  <c r="C166" i="2"/>
  <c r="S325" i="2"/>
  <c r="S262" i="2"/>
  <c r="S166" i="2"/>
  <c r="BO325" i="2"/>
  <c r="BO262" i="2"/>
  <c r="BO166" i="2"/>
  <c r="P167" i="2"/>
  <c r="CC168" i="2"/>
  <c r="K170" i="2"/>
  <c r="BX171" i="2"/>
  <c r="AT173" i="2"/>
  <c r="P177" i="2"/>
  <c r="Q327" i="2"/>
  <c r="Q275" i="2"/>
  <c r="Q179" i="2"/>
  <c r="AE181" i="2"/>
  <c r="L325" i="2"/>
  <c r="L166" i="2"/>
  <c r="AB325" i="2"/>
  <c r="AB262" i="2"/>
  <c r="AB166" i="2"/>
  <c r="AR325" i="2"/>
  <c r="AR262" i="2"/>
  <c r="AR166" i="2"/>
  <c r="BP325" i="2"/>
  <c r="BP166" i="2"/>
  <c r="CF325" i="2"/>
  <c r="CF166" i="2"/>
  <c r="U167" i="2"/>
  <c r="AT168" i="2"/>
  <c r="AE169" i="2"/>
  <c r="P170" i="2"/>
  <c r="AO171" i="2"/>
  <c r="Z172" i="2"/>
  <c r="K173" i="2"/>
  <c r="AJ175" i="2"/>
  <c r="U177" i="2"/>
  <c r="B327" i="2"/>
  <c r="B275" i="2"/>
  <c r="B179" i="2"/>
  <c r="R327" i="2"/>
  <c r="R275" i="2"/>
  <c r="R179" i="2"/>
  <c r="AP327" i="2"/>
  <c r="AP275" i="2"/>
  <c r="AP179" i="2"/>
  <c r="BF327" i="2"/>
  <c r="BF275" i="2"/>
  <c r="BF179" i="2"/>
  <c r="BV327" i="2"/>
  <c r="BV179" i="2"/>
  <c r="K180" i="2"/>
  <c r="CM180" i="2"/>
  <c r="BX181" i="2"/>
  <c r="F185" i="2"/>
  <c r="CH185" i="2"/>
  <c r="BS187" i="2"/>
  <c r="L29" i="2"/>
  <c r="L262" i="2" s="1"/>
  <c r="AZ29" i="2"/>
  <c r="AZ262" i="2" s="1"/>
  <c r="BP29" i="2"/>
  <c r="CF29" i="2"/>
  <c r="CF262" i="2" s="1"/>
  <c r="CN29" i="2"/>
  <c r="D337" i="2"/>
  <c r="D294" i="2"/>
  <c r="AB337" i="2"/>
  <c r="AB294" i="2"/>
  <c r="AB102" i="2"/>
  <c r="AR337" i="2"/>
  <c r="AR294" i="2"/>
  <c r="AR102" i="2"/>
  <c r="BP337" i="2"/>
  <c r="BP294" i="2"/>
  <c r="BP102" i="2"/>
  <c r="CF337" i="2"/>
  <c r="CF294" i="2"/>
  <c r="CF102" i="2"/>
  <c r="U135" i="2"/>
  <c r="AT104" i="2"/>
  <c r="AE137" i="2"/>
  <c r="P138" i="2"/>
  <c r="P106" i="2"/>
  <c r="AO107" i="2"/>
  <c r="AO139" i="2"/>
  <c r="Z140" i="2"/>
  <c r="Z108" i="2"/>
  <c r="AY141" i="2"/>
  <c r="AY109" i="2"/>
  <c r="AJ111" i="2"/>
  <c r="AJ143" i="2"/>
  <c r="BI338" i="2"/>
  <c r="BI145" i="2"/>
  <c r="BI113" i="2"/>
  <c r="J339" i="2"/>
  <c r="J307" i="2"/>
  <c r="J115" i="2"/>
  <c r="Z51" i="2"/>
  <c r="BN51" i="2"/>
  <c r="AY148" i="2"/>
  <c r="AY116" i="2"/>
  <c r="F6" i="2"/>
  <c r="N325" i="2"/>
  <c r="N166" i="2"/>
  <c r="V325" i="2"/>
  <c r="V166" i="2"/>
  <c r="AD325" i="2"/>
  <c r="AD166" i="2"/>
  <c r="AL325" i="2"/>
  <c r="AL166" i="2"/>
  <c r="AT6" i="2"/>
  <c r="BB325" i="2"/>
  <c r="BB166" i="2"/>
  <c r="BJ325" i="2"/>
  <c r="BJ166" i="2"/>
  <c r="BR325" i="2"/>
  <c r="BR166" i="2"/>
  <c r="BZ325" i="2"/>
  <c r="BZ166" i="2"/>
  <c r="CH6" i="2"/>
  <c r="CP325" i="2"/>
  <c r="CP166" i="2"/>
  <c r="AE167" i="2"/>
  <c r="BS167" i="2"/>
  <c r="P168" i="2"/>
  <c r="BD168" i="2"/>
  <c r="CR168" i="2"/>
  <c r="AO169" i="2"/>
  <c r="CC169" i="2"/>
  <c r="Z170" i="2"/>
  <c r="BN170" i="2"/>
  <c r="K171" i="2"/>
  <c r="AY171" i="2"/>
  <c r="CM171" i="2"/>
  <c r="AJ172" i="2"/>
  <c r="BX172" i="2"/>
  <c r="U173" i="2"/>
  <c r="BI173" i="2"/>
  <c r="F175" i="2"/>
  <c r="AT175" i="2"/>
  <c r="CH175" i="2"/>
  <c r="AE177" i="2"/>
  <c r="BS177" i="2"/>
  <c r="D275" i="2"/>
  <c r="D327" i="2"/>
  <c r="D179" i="2"/>
  <c r="D211" i="2" s="1"/>
  <c r="L327" i="2"/>
  <c r="L275" i="2"/>
  <c r="L179" i="2"/>
  <c r="T327" i="2"/>
  <c r="T179" i="2"/>
  <c r="AB327" i="2"/>
  <c r="AB275" i="2"/>
  <c r="AB179" i="2"/>
  <c r="AJ19" i="2"/>
  <c r="AR327" i="2"/>
  <c r="AR275" i="2"/>
  <c r="AR179" i="2"/>
  <c r="AZ327" i="2"/>
  <c r="AZ275" i="2"/>
  <c r="AZ179" i="2"/>
  <c r="BH327" i="2"/>
  <c r="BH179" i="2"/>
  <c r="BP327" i="2"/>
  <c r="BP179" i="2"/>
  <c r="BX19" i="2"/>
  <c r="CF327" i="2"/>
  <c r="CF275" i="2"/>
  <c r="CF179" i="2"/>
  <c r="CN327" i="2"/>
  <c r="CN275" i="2"/>
  <c r="CN179" i="2"/>
  <c r="U180" i="2"/>
  <c r="BI180" i="2"/>
  <c r="F181" i="2"/>
  <c r="AT181" i="2"/>
  <c r="CH181" i="2"/>
  <c r="AE183" i="2"/>
  <c r="BS183" i="2"/>
  <c r="P185" i="2"/>
  <c r="BD185" i="2"/>
  <c r="CR185" i="2"/>
  <c r="AO187" i="2"/>
  <c r="CC187" i="2"/>
  <c r="N29" i="2"/>
  <c r="N262" i="2" s="1"/>
  <c r="V29" i="2"/>
  <c r="AD29" i="2"/>
  <c r="AD262" i="2" s="1"/>
  <c r="AL29" i="2"/>
  <c r="AL275" i="2" s="1"/>
  <c r="BB29" i="2"/>
  <c r="BB262" i="2" s="1"/>
  <c r="BJ29" i="2"/>
  <c r="BJ262" i="2" s="1"/>
  <c r="BR29" i="2"/>
  <c r="BZ29" i="2"/>
  <c r="CP29" i="2"/>
  <c r="F38" i="2"/>
  <c r="N337" i="2"/>
  <c r="N102" i="2"/>
  <c r="V337" i="2"/>
  <c r="Y134" i="2"/>
  <c r="X134" i="2"/>
  <c r="W134" i="2"/>
  <c r="V134" i="2"/>
  <c r="V102" i="2"/>
  <c r="AD337" i="2"/>
  <c r="AD102" i="2"/>
  <c r="AL337" i="2"/>
  <c r="AL102" i="2"/>
  <c r="AT38" i="2"/>
  <c r="BB337" i="2"/>
  <c r="BB102" i="2"/>
  <c r="BJ337" i="2"/>
  <c r="BM134" i="2"/>
  <c r="BL134" i="2"/>
  <c r="BK134" i="2"/>
  <c r="BJ134" i="2"/>
  <c r="BJ102" i="2"/>
  <c r="BR337" i="2"/>
  <c r="BR102" i="2"/>
  <c r="BZ337" i="2"/>
  <c r="BZ102" i="2"/>
  <c r="CH38" i="2"/>
  <c r="CP337" i="2"/>
  <c r="CP102" i="2"/>
  <c r="AE135" i="2"/>
  <c r="AE103" i="2"/>
  <c r="BS135" i="2"/>
  <c r="BS103" i="2"/>
  <c r="P104" i="2"/>
  <c r="P136" i="2"/>
  <c r="BD104" i="2"/>
  <c r="BD136" i="2"/>
  <c r="CR104" i="2"/>
  <c r="CR136" i="2"/>
  <c r="AO137" i="2"/>
  <c r="AO105" i="2"/>
  <c r="CC297" i="2"/>
  <c r="CC137" i="2"/>
  <c r="CC105" i="2"/>
  <c r="Z106" i="2"/>
  <c r="BN106" i="2"/>
  <c r="K139" i="2"/>
  <c r="AY139" i="2"/>
  <c r="CM139" i="2"/>
  <c r="AJ140" i="2"/>
  <c r="AJ108" i="2"/>
  <c r="BX140" i="2"/>
  <c r="BX108" i="2"/>
  <c r="U109" i="2"/>
  <c r="U141" i="2"/>
  <c r="BI109" i="2"/>
  <c r="BI141" i="2"/>
  <c r="AT143" i="2"/>
  <c r="AT111" i="2"/>
  <c r="CH143" i="2"/>
  <c r="CH111" i="2"/>
  <c r="AE338" i="2"/>
  <c r="AE145" i="2"/>
  <c r="AE113" i="2"/>
  <c r="BS338" i="2"/>
  <c r="BS145" i="2"/>
  <c r="BS113" i="2"/>
  <c r="D339" i="2"/>
  <c r="D351" i="2" s="1"/>
  <c r="D307" i="2"/>
  <c r="D83" i="2"/>
  <c r="L339" i="2"/>
  <c r="L307" i="2"/>
  <c r="M147" i="2"/>
  <c r="L147" i="2"/>
  <c r="L115" i="2"/>
  <c r="O147" i="2"/>
  <c r="T339" i="2"/>
  <c r="T307" i="2"/>
  <c r="T115" i="2"/>
  <c r="AB339" i="2"/>
  <c r="AB307" i="2"/>
  <c r="AB115" i="2"/>
  <c r="AJ51" i="2"/>
  <c r="AR339" i="2"/>
  <c r="AR307" i="2"/>
  <c r="AR115" i="2"/>
  <c r="AZ339" i="2"/>
  <c r="AZ307" i="2"/>
  <c r="BA147" i="2"/>
  <c r="AZ147" i="2"/>
  <c r="AZ115" i="2"/>
  <c r="BC147" i="2"/>
  <c r="BH339" i="2"/>
  <c r="BH115" i="2"/>
  <c r="BP339" i="2"/>
  <c r="BP307" i="2"/>
  <c r="BP115" i="2"/>
  <c r="BX51" i="2"/>
  <c r="CF339" i="2"/>
  <c r="CF307" i="2"/>
  <c r="CF115" i="2"/>
  <c r="CN339" i="2"/>
  <c r="CN307" i="2"/>
  <c r="CO147" i="2"/>
  <c r="CN147" i="2"/>
  <c r="CN115" i="2"/>
  <c r="CQ147" i="2"/>
  <c r="U116" i="2"/>
  <c r="U148" i="2"/>
  <c r="BI116" i="2"/>
  <c r="BI148" i="2"/>
  <c r="AT149" i="2"/>
  <c r="AT117" i="2"/>
  <c r="CH149" i="2"/>
  <c r="CH117" i="2"/>
  <c r="AE151" i="2"/>
  <c r="AE119" i="2"/>
  <c r="BS151" i="2"/>
  <c r="BS119" i="2"/>
  <c r="P340" i="2"/>
  <c r="P121" i="2"/>
  <c r="P153" i="2"/>
  <c r="BD340" i="2"/>
  <c r="BD121" i="2"/>
  <c r="BD153" i="2"/>
  <c r="CR340" i="2"/>
  <c r="CR121" i="2"/>
  <c r="CR153" i="2"/>
  <c r="AO155" i="2"/>
  <c r="AO91" i="2"/>
  <c r="AO123" i="2"/>
  <c r="CC315" i="2"/>
  <c r="CC155" i="2"/>
  <c r="CC91" i="2"/>
  <c r="CC123" i="2"/>
  <c r="N61" i="2"/>
  <c r="V61" i="2"/>
  <c r="AD61" i="2"/>
  <c r="AD294" i="2" s="1"/>
  <c r="AL61" i="2"/>
  <c r="BB61" i="2"/>
  <c r="BJ61" i="2"/>
  <c r="BR61" i="2"/>
  <c r="BR294" i="2" s="1"/>
  <c r="BZ61" i="2"/>
  <c r="CP61" i="2"/>
  <c r="CQ93" i="2" s="1"/>
  <c r="H70" i="2"/>
  <c r="X70" i="2"/>
  <c r="AF70" i="2"/>
  <c r="AN70" i="2"/>
  <c r="AV70" i="2"/>
  <c r="BL70" i="2"/>
  <c r="BT70" i="2"/>
  <c r="CB70" i="2"/>
  <c r="CJ70" i="2"/>
  <c r="K71" i="2"/>
  <c r="AY71" i="2"/>
  <c r="CM71" i="2"/>
  <c r="AT72" i="2"/>
  <c r="CH72" i="2"/>
  <c r="AO73" i="2"/>
  <c r="CC73" i="2"/>
  <c r="AJ74" i="2"/>
  <c r="BX74" i="2"/>
  <c r="AE75" i="2"/>
  <c r="BS75" i="2"/>
  <c r="Z76" i="2"/>
  <c r="BN76" i="2"/>
  <c r="U77" i="2"/>
  <c r="BI77" i="2"/>
  <c r="P79" i="2"/>
  <c r="BD79" i="2"/>
  <c r="CR79" i="2"/>
  <c r="K81" i="2"/>
  <c r="V83" i="2"/>
  <c r="AF83" i="2"/>
  <c r="AQ83" i="2"/>
  <c r="BB83" i="2"/>
  <c r="BL83" i="2"/>
  <c r="BW83" i="2"/>
  <c r="CJ83" i="2"/>
  <c r="AO84" i="2"/>
  <c r="BN85" i="2"/>
  <c r="Z89" i="2"/>
  <c r="AY91" i="2"/>
  <c r="AA102" i="2"/>
  <c r="BQ102" i="2"/>
  <c r="U103" i="2"/>
  <c r="AY107" i="2"/>
  <c r="K113" i="2"/>
  <c r="Q115" i="2"/>
  <c r="U117" i="2"/>
  <c r="BS123" i="2"/>
  <c r="AH134" i="2"/>
  <c r="P135" i="2"/>
  <c r="BN138" i="2"/>
  <c r="Z143" i="2"/>
  <c r="W83" i="2"/>
  <c r="BC83" i="2"/>
  <c r="BX85" i="2"/>
  <c r="AJ89" i="2"/>
  <c r="BI91" i="2"/>
  <c r="AC102" i="2"/>
  <c r="CO102" i="2"/>
  <c r="AO103" i="2"/>
  <c r="CC104" i="2"/>
  <c r="CM107" i="2"/>
  <c r="AY113" i="2"/>
  <c r="Y115" i="2"/>
  <c r="CK115" i="2"/>
  <c r="BI117" i="2"/>
  <c r="AP134" i="2"/>
  <c r="BD135" i="2"/>
  <c r="BN143" i="2"/>
  <c r="BX148" i="2"/>
  <c r="S231" i="2"/>
  <c r="S199" i="2"/>
  <c r="AA231" i="2"/>
  <c r="AA199" i="2"/>
  <c r="AI231" i="2"/>
  <c r="AI199" i="2"/>
  <c r="AQ231" i="2"/>
  <c r="AQ199" i="2"/>
  <c r="BG231" i="2"/>
  <c r="BG199" i="2"/>
  <c r="BO231" i="2"/>
  <c r="BO199" i="2"/>
  <c r="BW231" i="2"/>
  <c r="BW199" i="2"/>
  <c r="CE231" i="2"/>
  <c r="CE199" i="2"/>
  <c r="L232" i="2"/>
  <c r="L200" i="2"/>
  <c r="T232" i="2"/>
  <c r="T200" i="2"/>
  <c r="AB232" i="2"/>
  <c r="AB200" i="2"/>
  <c r="AR232" i="2"/>
  <c r="AR200" i="2"/>
  <c r="AZ232" i="2"/>
  <c r="AZ200" i="2"/>
  <c r="BH232" i="2"/>
  <c r="BH200" i="2"/>
  <c r="BP232" i="2"/>
  <c r="BP200" i="2"/>
  <c r="CF232" i="2"/>
  <c r="CF200" i="2"/>
  <c r="CN232" i="2"/>
  <c r="CN200" i="2"/>
  <c r="M201" i="2"/>
  <c r="M233" i="2"/>
  <c r="AC201" i="2"/>
  <c r="AC233" i="2"/>
  <c r="AS201" i="2"/>
  <c r="AS233" i="2"/>
  <c r="BA201" i="2"/>
  <c r="BA233" i="2"/>
  <c r="BY201" i="2"/>
  <c r="BY233" i="2"/>
  <c r="CG201" i="2"/>
  <c r="CG233" i="2"/>
  <c r="CO201" i="2"/>
  <c r="CO233" i="2"/>
  <c r="N202" i="2"/>
  <c r="N234" i="2"/>
  <c r="V202" i="2"/>
  <c r="V234" i="2"/>
  <c r="AD234" i="2"/>
  <c r="AD202" i="2"/>
  <c r="AL234" i="2"/>
  <c r="AL202" i="2"/>
  <c r="BB234" i="2"/>
  <c r="BB202" i="2"/>
  <c r="BJ234" i="2"/>
  <c r="BJ202" i="2"/>
  <c r="BR234" i="2"/>
  <c r="BR202" i="2"/>
  <c r="BZ234" i="2"/>
  <c r="BZ202" i="2"/>
  <c r="CP234" i="2"/>
  <c r="CP202" i="2"/>
  <c r="G235" i="2"/>
  <c r="G203" i="2"/>
  <c r="O235" i="2"/>
  <c r="O203" i="2"/>
  <c r="W235" i="2"/>
  <c r="W203" i="2"/>
  <c r="AM235" i="2"/>
  <c r="AM203" i="2"/>
  <c r="AU235" i="2"/>
  <c r="AU203" i="2"/>
  <c r="BC235" i="2"/>
  <c r="BC203" i="2"/>
  <c r="BK235" i="2"/>
  <c r="BK203" i="2"/>
  <c r="CA235" i="2"/>
  <c r="CA203" i="2"/>
  <c r="CI235" i="2"/>
  <c r="CI203" i="2"/>
  <c r="CQ235" i="2"/>
  <c r="CQ203" i="2"/>
  <c r="H236" i="2"/>
  <c r="H204" i="2"/>
  <c r="X236" i="2"/>
  <c r="X204" i="2"/>
  <c r="AF236" i="2"/>
  <c r="AF204" i="2"/>
  <c r="AN236" i="2"/>
  <c r="AN204" i="2"/>
  <c r="AV236" i="2"/>
  <c r="AV204" i="2"/>
  <c r="BL236" i="2"/>
  <c r="BL204" i="2"/>
  <c r="BT236" i="2"/>
  <c r="BT204" i="2"/>
  <c r="CB236" i="2"/>
  <c r="CB204" i="2"/>
  <c r="CJ236" i="2"/>
  <c r="CJ204" i="2"/>
  <c r="I237" i="2"/>
  <c r="I205" i="2"/>
  <c r="Q205" i="2"/>
  <c r="Q237" i="2"/>
  <c r="Y237" i="2"/>
  <c r="Y205" i="2"/>
  <c r="AG205" i="2"/>
  <c r="AG237" i="2"/>
  <c r="AW237" i="2"/>
  <c r="AW205" i="2"/>
  <c r="BE237" i="2"/>
  <c r="BE205" i="2"/>
  <c r="BM237" i="2"/>
  <c r="BM205" i="2"/>
  <c r="BU237" i="2"/>
  <c r="BU205" i="2"/>
  <c r="CK237" i="2"/>
  <c r="CK205" i="2"/>
  <c r="J239" i="2"/>
  <c r="J207" i="2"/>
  <c r="R239" i="2"/>
  <c r="R207" i="2"/>
  <c r="AH239" i="2"/>
  <c r="AH207" i="2"/>
  <c r="AP239" i="2"/>
  <c r="AP207" i="2"/>
  <c r="AX239" i="2"/>
  <c r="AX207" i="2"/>
  <c r="BF239" i="2"/>
  <c r="BF207" i="2"/>
  <c r="BV239" i="2"/>
  <c r="BV207" i="2"/>
  <c r="CD239" i="2"/>
  <c r="CD207" i="2"/>
  <c r="CL239" i="2"/>
  <c r="CL207" i="2"/>
  <c r="S241" i="2"/>
  <c r="S209" i="2"/>
  <c r="AA241" i="2"/>
  <c r="AA209" i="2"/>
  <c r="AI241" i="2"/>
  <c r="AI209" i="2"/>
  <c r="AQ241" i="2"/>
  <c r="AQ209" i="2"/>
  <c r="BG241" i="2"/>
  <c r="BG209" i="2"/>
  <c r="BW241" i="2"/>
  <c r="BW209" i="2"/>
  <c r="CE241" i="2"/>
  <c r="CE209" i="2"/>
  <c r="M244" i="2"/>
  <c r="M212" i="2"/>
  <c r="AC244" i="2"/>
  <c r="AC212" i="2"/>
  <c r="AK244" i="2"/>
  <c r="AK212" i="2"/>
  <c r="AS244" i="2"/>
  <c r="AS212" i="2"/>
  <c r="BA244" i="2"/>
  <c r="BA212" i="2"/>
  <c r="BQ244" i="2"/>
  <c r="BQ212" i="2"/>
  <c r="BY244" i="2"/>
  <c r="BY212" i="2"/>
  <c r="CG244" i="2"/>
  <c r="CG212" i="2"/>
  <c r="CO244" i="2"/>
  <c r="CO212" i="2"/>
  <c r="N245" i="2"/>
  <c r="N213" i="2"/>
  <c r="V245" i="2"/>
  <c r="V213" i="2"/>
  <c r="AD245" i="2"/>
  <c r="AD213" i="2"/>
  <c r="AL245" i="2"/>
  <c r="AL213" i="2"/>
  <c r="BB245" i="2"/>
  <c r="BB213" i="2"/>
  <c r="BJ245" i="2"/>
  <c r="BJ213" i="2"/>
  <c r="BR245" i="2"/>
  <c r="BR213" i="2"/>
  <c r="BZ245" i="2"/>
  <c r="BZ213" i="2"/>
  <c r="CP245" i="2"/>
  <c r="CP213" i="2"/>
  <c r="G247" i="2"/>
  <c r="G215" i="2"/>
  <c r="O247" i="2"/>
  <c r="O215" i="2"/>
  <c r="W247" i="2"/>
  <c r="W215" i="2"/>
  <c r="AM247" i="2"/>
  <c r="AM215" i="2"/>
  <c r="AU247" i="2"/>
  <c r="AU215" i="2"/>
  <c r="BC247" i="2"/>
  <c r="BC215" i="2"/>
  <c r="BK247" i="2"/>
  <c r="BK215" i="2"/>
  <c r="CA247" i="2"/>
  <c r="CA215" i="2"/>
  <c r="CI247" i="2"/>
  <c r="CI215" i="2"/>
  <c r="CQ247" i="2"/>
  <c r="CQ215" i="2"/>
  <c r="H249" i="2"/>
  <c r="H217" i="2"/>
  <c r="X249" i="2"/>
  <c r="X217" i="2"/>
  <c r="AF249" i="2"/>
  <c r="AF217" i="2"/>
  <c r="AN249" i="2"/>
  <c r="AN217" i="2"/>
  <c r="AV249" i="2"/>
  <c r="AV217" i="2"/>
  <c r="BL249" i="2"/>
  <c r="BL217" i="2"/>
  <c r="BT249" i="2"/>
  <c r="BT217" i="2"/>
  <c r="CB249" i="2"/>
  <c r="CB217" i="2"/>
  <c r="CJ249" i="2"/>
  <c r="CJ217" i="2"/>
  <c r="I219" i="2"/>
  <c r="I251" i="2"/>
  <c r="Q219" i="2"/>
  <c r="Q251" i="2"/>
  <c r="AP251" i="2"/>
  <c r="AP219" i="2"/>
  <c r="AX251" i="2"/>
  <c r="AX219" i="2"/>
  <c r="AL201" i="2"/>
  <c r="AX205" i="2"/>
  <c r="CF209" i="2"/>
  <c r="X215" i="2"/>
  <c r="BZ219" i="2"/>
  <c r="D199" i="2"/>
  <c r="L231" i="2"/>
  <c r="L199" i="2"/>
  <c r="T231" i="2"/>
  <c r="T199" i="2"/>
  <c r="AB199" i="2"/>
  <c r="AB231" i="2"/>
  <c r="AR231" i="2"/>
  <c r="AR199" i="2"/>
  <c r="AZ231" i="2"/>
  <c r="AZ199" i="2"/>
  <c r="BH199" i="2"/>
  <c r="BH231" i="2"/>
  <c r="BP199" i="2"/>
  <c r="BP231" i="2"/>
  <c r="CF231" i="2"/>
  <c r="CF199" i="2"/>
  <c r="CN199" i="2"/>
  <c r="CN231" i="2"/>
  <c r="E200" i="2"/>
  <c r="M232" i="2"/>
  <c r="M200" i="2"/>
  <c r="AC232" i="2"/>
  <c r="AC200" i="2"/>
  <c r="AK232" i="2"/>
  <c r="AK200" i="2"/>
  <c r="AS232" i="2"/>
  <c r="AS200" i="2"/>
  <c r="BA232" i="2"/>
  <c r="BA200" i="2"/>
  <c r="BQ232" i="2"/>
  <c r="BQ200" i="2"/>
  <c r="BY232" i="2"/>
  <c r="BY200" i="2"/>
  <c r="CG232" i="2"/>
  <c r="CG200" i="2"/>
  <c r="CO232" i="2"/>
  <c r="CO200" i="2"/>
  <c r="N233" i="2"/>
  <c r="V233" i="2"/>
  <c r="AD233" i="2"/>
  <c r="AL233" i="2"/>
  <c r="BB233" i="2"/>
  <c r="BJ233" i="2"/>
  <c r="BR233" i="2"/>
  <c r="BZ233" i="2"/>
  <c r="CP233" i="2"/>
  <c r="G234" i="2"/>
  <c r="G202" i="2"/>
  <c r="O234" i="2"/>
  <c r="O202" i="2"/>
  <c r="W234" i="2"/>
  <c r="W202" i="2"/>
  <c r="AM234" i="2"/>
  <c r="AM202" i="2"/>
  <c r="AU234" i="2"/>
  <c r="AU202" i="2"/>
  <c r="BC202" i="2"/>
  <c r="BC234" i="2"/>
  <c r="BK234" i="2"/>
  <c r="BK202" i="2"/>
  <c r="CA234" i="2"/>
  <c r="CA202" i="2"/>
  <c r="CI202" i="2"/>
  <c r="CI234" i="2"/>
  <c r="CQ202" i="2"/>
  <c r="CQ234" i="2"/>
  <c r="H235" i="2"/>
  <c r="H203" i="2"/>
  <c r="X235" i="2"/>
  <c r="X203" i="2"/>
  <c r="AF235" i="2"/>
  <c r="AF203" i="2"/>
  <c r="AN235" i="2"/>
  <c r="AN203" i="2"/>
  <c r="AV235" i="2"/>
  <c r="AV203" i="2"/>
  <c r="BL235" i="2"/>
  <c r="BL203" i="2"/>
  <c r="BT235" i="2"/>
  <c r="BT203" i="2"/>
  <c r="CB235" i="2"/>
  <c r="CB203" i="2"/>
  <c r="CJ235" i="2"/>
  <c r="CJ203" i="2"/>
  <c r="I236" i="2"/>
  <c r="I204" i="2"/>
  <c r="Q236" i="2"/>
  <c r="Q204" i="2"/>
  <c r="Y236" i="2"/>
  <c r="Y204" i="2"/>
  <c r="AG204" i="2"/>
  <c r="AG236" i="2"/>
  <c r="AW236" i="2"/>
  <c r="AW204" i="2"/>
  <c r="BE236" i="2"/>
  <c r="BE204" i="2"/>
  <c r="BM236" i="2"/>
  <c r="BM204" i="2"/>
  <c r="BU236" i="2"/>
  <c r="BU204" i="2"/>
  <c r="CK236" i="2"/>
  <c r="CK204" i="2"/>
  <c r="J237" i="2"/>
  <c r="R237" i="2"/>
  <c r="AH237" i="2"/>
  <c r="AP237" i="2"/>
  <c r="AX237" i="2"/>
  <c r="BF237" i="2"/>
  <c r="BV237" i="2"/>
  <c r="CD237" i="2"/>
  <c r="CL237" i="2"/>
  <c r="C207" i="2"/>
  <c r="S239" i="2"/>
  <c r="S207" i="2"/>
  <c r="AA239" i="2"/>
  <c r="AA207" i="2"/>
  <c r="AI239" i="2"/>
  <c r="AI207" i="2"/>
  <c r="AQ239" i="2"/>
  <c r="AQ207" i="2"/>
  <c r="BG239" i="2"/>
  <c r="BG207" i="2"/>
  <c r="BO239" i="2"/>
  <c r="BO207" i="2"/>
  <c r="BW239" i="2"/>
  <c r="BW207" i="2"/>
  <c r="CE239" i="2"/>
  <c r="CE207" i="2"/>
  <c r="D209" i="2"/>
  <c r="L241" i="2"/>
  <c r="L209" i="2"/>
  <c r="T241" i="2"/>
  <c r="AB241" i="2"/>
  <c r="AB209" i="2"/>
  <c r="AR241" i="2"/>
  <c r="AR209" i="2"/>
  <c r="AZ241" i="2"/>
  <c r="BH241" i="2"/>
  <c r="BH209" i="2"/>
  <c r="BP241" i="2"/>
  <c r="BP209" i="2"/>
  <c r="CF241" i="2"/>
  <c r="CN241" i="2"/>
  <c r="CN209" i="2"/>
  <c r="N244" i="2"/>
  <c r="N212" i="2"/>
  <c r="V212" i="2"/>
  <c r="V244" i="2"/>
  <c r="AD212" i="2"/>
  <c r="AD244" i="2"/>
  <c r="AL212" i="2"/>
  <c r="AL244" i="2"/>
  <c r="BB212" i="2"/>
  <c r="BB244" i="2"/>
  <c r="BJ212" i="2"/>
  <c r="BJ244" i="2"/>
  <c r="BR212" i="2"/>
  <c r="BR244" i="2"/>
  <c r="BZ244" i="2"/>
  <c r="BZ212" i="2"/>
  <c r="CP212" i="2"/>
  <c r="CP244" i="2"/>
  <c r="G245" i="2"/>
  <c r="G213" i="2"/>
  <c r="O213" i="2"/>
  <c r="O245" i="2"/>
  <c r="W245" i="2"/>
  <c r="W213" i="2"/>
  <c r="AM213" i="2"/>
  <c r="AM245" i="2"/>
  <c r="AU245" i="2"/>
  <c r="AU213" i="2"/>
  <c r="BC213" i="2"/>
  <c r="BC245" i="2"/>
  <c r="BK213" i="2"/>
  <c r="BK245" i="2"/>
  <c r="CA213" i="2"/>
  <c r="CA245" i="2"/>
  <c r="CI245" i="2"/>
  <c r="CI213" i="2"/>
  <c r="CQ213" i="2"/>
  <c r="CQ245" i="2"/>
  <c r="H247" i="2"/>
  <c r="X247" i="2"/>
  <c r="AF247" i="2"/>
  <c r="AF215" i="2"/>
  <c r="AN247" i="2"/>
  <c r="AV247" i="2"/>
  <c r="AV215" i="2"/>
  <c r="BL247" i="2"/>
  <c r="BL215" i="2"/>
  <c r="BT247" i="2"/>
  <c r="CB247" i="2"/>
  <c r="CB215" i="2"/>
  <c r="CJ247" i="2"/>
  <c r="CJ215" i="2"/>
  <c r="I217" i="2"/>
  <c r="I249" i="2"/>
  <c r="Q249" i="2"/>
  <c r="Q217" i="2"/>
  <c r="Y249" i="2"/>
  <c r="Y217" i="2"/>
  <c r="AG249" i="2"/>
  <c r="AG217" i="2"/>
  <c r="AW249" i="2"/>
  <c r="AW217" i="2"/>
  <c r="BE249" i="2"/>
  <c r="BE217" i="2"/>
  <c r="BM217" i="2"/>
  <c r="BM249" i="2"/>
  <c r="BU217" i="2"/>
  <c r="BU249" i="2"/>
  <c r="CK249" i="2"/>
  <c r="CK217" i="2"/>
  <c r="J251" i="2"/>
  <c r="J219" i="2"/>
  <c r="R251" i="2"/>
  <c r="R219" i="2"/>
  <c r="AH251" i="2"/>
  <c r="AH219" i="2"/>
  <c r="AZ251" i="2"/>
  <c r="AZ219" i="2"/>
  <c r="BQ251" i="2"/>
  <c r="BQ219" i="2"/>
  <c r="BW200" i="2"/>
  <c r="Q202" i="2"/>
  <c r="BF205" i="2"/>
  <c r="AC207" i="2"/>
  <c r="AN215" i="2"/>
  <c r="AK233" i="2"/>
  <c r="E199" i="2"/>
  <c r="M231" i="2"/>
  <c r="M199" i="2"/>
  <c r="AC231" i="2"/>
  <c r="AC199" i="2"/>
  <c r="AK231" i="2"/>
  <c r="AK199" i="2"/>
  <c r="AS231" i="2"/>
  <c r="AS199" i="2"/>
  <c r="BA231" i="2"/>
  <c r="BA199" i="2"/>
  <c r="BQ231" i="2"/>
  <c r="BQ199" i="2"/>
  <c r="BY231" i="2"/>
  <c r="BY199" i="2"/>
  <c r="CG231" i="2"/>
  <c r="CG199" i="2"/>
  <c r="CO231" i="2"/>
  <c r="CO199" i="2"/>
  <c r="N232" i="2"/>
  <c r="N200" i="2"/>
  <c r="V232" i="2"/>
  <c r="V200" i="2"/>
  <c r="AD232" i="2"/>
  <c r="AD200" i="2"/>
  <c r="AL232" i="2"/>
  <c r="AL200" i="2"/>
  <c r="BB232" i="2"/>
  <c r="BB200" i="2"/>
  <c r="BJ232" i="2"/>
  <c r="BJ200" i="2"/>
  <c r="BR232" i="2"/>
  <c r="BR200" i="2"/>
  <c r="BZ232" i="2"/>
  <c r="BZ200" i="2"/>
  <c r="CP232" i="2"/>
  <c r="CP200" i="2"/>
  <c r="G233" i="2"/>
  <c r="G201" i="2"/>
  <c r="O233" i="2"/>
  <c r="O201" i="2"/>
  <c r="W233" i="2"/>
  <c r="W201" i="2"/>
  <c r="AM233" i="2"/>
  <c r="AM201" i="2"/>
  <c r="AU233" i="2"/>
  <c r="AU201" i="2"/>
  <c r="BC233" i="2"/>
  <c r="BC201" i="2"/>
  <c r="BK233" i="2"/>
  <c r="BK201" i="2"/>
  <c r="CA233" i="2"/>
  <c r="CA201" i="2"/>
  <c r="CI233" i="2"/>
  <c r="CI201" i="2"/>
  <c r="CQ233" i="2"/>
  <c r="CQ201" i="2"/>
  <c r="H234" i="2"/>
  <c r="H202" i="2"/>
  <c r="X234" i="2"/>
  <c r="X202" i="2"/>
  <c r="AF234" i="2"/>
  <c r="AF202" i="2"/>
  <c r="AN234" i="2"/>
  <c r="AN202" i="2"/>
  <c r="AV234" i="2"/>
  <c r="AV202" i="2"/>
  <c r="BL234" i="2"/>
  <c r="BL202" i="2"/>
  <c r="BT202" i="2"/>
  <c r="BT234" i="2"/>
  <c r="CB234" i="2"/>
  <c r="CB202" i="2"/>
  <c r="CJ234" i="2"/>
  <c r="CJ202" i="2"/>
  <c r="I235" i="2"/>
  <c r="I203" i="2"/>
  <c r="Q235" i="2"/>
  <c r="Q203" i="2"/>
  <c r="Y235" i="2"/>
  <c r="Y203" i="2"/>
  <c r="AG235" i="2"/>
  <c r="AG203" i="2"/>
  <c r="AW235" i="2"/>
  <c r="AW203" i="2"/>
  <c r="BE235" i="2"/>
  <c r="BE203" i="2"/>
  <c r="BM235" i="2"/>
  <c r="BM203" i="2"/>
  <c r="BU235" i="2"/>
  <c r="BU203" i="2"/>
  <c r="CK235" i="2"/>
  <c r="CK203" i="2"/>
  <c r="J236" i="2"/>
  <c r="J204" i="2"/>
  <c r="R236" i="2"/>
  <c r="R204" i="2"/>
  <c r="AH236" i="2"/>
  <c r="AH204" i="2"/>
  <c r="AP236" i="2"/>
  <c r="AP204" i="2"/>
  <c r="AX236" i="2"/>
  <c r="AX204" i="2"/>
  <c r="BF236" i="2"/>
  <c r="BF204" i="2"/>
  <c r="BV236" i="2"/>
  <c r="BV204" i="2"/>
  <c r="CD236" i="2"/>
  <c r="CD204" i="2"/>
  <c r="CL236" i="2"/>
  <c r="CL204" i="2"/>
  <c r="C205" i="2"/>
  <c r="S237" i="2"/>
  <c r="S205" i="2"/>
  <c r="AA237" i="2"/>
  <c r="AA205" i="2"/>
  <c r="AI237" i="2"/>
  <c r="AI205" i="2"/>
  <c r="AQ237" i="2"/>
  <c r="AQ205" i="2"/>
  <c r="BG237" i="2"/>
  <c r="BG205" i="2"/>
  <c r="BO237" i="2"/>
  <c r="BO205" i="2"/>
  <c r="BW237" i="2"/>
  <c r="BW205" i="2"/>
  <c r="CE237" i="2"/>
  <c r="CE205" i="2"/>
  <c r="L239" i="2"/>
  <c r="L207" i="2"/>
  <c r="T239" i="2"/>
  <c r="T207" i="2"/>
  <c r="AB239" i="2"/>
  <c r="AB207" i="2"/>
  <c r="AR239" i="2"/>
  <c r="AR207" i="2"/>
  <c r="AZ207" i="2"/>
  <c r="AZ239" i="2"/>
  <c r="BH239" i="2"/>
  <c r="BH207" i="2"/>
  <c r="BP239" i="2"/>
  <c r="BP207" i="2"/>
  <c r="CF207" i="2"/>
  <c r="CF239" i="2"/>
  <c r="CN239" i="2"/>
  <c r="CN207" i="2"/>
  <c r="E209" i="2"/>
  <c r="M241" i="2"/>
  <c r="M209" i="2"/>
  <c r="AC241" i="2"/>
  <c r="AC209" i="2"/>
  <c r="AK241" i="2"/>
  <c r="AK209" i="2"/>
  <c r="AS241" i="2"/>
  <c r="AS209" i="2"/>
  <c r="BA241" i="2"/>
  <c r="BA209" i="2"/>
  <c r="BQ241" i="2"/>
  <c r="BQ209" i="2"/>
  <c r="BY241" i="2"/>
  <c r="BY209" i="2"/>
  <c r="CG241" i="2"/>
  <c r="CG209" i="2"/>
  <c r="CO241" i="2"/>
  <c r="CO209" i="2"/>
  <c r="G244" i="2"/>
  <c r="G212" i="2"/>
  <c r="O244" i="2"/>
  <c r="O212" i="2"/>
  <c r="W212" i="2"/>
  <c r="W244" i="2"/>
  <c r="AM244" i="2"/>
  <c r="AM212" i="2"/>
  <c r="AU244" i="2"/>
  <c r="AU212" i="2"/>
  <c r="BC244" i="2"/>
  <c r="BC212" i="2"/>
  <c r="CA244" i="2"/>
  <c r="CA212" i="2"/>
  <c r="CI212" i="2"/>
  <c r="CI244" i="2"/>
  <c r="CQ244" i="2"/>
  <c r="CQ212" i="2"/>
  <c r="H245" i="2"/>
  <c r="H213" i="2"/>
  <c r="X245" i="2"/>
  <c r="X213" i="2"/>
  <c r="AF245" i="2"/>
  <c r="AF213" i="2"/>
  <c r="AN245" i="2"/>
  <c r="AN213" i="2"/>
  <c r="AV245" i="2"/>
  <c r="AV213" i="2"/>
  <c r="BL245" i="2"/>
  <c r="BL213" i="2"/>
  <c r="BT245" i="2"/>
  <c r="BT213" i="2"/>
  <c r="CB245" i="2"/>
  <c r="CB213" i="2"/>
  <c r="CJ245" i="2"/>
  <c r="CJ213" i="2"/>
  <c r="I247" i="2"/>
  <c r="I215" i="2"/>
  <c r="Q247" i="2"/>
  <c r="Q215" i="2"/>
  <c r="Y247" i="2"/>
  <c r="Y215" i="2"/>
  <c r="AG247" i="2"/>
  <c r="AG215" i="2"/>
  <c r="AW247" i="2"/>
  <c r="AW215" i="2"/>
  <c r="BE247" i="2"/>
  <c r="BE215" i="2"/>
  <c r="BM247" i="2"/>
  <c r="BM215" i="2"/>
  <c r="BU247" i="2"/>
  <c r="BU215" i="2"/>
  <c r="CK247" i="2"/>
  <c r="CK215" i="2"/>
  <c r="J249" i="2"/>
  <c r="J217" i="2"/>
  <c r="R249" i="2"/>
  <c r="R217" i="2"/>
  <c r="AH249" i="2"/>
  <c r="AH217" i="2"/>
  <c r="AP249" i="2"/>
  <c r="AP217" i="2"/>
  <c r="AX249" i="2"/>
  <c r="AX217" i="2"/>
  <c r="BF249" i="2"/>
  <c r="BF217" i="2"/>
  <c r="BV249" i="2"/>
  <c r="BV217" i="2"/>
  <c r="CD249" i="2"/>
  <c r="CD217" i="2"/>
  <c r="CL249" i="2"/>
  <c r="CL217" i="2"/>
  <c r="C219" i="2"/>
  <c r="S251" i="2"/>
  <c r="S219" i="2"/>
  <c r="AA251" i="2"/>
  <c r="AA219" i="2"/>
  <c r="AI251" i="2"/>
  <c r="AI219" i="2"/>
  <c r="AR251" i="2"/>
  <c r="AR219" i="2"/>
  <c r="BA251" i="2"/>
  <c r="BA219" i="2"/>
  <c r="BJ219" i="2"/>
  <c r="BJ251" i="2"/>
  <c r="BR219" i="2"/>
  <c r="BR251" i="2"/>
  <c r="S200" i="2"/>
  <c r="CE200" i="2"/>
  <c r="BB201" i="2"/>
  <c r="Y202" i="2"/>
  <c r="CK202" i="2"/>
  <c r="AK207" i="2"/>
  <c r="T209" i="2"/>
  <c r="BT215" i="2"/>
  <c r="BQ233" i="2"/>
  <c r="N231" i="2"/>
  <c r="N199" i="2"/>
  <c r="V231" i="2"/>
  <c r="V199" i="2"/>
  <c r="AD231" i="2"/>
  <c r="AD199" i="2"/>
  <c r="AL231" i="2"/>
  <c r="AL199" i="2"/>
  <c r="BB231" i="2"/>
  <c r="BB199" i="2"/>
  <c r="BJ231" i="2"/>
  <c r="BJ199" i="2"/>
  <c r="BR231" i="2"/>
  <c r="BR199" i="2"/>
  <c r="BZ231" i="2"/>
  <c r="BZ199" i="2"/>
  <c r="CP231" i="2"/>
  <c r="CP199" i="2"/>
  <c r="G200" i="2"/>
  <c r="G232" i="2"/>
  <c r="O232" i="2"/>
  <c r="O200" i="2"/>
  <c r="W232" i="2"/>
  <c r="W200" i="2"/>
  <c r="AM200" i="2"/>
  <c r="AM232" i="2"/>
  <c r="AU232" i="2"/>
  <c r="AU200" i="2"/>
  <c r="BC232" i="2"/>
  <c r="BC200" i="2"/>
  <c r="CA232" i="2"/>
  <c r="CA200" i="2"/>
  <c r="CI232" i="2"/>
  <c r="CI200" i="2"/>
  <c r="H201" i="2"/>
  <c r="H233" i="2"/>
  <c r="X233" i="2"/>
  <c r="X201" i="2"/>
  <c r="AF233" i="2"/>
  <c r="AF201" i="2"/>
  <c r="AN201" i="2"/>
  <c r="AN233" i="2"/>
  <c r="AV233" i="2"/>
  <c r="AV201" i="2"/>
  <c r="BL233" i="2"/>
  <c r="BL201" i="2"/>
  <c r="BT201" i="2"/>
  <c r="BT233" i="2"/>
  <c r="CB233" i="2"/>
  <c r="CB201" i="2"/>
  <c r="CJ233" i="2"/>
  <c r="CJ201" i="2"/>
  <c r="J235" i="2"/>
  <c r="J203" i="2"/>
  <c r="R235" i="2"/>
  <c r="R203" i="2"/>
  <c r="AH235" i="2"/>
  <c r="AH203" i="2"/>
  <c r="AP235" i="2"/>
  <c r="AP203" i="2"/>
  <c r="AX235" i="2"/>
  <c r="AX203" i="2"/>
  <c r="BF235" i="2"/>
  <c r="BF203" i="2"/>
  <c r="BV235" i="2"/>
  <c r="BV203" i="2"/>
  <c r="CD235" i="2"/>
  <c r="CD203" i="2"/>
  <c r="CL235" i="2"/>
  <c r="CL203" i="2"/>
  <c r="S236" i="2"/>
  <c r="S204" i="2"/>
  <c r="AI236" i="2"/>
  <c r="AI204" i="2"/>
  <c r="AQ204" i="2"/>
  <c r="AQ236" i="2"/>
  <c r="BG236" i="2"/>
  <c r="BG204" i="2"/>
  <c r="BO236" i="2"/>
  <c r="BO204" i="2"/>
  <c r="BW236" i="2"/>
  <c r="BW204" i="2"/>
  <c r="CE236" i="2"/>
  <c r="CE204" i="2"/>
  <c r="L237" i="2"/>
  <c r="L205" i="2"/>
  <c r="T237" i="2"/>
  <c r="T205" i="2"/>
  <c r="AB237" i="2"/>
  <c r="AB205" i="2"/>
  <c r="AR237" i="2"/>
  <c r="AR205" i="2"/>
  <c r="AZ237" i="2"/>
  <c r="AZ205" i="2"/>
  <c r="BH237" i="2"/>
  <c r="BH205" i="2"/>
  <c r="BP237" i="2"/>
  <c r="BP205" i="2"/>
  <c r="CF237" i="2"/>
  <c r="CF205" i="2"/>
  <c r="CN237" i="2"/>
  <c r="CN205" i="2"/>
  <c r="BQ239" i="2"/>
  <c r="BQ207" i="2"/>
  <c r="BY239" i="2"/>
  <c r="BY207" i="2"/>
  <c r="CG239" i="2"/>
  <c r="CG207" i="2"/>
  <c r="N241" i="2"/>
  <c r="N209" i="2"/>
  <c r="V241" i="2"/>
  <c r="V209" i="2"/>
  <c r="AD241" i="2"/>
  <c r="AD209" i="2"/>
  <c r="AL241" i="2"/>
  <c r="AL209" i="2"/>
  <c r="BB241" i="2"/>
  <c r="BB209" i="2"/>
  <c r="BJ241" i="2"/>
  <c r="BJ209" i="2"/>
  <c r="BR241" i="2"/>
  <c r="BR209" i="2"/>
  <c r="BZ241" i="2"/>
  <c r="BZ209" i="2"/>
  <c r="CP241" i="2"/>
  <c r="CP209" i="2"/>
  <c r="H244" i="2"/>
  <c r="H212" i="2"/>
  <c r="AF244" i="2"/>
  <c r="AF212" i="2"/>
  <c r="AN244" i="2"/>
  <c r="AN212" i="2"/>
  <c r="AV244" i="2"/>
  <c r="AV212" i="2"/>
  <c r="BL244" i="2"/>
  <c r="BL212" i="2"/>
  <c r="BT244" i="2"/>
  <c r="BT212" i="2"/>
  <c r="CB244" i="2"/>
  <c r="CB212" i="2"/>
  <c r="I245" i="2"/>
  <c r="I213" i="2"/>
  <c r="Q245" i="2"/>
  <c r="Q213" i="2"/>
  <c r="Y245" i="2"/>
  <c r="Y213" i="2"/>
  <c r="AG245" i="2"/>
  <c r="AG213" i="2"/>
  <c r="AW245" i="2"/>
  <c r="AW213" i="2"/>
  <c r="BE245" i="2"/>
  <c r="BE213" i="2"/>
  <c r="BM245" i="2"/>
  <c r="BM213" i="2"/>
  <c r="BU245" i="2"/>
  <c r="BU213" i="2"/>
  <c r="CK245" i="2"/>
  <c r="CK213" i="2"/>
  <c r="J215" i="2"/>
  <c r="J247" i="2"/>
  <c r="R215" i="2"/>
  <c r="R247" i="2"/>
  <c r="AH215" i="2"/>
  <c r="AH247" i="2"/>
  <c r="AP247" i="2"/>
  <c r="AP215" i="2"/>
  <c r="BF215" i="2"/>
  <c r="BF247" i="2"/>
  <c r="BV215" i="2"/>
  <c r="BV247" i="2"/>
  <c r="CD215" i="2"/>
  <c r="CD247" i="2"/>
  <c r="CL247" i="2"/>
  <c r="CL215" i="2"/>
  <c r="C217" i="2"/>
  <c r="S249" i="2"/>
  <c r="S217" i="2"/>
  <c r="AA249" i="2"/>
  <c r="AA217" i="2"/>
  <c r="AI249" i="2"/>
  <c r="AI217" i="2"/>
  <c r="BG249" i="2"/>
  <c r="BG217" i="2"/>
  <c r="BO249" i="2"/>
  <c r="BO217" i="2"/>
  <c r="CE249" i="2"/>
  <c r="CE217" i="2"/>
  <c r="D219" i="2"/>
  <c r="L251" i="2"/>
  <c r="L219" i="2"/>
  <c r="T251" i="2"/>
  <c r="T219" i="2"/>
  <c r="AB251" i="2"/>
  <c r="AB219" i="2"/>
  <c r="AS251" i="2"/>
  <c r="AS219" i="2"/>
  <c r="BB251" i="2"/>
  <c r="BB219" i="2"/>
  <c r="BK219" i="2"/>
  <c r="BK251" i="2"/>
  <c r="CD251" i="2"/>
  <c r="CD219" i="2"/>
  <c r="CL251" i="2"/>
  <c r="CL219" i="2"/>
  <c r="AA200" i="2"/>
  <c r="BJ201" i="2"/>
  <c r="AG202" i="2"/>
  <c r="J205" i="2"/>
  <c r="BV205" i="2"/>
  <c r="AS207" i="2"/>
  <c r="X212" i="2"/>
  <c r="Y231" i="2"/>
  <c r="BO241" i="2"/>
  <c r="G231" i="2"/>
  <c r="G199" i="2"/>
  <c r="O231" i="2"/>
  <c r="O199" i="2"/>
  <c r="W231" i="2"/>
  <c r="W199" i="2"/>
  <c r="AM231" i="2"/>
  <c r="AM199" i="2"/>
  <c r="AU231" i="2"/>
  <c r="AU199" i="2"/>
  <c r="BC231" i="2"/>
  <c r="BC199" i="2"/>
  <c r="BK231" i="2"/>
  <c r="BK199" i="2"/>
  <c r="CA231" i="2"/>
  <c r="CA199" i="2"/>
  <c r="CI231" i="2"/>
  <c r="CI199" i="2"/>
  <c r="CQ231" i="2"/>
  <c r="CQ199" i="2"/>
  <c r="H232" i="2"/>
  <c r="H200" i="2"/>
  <c r="X232" i="2"/>
  <c r="X200" i="2"/>
  <c r="AF232" i="2"/>
  <c r="AF200" i="2"/>
  <c r="AN232" i="2"/>
  <c r="AN200" i="2"/>
  <c r="AV232" i="2"/>
  <c r="AV200" i="2"/>
  <c r="BL232" i="2"/>
  <c r="BL200" i="2"/>
  <c r="BT232" i="2"/>
  <c r="BT200" i="2"/>
  <c r="CB232" i="2"/>
  <c r="CB200" i="2"/>
  <c r="CJ232" i="2"/>
  <c r="CJ200" i="2"/>
  <c r="I233" i="2"/>
  <c r="I201" i="2"/>
  <c r="Q233" i="2"/>
  <c r="Q201" i="2"/>
  <c r="Y233" i="2"/>
  <c r="Y201" i="2"/>
  <c r="AG233" i="2"/>
  <c r="AG201" i="2"/>
  <c r="AW233" i="2"/>
  <c r="AW201" i="2"/>
  <c r="BE233" i="2"/>
  <c r="BE201" i="2"/>
  <c r="BM233" i="2"/>
  <c r="BM201" i="2"/>
  <c r="BU233" i="2"/>
  <c r="BU201" i="2"/>
  <c r="CK233" i="2"/>
  <c r="CK201" i="2"/>
  <c r="J234" i="2"/>
  <c r="J202" i="2"/>
  <c r="R234" i="2"/>
  <c r="R202" i="2"/>
  <c r="AH234" i="2"/>
  <c r="AH202" i="2"/>
  <c r="AP234" i="2"/>
  <c r="AP202" i="2"/>
  <c r="AX234" i="2"/>
  <c r="AX202" i="2"/>
  <c r="BF234" i="2"/>
  <c r="BF202" i="2"/>
  <c r="BV234" i="2"/>
  <c r="BV202" i="2"/>
  <c r="CD234" i="2"/>
  <c r="CD202" i="2"/>
  <c r="CL234" i="2"/>
  <c r="CL202" i="2"/>
  <c r="S235" i="2"/>
  <c r="S203" i="2"/>
  <c r="AA203" i="2"/>
  <c r="AA235" i="2"/>
  <c r="AI235" i="2"/>
  <c r="AI203" i="2"/>
  <c r="AQ235" i="2"/>
  <c r="AQ203" i="2"/>
  <c r="BG203" i="2"/>
  <c r="BG235" i="2"/>
  <c r="BO235" i="2"/>
  <c r="BO203" i="2"/>
  <c r="BW203" i="2"/>
  <c r="BW235" i="2"/>
  <c r="CE235" i="2"/>
  <c r="CE203" i="2"/>
  <c r="D204" i="2"/>
  <c r="L236" i="2"/>
  <c r="L204" i="2"/>
  <c r="T236" i="2"/>
  <c r="T204" i="2"/>
  <c r="AB236" i="2"/>
  <c r="AB204" i="2"/>
  <c r="AR236" i="2"/>
  <c r="AR204" i="2"/>
  <c r="AZ236" i="2"/>
  <c r="AZ204" i="2"/>
  <c r="BH236" i="2"/>
  <c r="BH204" i="2"/>
  <c r="BP236" i="2"/>
  <c r="BP204" i="2"/>
  <c r="CF236" i="2"/>
  <c r="CF204" i="2"/>
  <c r="CN236" i="2"/>
  <c r="CN204" i="2"/>
  <c r="E205" i="2"/>
  <c r="M237" i="2"/>
  <c r="M205" i="2"/>
  <c r="AC237" i="2"/>
  <c r="AC205" i="2"/>
  <c r="AK237" i="2"/>
  <c r="AK205" i="2"/>
  <c r="AS237" i="2"/>
  <c r="AS205" i="2"/>
  <c r="BA237" i="2"/>
  <c r="BA205" i="2"/>
  <c r="BQ237" i="2"/>
  <c r="BQ205" i="2"/>
  <c r="BY237" i="2"/>
  <c r="BY205" i="2"/>
  <c r="CG237" i="2"/>
  <c r="CG205" i="2"/>
  <c r="CO237" i="2"/>
  <c r="CO205" i="2"/>
  <c r="N239" i="2"/>
  <c r="N207" i="2"/>
  <c r="V239" i="2"/>
  <c r="V207" i="2"/>
  <c r="AD239" i="2"/>
  <c r="AD207" i="2"/>
  <c r="AL239" i="2"/>
  <c r="AL207" i="2"/>
  <c r="BB239" i="2"/>
  <c r="BB207" i="2"/>
  <c r="BJ239" i="2"/>
  <c r="BJ207" i="2"/>
  <c r="BR239" i="2"/>
  <c r="BR207" i="2"/>
  <c r="BZ239" i="2"/>
  <c r="BZ207" i="2"/>
  <c r="CP239" i="2"/>
  <c r="CP207" i="2"/>
  <c r="G241" i="2"/>
  <c r="G209" i="2"/>
  <c r="O241" i="2"/>
  <c r="O209" i="2"/>
  <c r="W241" i="2"/>
  <c r="W209" i="2"/>
  <c r="AM241" i="2"/>
  <c r="AM209" i="2"/>
  <c r="AU241" i="2"/>
  <c r="AU209" i="2"/>
  <c r="BC241" i="2"/>
  <c r="BC209" i="2"/>
  <c r="BK241" i="2"/>
  <c r="BK209" i="2"/>
  <c r="CA241" i="2"/>
  <c r="CA209" i="2"/>
  <c r="CI241" i="2"/>
  <c r="CI209" i="2"/>
  <c r="CQ241" i="2"/>
  <c r="CQ209" i="2"/>
  <c r="I244" i="2"/>
  <c r="I212" i="2"/>
  <c r="Q244" i="2"/>
  <c r="Q212" i="2"/>
  <c r="Y244" i="2"/>
  <c r="Y212" i="2"/>
  <c r="AG244" i="2"/>
  <c r="AG212" i="2"/>
  <c r="BM212" i="2"/>
  <c r="BM244" i="2"/>
  <c r="BU244" i="2"/>
  <c r="BU212" i="2"/>
  <c r="CK244" i="2"/>
  <c r="CK212" i="2"/>
  <c r="J245" i="2"/>
  <c r="J213" i="2"/>
  <c r="R245" i="2"/>
  <c r="R213" i="2"/>
  <c r="AH245" i="2"/>
  <c r="AH213" i="2"/>
  <c r="AP245" i="2"/>
  <c r="AP213" i="2"/>
  <c r="AX245" i="2"/>
  <c r="AX213" i="2"/>
  <c r="BF245" i="2"/>
  <c r="BF213" i="2"/>
  <c r="BV245" i="2"/>
  <c r="BV213" i="2"/>
  <c r="CD245" i="2"/>
  <c r="CD213" i="2"/>
  <c r="CL245" i="2"/>
  <c r="CL213" i="2"/>
  <c r="C215" i="2"/>
  <c r="S215" i="2"/>
  <c r="S247" i="2"/>
  <c r="AA215" i="2"/>
  <c r="AA247" i="2"/>
  <c r="AI215" i="2"/>
  <c r="AI247" i="2"/>
  <c r="AQ247" i="2"/>
  <c r="AQ215" i="2"/>
  <c r="BG215" i="2"/>
  <c r="BG247" i="2"/>
  <c r="BO247" i="2"/>
  <c r="BO215" i="2"/>
  <c r="BW215" i="2"/>
  <c r="BW247" i="2"/>
  <c r="CE215" i="2"/>
  <c r="CE247" i="2"/>
  <c r="L249" i="2"/>
  <c r="L217" i="2"/>
  <c r="T249" i="2"/>
  <c r="T217" i="2"/>
  <c r="AB249" i="2"/>
  <c r="AB217" i="2"/>
  <c r="AR249" i="2"/>
  <c r="AR217" i="2"/>
  <c r="AZ249" i="2"/>
  <c r="AZ217" i="2"/>
  <c r="BH249" i="2"/>
  <c r="BH217" i="2"/>
  <c r="BP249" i="2"/>
  <c r="BP217" i="2"/>
  <c r="CF249" i="2"/>
  <c r="CF217" i="2"/>
  <c r="CN249" i="2"/>
  <c r="CN217" i="2"/>
  <c r="E219" i="2"/>
  <c r="M251" i="2"/>
  <c r="M219" i="2"/>
  <c r="AC251" i="2"/>
  <c r="AC219" i="2"/>
  <c r="AK251" i="2"/>
  <c r="AK219" i="2"/>
  <c r="BC251" i="2"/>
  <c r="BC219" i="2"/>
  <c r="AI200" i="2"/>
  <c r="BR201" i="2"/>
  <c r="R205" i="2"/>
  <c r="CD205" i="2"/>
  <c r="BA207" i="2"/>
  <c r="BA213" i="2"/>
  <c r="BE231" i="2"/>
  <c r="H231" i="2"/>
  <c r="X231" i="2"/>
  <c r="AF231" i="2"/>
  <c r="AN231" i="2"/>
  <c r="AV231" i="2"/>
  <c r="BL231" i="2"/>
  <c r="BT231" i="2"/>
  <c r="CB231" i="2"/>
  <c r="CJ231" i="2"/>
  <c r="I232" i="2"/>
  <c r="I200" i="2"/>
  <c r="Q232" i="2"/>
  <c r="Q200" i="2"/>
  <c r="Y232" i="2"/>
  <c r="Y200" i="2"/>
  <c r="AG232" i="2"/>
  <c r="AG200" i="2"/>
  <c r="AW232" i="2"/>
  <c r="AW200" i="2"/>
  <c r="BE232" i="2"/>
  <c r="BE200" i="2"/>
  <c r="BM232" i="2"/>
  <c r="BM200" i="2"/>
  <c r="BU232" i="2"/>
  <c r="BU200" i="2"/>
  <c r="CK232" i="2"/>
  <c r="CK200" i="2"/>
  <c r="J233" i="2"/>
  <c r="J201" i="2"/>
  <c r="R233" i="2"/>
  <c r="R201" i="2"/>
  <c r="AH233" i="2"/>
  <c r="AH201" i="2"/>
  <c r="AP233" i="2"/>
  <c r="AP201" i="2"/>
  <c r="AX233" i="2"/>
  <c r="AX201" i="2"/>
  <c r="BF233" i="2"/>
  <c r="BF201" i="2"/>
  <c r="BV233" i="2"/>
  <c r="BV201" i="2"/>
  <c r="CD233" i="2"/>
  <c r="CD201" i="2"/>
  <c r="CL233" i="2"/>
  <c r="CL201" i="2"/>
  <c r="C202" i="2"/>
  <c r="S234" i="2"/>
  <c r="S202" i="2"/>
  <c r="AA234" i="2"/>
  <c r="AA202" i="2"/>
  <c r="AI234" i="2"/>
  <c r="AI202" i="2"/>
  <c r="AQ202" i="2"/>
  <c r="BG234" i="2"/>
  <c r="BG202" i="2"/>
  <c r="BO234" i="2"/>
  <c r="BO202" i="2"/>
  <c r="BW234" i="2"/>
  <c r="BW202" i="2"/>
  <c r="CE202" i="2"/>
  <c r="D203" i="2"/>
  <c r="L235" i="2"/>
  <c r="T235" i="2"/>
  <c r="AB235" i="2"/>
  <c r="AR235" i="2"/>
  <c r="AZ235" i="2"/>
  <c r="BH235" i="2"/>
  <c r="BP235" i="2"/>
  <c r="CF235" i="2"/>
  <c r="CN235" i="2"/>
  <c r="E204" i="2"/>
  <c r="M236" i="2"/>
  <c r="M204" i="2"/>
  <c r="AC236" i="2"/>
  <c r="AC204" i="2"/>
  <c r="AK236" i="2"/>
  <c r="AK204" i="2"/>
  <c r="AS236" i="2"/>
  <c r="AS204" i="2"/>
  <c r="BA236" i="2"/>
  <c r="BA204" i="2"/>
  <c r="BQ236" i="2"/>
  <c r="BQ204" i="2"/>
  <c r="BY236" i="2"/>
  <c r="BY204" i="2"/>
  <c r="CG236" i="2"/>
  <c r="CG204" i="2"/>
  <c r="CO236" i="2"/>
  <c r="CO204" i="2"/>
  <c r="N237" i="2"/>
  <c r="N205" i="2"/>
  <c r="V237" i="2"/>
  <c r="V205" i="2"/>
  <c r="AD237" i="2"/>
  <c r="AD205" i="2"/>
  <c r="AL237" i="2"/>
  <c r="AL205" i="2"/>
  <c r="BB237" i="2"/>
  <c r="BB205" i="2"/>
  <c r="BJ237" i="2"/>
  <c r="BJ205" i="2"/>
  <c r="BR237" i="2"/>
  <c r="BR205" i="2"/>
  <c r="BZ205" i="2"/>
  <c r="CP237" i="2"/>
  <c r="CP205" i="2"/>
  <c r="G239" i="2"/>
  <c r="G207" i="2"/>
  <c r="O239" i="2"/>
  <c r="O207" i="2"/>
  <c r="W239" i="2"/>
  <c r="W207" i="2"/>
  <c r="AM239" i="2"/>
  <c r="AM207" i="2"/>
  <c r="AU239" i="2"/>
  <c r="AU207" i="2"/>
  <c r="BC239" i="2"/>
  <c r="BC207" i="2"/>
  <c r="BK239" i="2"/>
  <c r="BK207" i="2"/>
  <c r="CA207" i="2"/>
  <c r="CA239" i="2"/>
  <c r="CI239" i="2"/>
  <c r="CI207" i="2"/>
  <c r="CQ239" i="2"/>
  <c r="CQ207" i="2"/>
  <c r="H241" i="2"/>
  <c r="H209" i="2"/>
  <c r="X241" i="2"/>
  <c r="X209" i="2"/>
  <c r="AF241" i="2"/>
  <c r="AN241" i="2"/>
  <c r="AN209" i="2"/>
  <c r="AV241" i="2"/>
  <c r="AV209" i="2"/>
  <c r="BL241" i="2"/>
  <c r="BT241" i="2"/>
  <c r="BT209" i="2"/>
  <c r="CB241" i="2"/>
  <c r="CB209" i="2"/>
  <c r="CJ241" i="2"/>
  <c r="CJ209" i="2"/>
  <c r="J244" i="2"/>
  <c r="R244" i="2"/>
  <c r="R212" i="2"/>
  <c r="AH244" i="2"/>
  <c r="AH212" i="2"/>
  <c r="AP244" i="2"/>
  <c r="AP212" i="2"/>
  <c r="AX244" i="2"/>
  <c r="AX212" i="2"/>
  <c r="BF244" i="2"/>
  <c r="BF212" i="2"/>
  <c r="BV244" i="2"/>
  <c r="CD244" i="2"/>
  <c r="CD212" i="2"/>
  <c r="CL244" i="2"/>
  <c r="CL212" i="2"/>
  <c r="C213" i="2"/>
  <c r="S245" i="2"/>
  <c r="S213" i="2"/>
  <c r="AA245" i="2"/>
  <c r="AA213" i="2"/>
  <c r="AI245" i="2"/>
  <c r="AI213" i="2"/>
  <c r="AQ245" i="2"/>
  <c r="AQ213" i="2"/>
  <c r="BG245" i="2"/>
  <c r="BG213" i="2"/>
  <c r="BO245" i="2"/>
  <c r="BO213" i="2"/>
  <c r="BW245" i="2"/>
  <c r="BW213" i="2"/>
  <c r="CE245" i="2"/>
  <c r="CE213" i="2"/>
  <c r="D215" i="2"/>
  <c r="L247" i="2"/>
  <c r="L215" i="2"/>
  <c r="T247" i="2"/>
  <c r="T215" i="2"/>
  <c r="AB247" i="2"/>
  <c r="AB215" i="2"/>
  <c r="AR247" i="2"/>
  <c r="AR215" i="2"/>
  <c r="AZ247" i="2"/>
  <c r="AZ215" i="2"/>
  <c r="BH247" i="2"/>
  <c r="BH215" i="2"/>
  <c r="BP247" i="2"/>
  <c r="BP215" i="2"/>
  <c r="CF247" i="2"/>
  <c r="CF215" i="2"/>
  <c r="CN247" i="2"/>
  <c r="CN215" i="2"/>
  <c r="E217" i="2"/>
  <c r="M249" i="2"/>
  <c r="M217" i="2"/>
  <c r="AC249" i="2"/>
  <c r="AC217" i="2"/>
  <c r="AK249" i="2"/>
  <c r="AK217" i="2"/>
  <c r="AS249" i="2"/>
  <c r="AS217" i="2"/>
  <c r="BA249" i="2"/>
  <c r="BA217" i="2"/>
  <c r="BQ249" i="2"/>
  <c r="BQ217" i="2"/>
  <c r="BY249" i="2"/>
  <c r="BY217" i="2"/>
  <c r="CG249" i="2"/>
  <c r="CG217" i="2"/>
  <c r="CO249" i="2"/>
  <c r="CO217" i="2"/>
  <c r="N251" i="2"/>
  <c r="V251" i="2"/>
  <c r="V219" i="2"/>
  <c r="AD251" i="2"/>
  <c r="AD219" i="2"/>
  <c r="AL251" i="2"/>
  <c r="AL219" i="2"/>
  <c r="AU219" i="2"/>
  <c r="AU251" i="2"/>
  <c r="BV251" i="2"/>
  <c r="BV219" i="2"/>
  <c r="CO251" i="2"/>
  <c r="CO219" i="2"/>
  <c r="H199" i="2"/>
  <c r="BT199" i="2"/>
  <c r="AQ200" i="2"/>
  <c r="N201" i="2"/>
  <c r="BZ201" i="2"/>
  <c r="AW202" i="2"/>
  <c r="T203" i="2"/>
  <c r="CF203" i="2"/>
  <c r="CL205" i="2"/>
  <c r="AZ209" i="2"/>
  <c r="AW212" i="2"/>
  <c r="BW217" i="2"/>
  <c r="CK231" i="2"/>
  <c r="CE234" i="2"/>
  <c r="BE244" i="2"/>
  <c r="I231" i="2"/>
  <c r="I199" i="2"/>
  <c r="Q231" i="2"/>
  <c r="Q199" i="2"/>
  <c r="AG231" i="2"/>
  <c r="AG199" i="2"/>
  <c r="AW231" i="2"/>
  <c r="AW199" i="2"/>
  <c r="BM231" i="2"/>
  <c r="BM199" i="2"/>
  <c r="BU231" i="2"/>
  <c r="BU199" i="2"/>
  <c r="J200" i="2"/>
  <c r="J232" i="2"/>
  <c r="R200" i="2"/>
  <c r="R232" i="2"/>
  <c r="AH200" i="2"/>
  <c r="AH232" i="2"/>
  <c r="AP200" i="2"/>
  <c r="AP232" i="2"/>
  <c r="AX200" i="2"/>
  <c r="AX232" i="2"/>
  <c r="BF232" i="2"/>
  <c r="BF200" i="2"/>
  <c r="BV200" i="2"/>
  <c r="BV232" i="2"/>
  <c r="CD200" i="2"/>
  <c r="CD232" i="2"/>
  <c r="CL232" i="2"/>
  <c r="CL200" i="2"/>
  <c r="C201" i="2"/>
  <c r="S233" i="2"/>
  <c r="S201" i="2"/>
  <c r="AA233" i="2"/>
  <c r="AA201" i="2"/>
  <c r="AI233" i="2"/>
  <c r="AI201" i="2"/>
  <c r="AQ233" i="2"/>
  <c r="AQ201" i="2"/>
  <c r="BG233" i="2"/>
  <c r="BG201" i="2"/>
  <c r="BO233" i="2"/>
  <c r="BO201" i="2"/>
  <c r="BW233" i="2"/>
  <c r="BW201" i="2"/>
  <c r="CE233" i="2"/>
  <c r="CE201" i="2"/>
  <c r="D202" i="2"/>
  <c r="L234" i="2"/>
  <c r="L202" i="2"/>
  <c r="T234" i="2"/>
  <c r="T202" i="2"/>
  <c r="AB234" i="2"/>
  <c r="AB202" i="2"/>
  <c r="AR234" i="2"/>
  <c r="AR202" i="2"/>
  <c r="AZ234" i="2"/>
  <c r="AZ202" i="2"/>
  <c r="BH234" i="2"/>
  <c r="BH202" i="2"/>
  <c r="BP234" i="2"/>
  <c r="BP202" i="2"/>
  <c r="CF234" i="2"/>
  <c r="CF202" i="2"/>
  <c r="CN234" i="2"/>
  <c r="CN202" i="2"/>
  <c r="E203" i="2"/>
  <c r="M235" i="2"/>
  <c r="M203" i="2"/>
  <c r="AC235" i="2"/>
  <c r="AC203" i="2"/>
  <c r="AK235" i="2"/>
  <c r="AK203" i="2"/>
  <c r="AS235" i="2"/>
  <c r="AS203" i="2"/>
  <c r="BA203" i="2"/>
  <c r="BQ235" i="2"/>
  <c r="BQ203" i="2"/>
  <c r="BY235" i="2"/>
  <c r="BY203" i="2"/>
  <c r="CG235" i="2"/>
  <c r="CG203" i="2"/>
  <c r="CO235" i="2"/>
  <c r="CO203" i="2"/>
  <c r="N236" i="2"/>
  <c r="N204" i="2"/>
  <c r="V236" i="2"/>
  <c r="V204" i="2"/>
  <c r="AD236" i="2"/>
  <c r="AD204" i="2"/>
  <c r="AL236" i="2"/>
  <c r="AL204" i="2"/>
  <c r="BB236" i="2"/>
  <c r="BB204" i="2"/>
  <c r="BJ236" i="2"/>
  <c r="BJ204" i="2"/>
  <c r="BR236" i="2"/>
  <c r="BR204" i="2"/>
  <c r="BZ236" i="2"/>
  <c r="BZ204" i="2"/>
  <c r="CP236" i="2"/>
  <c r="CP204" i="2"/>
  <c r="G205" i="2"/>
  <c r="G237" i="2"/>
  <c r="O237" i="2"/>
  <c r="O205" i="2"/>
  <c r="W205" i="2"/>
  <c r="W237" i="2"/>
  <c r="AM237" i="2"/>
  <c r="AM205" i="2"/>
  <c r="AU237" i="2"/>
  <c r="AU205" i="2"/>
  <c r="BC237" i="2"/>
  <c r="BC205" i="2"/>
  <c r="BK237" i="2"/>
  <c r="BK205" i="2"/>
  <c r="CA237" i="2"/>
  <c r="CA205" i="2"/>
  <c r="CI237" i="2"/>
  <c r="CI205" i="2"/>
  <c r="CQ237" i="2"/>
  <c r="CQ205" i="2"/>
  <c r="H239" i="2"/>
  <c r="H207" i="2"/>
  <c r="X239" i="2"/>
  <c r="X207" i="2"/>
  <c r="AF239" i="2"/>
  <c r="AF207" i="2"/>
  <c r="AN239" i="2"/>
  <c r="AN207" i="2"/>
  <c r="AV239" i="2"/>
  <c r="AV207" i="2"/>
  <c r="BL239" i="2"/>
  <c r="BL207" i="2"/>
  <c r="BT239" i="2"/>
  <c r="BT207" i="2"/>
  <c r="CB239" i="2"/>
  <c r="CB207" i="2"/>
  <c r="CJ239" i="2"/>
  <c r="CJ207" i="2"/>
  <c r="I241" i="2"/>
  <c r="I209" i="2"/>
  <c r="Q241" i="2"/>
  <c r="Q209" i="2"/>
  <c r="Y241" i="2"/>
  <c r="Y209" i="2"/>
  <c r="AG241" i="2"/>
  <c r="AG209" i="2"/>
  <c r="AW241" i="2"/>
  <c r="AW209" i="2"/>
  <c r="BE241" i="2"/>
  <c r="BE209" i="2"/>
  <c r="BM241" i="2"/>
  <c r="BM209" i="2"/>
  <c r="BU241" i="2"/>
  <c r="BU209" i="2"/>
  <c r="CK241" i="2"/>
  <c r="CK209" i="2"/>
  <c r="C212" i="2"/>
  <c r="S244" i="2"/>
  <c r="S212" i="2"/>
  <c r="AA244" i="2"/>
  <c r="AA212" i="2"/>
  <c r="AI244" i="2"/>
  <c r="AQ244" i="2"/>
  <c r="AQ212" i="2"/>
  <c r="BG244" i="2"/>
  <c r="BG212" i="2"/>
  <c r="BO244" i="2"/>
  <c r="BO212" i="2"/>
  <c r="BW244" i="2"/>
  <c r="BW212" i="2"/>
  <c r="CE244" i="2"/>
  <c r="CE212" i="2"/>
  <c r="L245" i="2"/>
  <c r="L213" i="2"/>
  <c r="T213" i="2"/>
  <c r="T245" i="2"/>
  <c r="AB245" i="2"/>
  <c r="AB213" i="2"/>
  <c r="AR245" i="2"/>
  <c r="AR213" i="2"/>
  <c r="AZ245" i="2"/>
  <c r="AZ213" i="2"/>
  <c r="BH245" i="2"/>
  <c r="BH213" i="2"/>
  <c r="BP245" i="2"/>
  <c r="BP213" i="2"/>
  <c r="CF213" i="2"/>
  <c r="CF245" i="2"/>
  <c r="CN245" i="2"/>
  <c r="CN213" i="2"/>
  <c r="M247" i="2"/>
  <c r="M215" i="2"/>
  <c r="AC247" i="2"/>
  <c r="AC215" i="2"/>
  <c r="AK247" i="2"/>
  <c r="AK215" i="2"/>
  <c r="AS247" i="2"/>
  <c r="AS215" i="2"/>
  <c r="BA247" i="2"/>
  <c r="BA215" i="2"/>
  <c r="BQ215" i="2"/>
  <c r="BQ247" i="2"/>
  <c r="BY247" i="2"/>
  <c r="BY215" i="2"/>
  <c r="CG247" i="2"/>
  <c r="CG215" i="2"/>
  <c r="CO247" i="2"/>
  <c r="CO215" i="2"/>
  <c r="N249" i="2"/>
  <c r="N217" i="2"/>
  <c r="V249" i="2"/>
  <c r="V217" i="2"/>
  <c r="AD249" i="2"/>
  <c r="AD217" i="2"/>
  <c r="AL249" i="2"/>
  <c r="AL217" i="2"/>
  <c r="BB249" i="2"/>
  <c r="BB217" i="2"/>
  <c r="BJ249" i="2"/>
  <c r="BJ217" i="2"/>
  <c r="BR249" i="2"/>
  <c r="BR217" i="2"/>
  <c r="BZ249" i="2"/>
  <c r="BZ217" i="2"/>
  <c r="CP249" i="2"/>
  <c r="CP217" i="2"/>
  <c r="G251" i="2"/>
  <c r="G219" i="2"/>
  <c r="O251" i="2"/>
  <c r="O219" i="2"/>
  <c r="W219" i="2"/>
  <c r="W251" i="2"/>
  <c r="AM219" i="2"/>
  <c r="BF251" i="2"/>
  <c r="BF219" i="2"/>
  <c r="CG251" i="2"/>
  <c r="CG219" i="2"/>
  <c r="CB199" i="2"/>
  <c r="V201" i="2"/>
  <c r="BE202" i="2"/>
  <c r="AB203" i="2"/>
  <c r="CN203" i="2"/>
  <c r="AH205" i="2"/>
  <c r="BL209" i="2"/>
  <c r="BK212" i="2"/>
  <c r="N219" i="2"/>
  <c r="BA235" i="2"/>
  <c r="J231" i="2"/>
  <c r="J199" i="2"/>
  <c r="R231" i="2"/>
  <c r="R199" i="2"/>
  <c r="AH231" i="2"/>
  <c r="AH199" i="2"/>
  <c r="AP231" i="2"/>
  <c r="AP199" i="2"/>
  <c r="AX231" i="2"/>
  <c r="AX199" i="2"/>
  <c r="BF231" i="2"/>
  <c r="BF199" i="2"/>
  <c r="BV231" i="2"/>
  <c r="BV199" i="2"/>
  <c r="CD231" i="2"/>
  <c r="CD199" i="2"/>
  <c r="CL231" i="2"/>
  <c r="CL199" i="2"/>
  <c r="L233" i="2"/>
  <c r="L201" i="2"/>
  <c r="T233" i="2"/>
  <c r="T201" i="2"/>
  <c r="AB233" i="2"/>
  <c r="AB201" i="2"/>
  <c r="AR233" i="2"/>
  <c r="AR201" i="2"/>
  <c r="AZ233" i="2"/>
  <c r="AZ201" i="2"/>
  <c r="BH233" i="2"/>
  <c r="BH201" i="2"/>
  <c r="BP233" i="2"/>
  <c r="BP201" i="2"/>
  <c r="CF233" i="2"/>
  <c r="CF201" i="2"/>
  <c r="CN233" i="2"/>
  <c r="CN201" i="2"/>
  <c r="M234" i="2"/>
  <c r="M202" i="2"/>
  <c r="AC234" i="2"/>
  <c r="AC202" i="2"/>
  <c r="AK234" i="2"/>
  <c r="AK202" i="2"/>
  <c r="AS234" i="2"/>
  <c r="AS202" i="2"/>
  <c r="BA234" i="2"/>
  <c r="BA202" i="2"/>
  <c r="BQ234" i="2"/>
  <c r="BQ202" i="2"/>
  <c r="BY234" i="2"/>
  <c r="BY202" i="2"/>
  <c r="CG234" i="2"/>
  <c r="CG202" i="2"/>
  <c r="CO234" i="2"/>
  <c r="CO202" i="2"/>
  <c r="N235" i="2"/>
  <c r="N203" i="2"/>
  <c r="V235" i="2"/>
  <c r="V203" i="2"/>
  <c r="AD235" i="2"/>
  <c r="AD203" i="2"/>
  <c r="AL235" i="2"/>
  <c r="AL203" i="2"/>
  <c r="BB235" i="2"/>
  <c r="BB203" i="2"/>
  <c r="BJ235" i="2"/>
  <c r="BJ203" i="2"/>
  <c r="BR235" i="2"/>
  <c r="BR203" i="2"/>
  <c r="BZ235" i="2"/>
  <c r="BZ203" i="2"/>
  <c r="CP235" i="2"/>
  <c r="CP203" i="2"/>
  <c r="G236" i="2"/>
  <c r="O236" i="2"/>
  <c r="W236" i="2"/>
  <c r="AM236" i="2"/>
  <c r="AU236" i="2"/>
  <c r="BC236" i="2"/>
  <c r="BK236" i="2"/>
  <c r="CA236" i="2"/>
  <c r="CI236" i="2"/>
  <c r="CQ236" i="2"/>
  <c r="H237" i="2"/>
  <c r="H205" i="2"/>
  <c r="X237" i="2"/>
  <c r="X205" i="2"/>
  <c r="AF237" i="2"/>
  <c r="AF205" i="2"/>
  <c r="AN237" i="2"/>
  <c r="AN205" i="2"/>
  <c r="AV237" i="2"/>
  <c r="AV205" i="2"/>
  <c r="BL237" i="2"/>
  <c r="BL205" i="2"/>
  <c r="BT237" i="2"/>
  <c r="BT205" i="2"/>
  <c r="CB237" i="2"/>
  <c r="CB205" i="2"/>
  <c r="CJ237" i="2"/>
  <c r="CJ205" i="2"/>
  <c r="I239" i="2"/>
  <c r="I207" i="2"/>
  <c r="Q239" i="2"/>
  <c r="Q207" i="2"/>
  <c r="Y239" i="2"/>
  <c r="Y207" i="2"/>
  <c r="AG239" i="2"/>
  <c r="AG207" i="2"/>
  <c r="AW239" i="2"/>
  <c r="AW207" i="2"/>
  <c r="BE239" i="2"/>
  <c r="BE207" i="2"/>
  <c r="BM239" i="2"/>
  <c r="BM207" i="2"/>
  <c r="BU239" i="2"/>
  <c r="BU207" i="2"/>
  <c r="CK239" i="2"/>
  <c r="CK207" i="2"/>
  <c r="J241" i="2"/>
  <c r="R241" i="2"/>
  <c r="R209" i="2"/>
  <c r="AH241" i="2"/>
  <c r="AH209" i="2"/>
  <c r="AP241" i="2"/>
  <c r="AX241" i="2"/>
  <c r="AX209" i="2"/>
  <c r="BF241" i="2"/>
  <c r="BF209" i="2"/>
  <c r="BV241" i="2"/>
  <c r="CD241" i="2"/>
  <c r="CD209" i="2"/>
  <c r="CL209" i="2"/>
  <c r="CL241" i="2"/>
  <c r="D212" i="2"/>
  <c r="L244" i="2"/>
  <c r="L212" i="2"/>
  <c r="T244" i="2"/>
  <c r="T212" i="2"/>
  <c r="AB244" i="2"/>
  <c r="AB212" i="2"/>
  <c r="AR244" i="2"/>
  <c r="AR212" i="2"/>
  <c r="AZ244" i="2"/>
  <c r="AZ212" i="2"/>
  <c r="BH244" i="2"/>
  <c r="BH212" i="2"/>
  <c r="BP244" i="2"/>
  <c r="BP212" i="2"/>
  <c r="CF244" i="2"/>
  <c r="CF212" i="2"/>
  <c r="CN244" i="2"/>
  <c r="CN212" i="2"/>
  <c r="M245" i="2"/>
  <c r="M213" i="2"/>
  <c r="AC245" i="2"/>
  <c r="AC213" i="2"/>
  <c r="AK245" i="2"/>
  <c r="AS245" i="2"/>
  <c r="AS213" i="2"/>
  <c r="BQ245" i="2"/>
  <c r="BY245" i="2"/>
  <c r="BY213" i="2"/>
  <c r="CG245" i="2"/>
  <c r="CO245" i="2"/>
  <c r="CO213" i="2"/>
  <c r="N247" i="2"/>
  <c r="N215" i="2"/>
  <c r="V247" i="2"/>
  <c r="V215" i="2"/>
  <c r="AD247" i="2"/>
  <c r="AD215" i="2"/>
  <c r="AL247" i="2"/>
  <c r="AL215" i="2"/>
  <c r="BB247" i="2"/>
  <c r="BB215" i="2"/>
  <c r="BJ247" i="2"/>
  <c r="BJ215" i="2"/>
  <c r="BR247" i="2"/>
  <c r="BR215" i="2"/>
  <c r="BZ247" i="2"/>
  <c r="BZ215" i="2"/>
  <c r="CP247" i="2"/>
  <c r="CP215" i="2"/>
  <c r="G249" i="2"/>
  <c r="G217" i="2"/>
  <c r="O249" i="2"/>
  <c r="O217" i="2"/>
  <c r="W249" i="2"/>
  <c r="W217" i="2"/>
  <c r="AM249" i="2"/>
  <c r="AM217" i="2"/>
  <c r="AU249" i="2"/>
  <c r="AU217" i="2"/>
  <c r="BC249" i="2"/>
  <c r="BC217" i="2"/>
  <c r="BK249" i="2"/>
  <c r="BK217" i="2"/>
  <c r="CA249" i="2"/>
  <c r="CA217" i="2"/>
  <c r="CI249" i="2"/>
  <c r="CI217" i="2"/>
  <c r="CQ249" i="2"/>
  <c r="CQ217" i="2"/>
  <c r="H251" i="2"/>
  <c r="H219" i="2"/>
  <c r="X251" i="2"/>
  <c r="X219" i="2"/>
  <c r="AF251" i="2"/>
  <c r="AF219" i="2"/>
  <c r="BY251" i="2"/>
  <c r="BY219" i="2"/>
  <c r="X199" i="2"/>
  <c r="CJ199" i="2"/>
  <c r="BG200" i="2"/>
  <c r="AD201" i="2"/>
  <c r="CP201" i="2"/>
  <c r="BM202" i="2"/>
  <c r="G204" i="2"/>
  <c r="AP205" i="2"/>
  <c r="M207" i="2"/>
  <c r="BV209" i="2"/>
  <c r="BV212" i="2"/>
  <c r="H215" i="2"/>
  <c r="BK232" i="2"/>
  <c r="AA236" i="2"/>
  <c r="AX247" i="2"/>
  <c r="BG251" i="2"/>
  <c r="BO251" i="2"/>
  <c r="BW251" i="2"/>
  <c r="CE251" i="2"/>
  <c r="CE219" i="2"/>
  <c r="BH251" i="2"/>
  <c r="BH219" i="2"/>
  <c r="BP251" i="2"/>
  <c r="BP219" i="2"/>
  <c r="CF251" i="2"/>
  <c r="CF219" i="2"/>
  <c r="CN251" i="2"/>
  <c r="CN219" i="2"/>
  <c r="BG219" i="2"/>
  <c r="CP219" i="2"/>
  <c r="CA251" i="2"/>
  <c r="CA219" i="2"/>
  <c r="CI219" i="2"/>
  <c r="CI251" i="2"/>
  <c r="CQ251" i="2"/>
  <c r="CQ219" i="2"/>
  <c r="BO219" i="2"/>
  <c r="AN251" i="2"/>
  <c r="AN219" i="2"/>
  <c r="AV251" i="2"/>
  <c r="AV219" i="2"/>
  <c r="BL251" i="2"/>
  <c r="BL219" i="2"/>
  <c r="BT251" i="2"/>
  <c r="BT219" i="2"/>
  <c r="CB251" i="2"/>
  <c r="CB219" i="2"/>
  <c r="CJ251" i="2"/>
  <c r="CJ219" i="2"/>
  <c r="AG251" i="2"/>
  <c r="AG219" i="2"/>
  <c r="AW219" i="2"/>
  <c r="AW251" i="2"/>
  <c r="BE251" i="2"/>
  <c r="BE219" i="2"/>
  <c r="BM219" i="2"/>
  <c r="BM251" i="2"/>
  <c r="BU219" i="2"/>
  <c r="BU251" i="2"/>
  <c r="CK219" i="2"/>
  <c r="AQ219" i="2"/>
  <c r="BW219" i="2"/>
  <c r="Y251" i="2"/>
  <c r="BG386" i="2"/>
  <c r="AX386" i="2"/>
  <c r="AY326" i="2"/>
  <c r="C386" i="2"/>
  <c r="AP386" i="2"/>
  <c r="AT326" i="2"/>
  <c r="P388" i="2"/>
  <c r="Y388" i="2"/>
  <c r="H388" i="2"/>
  <c r="Q388" i="2"/>
  <c r="U328" i="2"/>
  <c r="CG388" i="2"/>
  <c r="CP388" i="2"/>
  <c r="CR328" i="2"/>
  <c r="AQ386" i="2"/>
  <c r="CL386" i="2"/>
  <c r="BY388" i="2"/>
  <c r="CC328" i="2"/>
  <c r="CH328" i="2"/>
  <c r="AH386" i="2"/>
  <c r="AJ326" i="2"/>
  <c r="CD386" i="2"/>
  <c r="CH326" i="2"/>
  <c r="CM326" i="2"/>
  <c r="BP388" i="2"/>
  <c r="BS328" i="2"/>
  <c r="BZ388" i="2"/>
  <c r="BP362" i="2"/>
  <c r="BP350" i="2"/>
  <c r="Z386" i="2"/>
  <c r="AI386" i="2"/>
  <c r="CE386" i="2"/>
  <c r="BQ388" i="2"/>
  <c r="R386" i="2"/>
  <c r="U326" i="2"/>
  <c r="AA386" i="2"/>
  <c r="AE326" i="2"/>
  <c r="BV386" i="2"/>
  <c r="BX326" i="2"/>
  <c r="BH388" i="2"/>
  <c r="BI328" i="2"/>
  <c r="T362" i="2"/>
  <c r="T350" i="2"/>
  <c r="J386" i="2"/>
  <c r="S386" i="2"/>
  <c r="BN386" i="2"/>
  <c r="BW386" i="2"/>
  <c r="AZ388" i="2"/>
  <c r="BD328" i="2"/>
  <c r="L374" i="2"/>
  <c r="O374" i="2"/>
  <c r="N374" i="2"/>
  <c r="M374" i="2"/>
  <c r="L362" i="2"/>
  <c r="L350" i="2"/>
  <c r="B386" i="2"/>
  <c r="F326" i="2"/>
  <c r="K326" i="2"/>
  <c r="BF386" i="2"/>
  <c r="BI326" i="2"/>
  <c r="BO386" i="2"/>
  <c r="BS326" i="2"/>
  <c r="X388" i="2"/>
  <c r="D386" i="2"/>
  <c r="D398" i="2" s="1"/>
  <c r="L386" i="2"/>
  <c r="T386" i="2"/>
  <c r="AB386" i="2"/>
  <c r="AR386" i="2"/>
  <c r="AZ386" i="2"/>
  <c r="BH386" i="2"/>
  <c r="BP386" i="2"/>
  <c r="CF386" i="2"/>
  <c r="CN386" i="2"/>
  <c r="I388" i="2"/>
  <c r="AJ388" i="2"/>
  <c r="AR388" i="2"/>
  <c r="BA388" i="2"/>
  <c r="BR388" i="2"/>
  <c r="AI374" i="2"/>
  <c r="AH374" i="2"/>
  <c r="AG374" i="2"/>
  <c r="AF374" i="2"/>
  <c r="AF362" i="2"/>
  <c r="AF350" i="2"/>
  <c r="AN350" i="2"/>
  <c r="AN362" i="2"/>
  <c r="BH362" i="2"/>
  <c r="BH350" i="2"/>
  <c r="E386" i="2"/>
  <c r="E398" i="2" s="1"/>
  <c r="M386" i="2"/>
  <c r="AC386" i="2"/>
  <c r="AK386" i="2"/>
  <c r="AS386" i="2"/>
  <c r="BA386" i="2"/>
  <c r="BQ386" i="2"/>
  <c r="BY386" i="2"/>
  <c r="CG386" i="2"/>
  <c r="CO386" i="2"/>
  <c r="AB388" i="2"/>
  <c r="AE328" i="2"/>
  <c r="AK388" i="2"/>
  <c r="AS388" i="2"/>
  <c r="BB388" i="2"/>
  <c r="BJ388" i="2"/>
  <c r="BN328" i="2"/>
  <c r="BT388" i="2"/>
  <c r="CB388" i="2"/>
  <c r="CJ388" i="2"/>
  <c r="AZ374" i="2"/>
  <c r="BC374" i="2"/>
  <c r="BB374" i="2"/>
  <c r="AZ362" i="2"/>
  <c r="BA374" i="2"/>
  <c r="AZ350" i="2"/>
  <c r="N386" i="2"/>
  <c r="V386" i="2"/>
  <c r="AD386" i="2"/>
  <c r="AL386" i="2"/>
  <c r="BB386" i="2"/>
  <c r="BJ386" i="2"/>
  <c r="BR386" i="2"/>
  <c r="BZ386" i="2"/>
  <c r="CP386" i="2"/>
  <c r="L388" i="2"/>
  <c r="T388" i="2"/>
  <c r="AC388" i="2"/>
  <c r="AL388" i="2"/>
  <c r="AT328" i="2"/>
  <c r="BU388" i="2"/>
  <c r="CK388" i="2"/>
  <c r="X350" i="2"/>
  <c r="X362" i="2"/>
  <c r="CP374" i="2"/>
  <c r="CQ374" i="2"/>
  <c r="CO374" i="2"/>
  <c r="CN374" i="2"/>
  <c r="CN362" i="2"/>
  <c r="CN350" i="2"/>
  <c r="G386" i="2"/>
  <c r="O386" i="2"/>
  <c r="W386" i="2"/>
  <c r="AM386" i="2"/>
  <c r="AU386" i="2"/>
  <c r="BC386" i="2"/>
  <c r="BK386" i="2"/>
  <c r="CA386" i="2"/>
  <c r="CI386" i="2"/>
  <c r="CQ386" i="2"/>
  <c r="D388" i="2"/>
  <c r="M388" i="2"/>
  <c r="AD388" i="2"/>
  <c r="BL388" i="2"/>
  <c r="AR350" i="2"/>
  <c r="AR362" i="2"/>
  <c r="H386" i="2"/>
  <c r="P326" i="2"/>
  <c r="X386" i="2"/>
  <c r="AF386" i="2"/>
  <c r="AN386" i="2"/>
  <c r="AV386" i="2"/>
  <c r="BD326" i="2"/>
  <c r="BL386" i="2"/>
  <c r="BT386" i="2"/>
  <c r="CB386" i="2"/>
  <c r="CJ386" i="2"/>
  <c r="CR326" i="2"/>
  <c r="E388" i="2"/>
  <c r="E400" i="2" s="1"/>
  <c r="N388" i="2"/>
  <c r="V388" i="2"/>
  <c r="Z328" i="2"/>
  <c r="AF388" i="2"/>
  <c r="AN388" i="2"/>
  <c r="AV388" i="2"/>
  <c r="BE388" i="2"/>
  <c r="BM388" i="2"/>
  <c r="CN388" i="2"/>
  <c r="H350" i="2"/>
  <c r="H362" i="2"/>
  <c r="CF362" i="2"/>
  <c r="CF350" i="2"/>
  <c r="I386" i="2"/>
  <c r="Q386" i="2"/>
  <c r="Y386" i="2"/>
  <c r="AG386" i="2"/>
  <c r="AO326" i="2"/>
  <c r="AW386" i="2"/>
  <c r="BE386" i="2"/>
  <c r="BM386" i="2"/>
  <c r="BU386" i="2"/>
  <c r="CC326" i="2"/>
  <c r="CK386" i="2"/>
  <c r="F328" i="2"/>
  <c r="AG388" i="2"/>
  <c r="AO328" i="2"/>
  <c r="AW388" i="2"/>
  <c r="BX328" i="2"/>
  <c r="CF388" i="2"/>
  <c r="CO388" i="2"/>
  <c r="AB362" i="2"/>
  <c r="AB350" i="2"/>
  <c r="G362" i="2"/>
  <c r="J374" i="2"/>
  <c r="I374" i="2"/>
  <c r="H374" i="2"/>
  <c r="G374" i="2"/>
  <c r="AU362" i="2"/>
  <c r="AX374" i="2"/>
  <c r="AW374" i="2"/>
  <c r="AV374" i="2"/>
  <c r="AU374" i="2"/>
  <c r="CI362" i="2"/>
  <c r="CL374" i="2"/>
  <c r="CK374" i="2"/>
  <c r="CJ374" i="2"/>
  <c r="CI374" i="2"/>
  <c r="BA364" i="2"/>
  <c r="BA352" i="2"/>
  <c r="BR364" i="2"/>
  <c r="BR352" i="2"/>
  <c r="CA364" i="2"/>
  <c r="CA352" i="2"/>
  <c r="CJ364" i="2"/>
  <c r="CJ352" i="2"/>
  <c r="J352" i="2"/>
  <c r="BH364" i="2"/>
  <c r="AV362" i="2"/>
  <c r="AV350" i="2"/>
  <c r="BL362" i="2"/>
  <c r="BL350" i="2"/>
  <c r="BW374" i="2"/>
  <c r="BV374" i="2"/>
  <c r="BU374" i="2"/>
  <c r="BT374" i="2"/>
  <c r="BT362" i="2"/>
  <c r="BT350" i="2"/>
  <c r="CB350" i="2"/>
  <c r="CB362" i="2"/>
  <c r="CJ362" i="2"/>
  <c r="CJ350" i="2"/>
  <c r="AA376" i="2"/>
  <c r="AA364" i="2"/>
  <c r="AD376" i="2"/>
  <c r="AC376" i="2"/>
  <c r="AB376" i="2"/>
  <c r="AA352" i="2"/>
  <c r="AS364" i="2"/>
  <c r="AS352" i="2"/>
  <c r="BB364" i="2"/>
  <c r="BB352" i="2"/>
  <c r="BM376" i="2"/>
  <c r="BL376" i="2"/>
  <c r="BJ376" i="2"/>
  <c r="BJ364" i="2"/>
  <c r="BK376" i="2"/>
  <c r="BJ352" i="2"/>
  <c r="CB364" i="2"/>
  <c r="CB352" i="2"/>
  <c r="BK350" i="2"/>
  <c r="CQ350" i="2"/>
  <c r="M352" i="2"/>
  <c r="CF364" i="2"/>
  <c r="I350" i="2"/>
  <c r="I362" i="2"/>
  <c r="T374" i="2"/>
  <c r="S374" i="2"/>
  <c r="R374" i="2"/>
  <c r="Q374" i="2"/>
  <c r="Q362" i="2"/>
  <c r="Q350" i="2"/>
  <c r="Y350" i="2"/>
  <c r="Y362" i="2"/>
  <c r="AG362" i="2"/>
  <c r="AG350" i="2"/>
  <c r="AW362" i="2"/>
  <c r="AW350" i="2"/>
  <c r="BH374" i="2"/>
  <c r="BG374" i="2"/>
  <c r="BF374" i="2"/>
  <c r="BE374" i="2"/>
  <c r="BE350" i="2"/>
  <c r="BE362" i="2"/>
  <c r="BM362" i="2"/>
  <c r="BM350" i="2"/>
  <c r="BU350" i="2"/>
  <c r="CK362" i="2"/>
  <c r="CK350" i="2"/>
  <c r="AN376" i="2"/>
  <c r="AL376" i="2"/>
  <c r="AK376" i="2"/>
  <c r="AK364" i="2"/>
  <c r="AM376" i="2"/>
  <c r="BK364" i="2"/>
  <c r="BK352" i="2"/>
  <c r="BW376" i="2"/>
  <c r="BV376" i="2"/>
  <c r="BU376" i="2"/>
  <c r="BT376" i="2"/>
  <c r="BT364" i="2"/>
  <c r="BT352" i="2"/>
  <c r="S352" i="2"/>
  <c r="BC352" i="2"/>
  <c r="G388" i="2"/>
  <c r="O388" i="2"/>
  <c r="W388" i="2"/>
  <c r="AM388" i="2"/>
  <c r="AU388" i="2"/>
  <c r="BC388" i="2"/>
  <c r="BK388" i="2"/>
  <c r="CA388" i="2"/>
  <c r="CI388" i="2"/>
  <c r="CQ388" i="2"/>
  <c r="J362" i="2"/>
  <c r="J350" i="2"/>
  <c r="R362" i="2"/>
  <c r="R350" i="2"/>
  <c r="AH362" i="2"/>
  <c r="AH350" i="2"/>
  <c r="AR374" i="2"/>
  <c r="AQ374" i="2"/>
  <c r="AP374" i="2"/>
  <c r="AP362" i="2"/>
  <c r="AP350" i="2"/>
  <c r="AS374" i="2"/>
  <c r="AX362" i="2"/>
  <c r="AX350" i="2"/>
  <c r="BF362" i="2"/>
  <c r="BF350" i="2"/>
  <c r="BV362" i="2"/>
  <c r="BV350" i="2"/>
  <c r="CG374" i="2"/>
  <c r="CF374" i="2"/>
  <c r="CE374" i="2"/>
  <c r="CD374" i="2"/>
  <c r="CD362" i="2"/>
  <c r="CD350" i="2"/>
  <c r="CL362" i="2"/>
  <c r="CL350" i="2"/>
  <c r="D352" i="2"/>
  <c r="L352" i="2"/>
  <c r="AC364" i="2"/>
  <c r="AC352" i="2"/>
  <c r="AL364" i="2"/>
  <c r="AL352" i="2"/>
  <c r="AX376" i="2"/>
  <c r="AW376" i="2"/>
  <c r="AV376" i="2"/>
  <c r="AU376" i="2"/>
  <c r="AU364" i="2"/>
  <c r="AU352" i="2"/>
  <c r="G350" i="2"/>
  <c r="AM350" i="2"/>
  <c r="S350" i="2"/>
  <c r="S362" i="2"/>
  <c r="AB374" i="2"/>
  <c r="AA374" i="2"/>
  <c r="AD374" i="2"/>
  <c r="AA350" i="2"/>
  <c r="AA362" i="2"/>
  <c r="AI350" i="2"/>
  <c r="AI362" i="2"/>
  <c r="AQ350" i="2"/>
  <c r="AQ362" i="2"/>
  <c r="BG350" i="2"/>
  <c r="BG362" i="2"/>
  <c r="BP374" i="2"/>
  <c r="BO374" i="2"/>
  <c r="BR374" i="2"/>
  <c r="BO350" i="2"/>
  <c r="BO362" i="2"/>
  <c r="BW350" i="2"/>
  <c r="BW362" i="2"/>
  <c r="CE350" i="2"/>
  <c r="CE362" i="2"/>
  <c r="AD364" i="2"/>
  <c r="AD352" i="2"/>
  <c r="AM364" i="2"/>
  <c r="AM352" i="2"/>
  <c r="AV364" i="2"/>
  <c r="AV352" i="2"/>
  <c r="CO364" i="2"/>
  <c r="CO352" i="2"/>
  <c r="AB352" i="2"/>
  <c r="BL352" i="2"/>
  <c r="BU362" i="2"/>
  <c r="AC374" i="2"/>
  <c r="N364" i="2"/>
  <c r="N352" i="2"/>
  <c r="Y376" i="2"/>
  <c r="X376" i="2"/>
  <c r="V376" i="2"/>
  <c r="V364" i="2"/>
  <c r="W376" i="2"/>
  <c r="CG364" i="2"/>
  <c r="CG352" i="2"/>
  <c r="CP364" i="2"/>
  <c r="CP352" i="2"/>
  <c r="O350" i="2"/>
  <c r="AU350" i="2"/>
  <c r="CA350" i="2"/>
  <c r="BQ374" i="2"/>
  <c r="B388" i="2"/>
  <c r="J388" i="2"/>
  <c r="R388" i="2"/>
  <c r="AH388" i="2"/>
  <c r="AP388" i="2"/>
  <c r="AX388" i="2"/>
  <c r="BF388" i="2"/>
  <c r="BV388" i="2"/>
  <c r="CD388" i="2"/>
  <c r="CL388" i="2"/>
  <c r="E350" i="2"/>
  <c r="M362" i="2"/>
  <c r="M350" i="2"/>
  <c r="AC362" i="2"/>
  <c r="AC350" i="2"/>
  <c r="AK362" i="2"/>
  <c r="AN374" i="2"/>
  <c r="AM374" i="2"/>
  <c r="AL374" i="2"/>
  <c r="AK374" i="2"/>
  <c r="AK350" i="2"/>
  <c r="AS362" i="2"/>
  <c r="AS350" i="2"/>
  <c r="BA362" i="2"/>
  <c r="BA350" i="2"/>
  <c r="BQ362" i="2"/>
  <c r="BQ350" i="2"/>
  <c r="BZ374" i="2"/>
  <c r="BY362" i="2"/>
  <c r="CB374" i="2"/>
  <c r="CA374" i="2"/>
  <c r="BY374" i="2"/>
  <c r="BY350" i="2"/>
  <c r="CG362" i="2"/>
  <c r="CG350" i="2"/>
  <c r="CO362" i="2"/>
  <c r="CO350" i="2"/>
  <c r="J376" i="2"/>
  <c r="I376" i="2"/>
  <c r="H376" i="2"/>
  <c r="G364" i="2"/>
  <c r="G352" i="2"/>
  <c r="O364" i="2"/>
  <c r="O352" i="2"/>
  <c r="W364" i="2"/>
  <c r="W352" i="2"/>
  <c r="AI376" i="2"/>
  <c r="AH376" i="2"/>
  <c r="AG376" i="2"/>
  <c r="AF376" i="2"/>
  <c r="AF364" i="2"/>
  <c r="AF352" i="2"/>
  <c r="AP352" i="2"/>
  <c r="BP364" i="2"/>
  <c r="CB376" i="2"/>
  <c r="BZ376" i="2"/>
  <c r="CA376" i="2"/>
  <c r="BY376" i="2"/>
  <c r="BY364" i="2"/>
  <c r="AK352" i="2"/>
  <c r="C388" i="2"/>
  <c r="C400" i="2" s="1"/>
  <c r="K328" i="2"/>
  <c r="S388" i="2"/>
  <c r="AA388" i="2"/>
  <c r="AI388" i="2"/>
  <c r="AQ388" i="2"/>
  <c r="AY328" i="2"/>
  <c r="BG388" i="2"/>
  <c r="BO388" i="2"/>
  <c r="BW388" i="2"/>
  <c r="CE388" i="2"/>
  <c r="CM328" i="2"/>
  <c r="N362" i="2"/>
  <c r="N350" i="2"/>
  <c r="V362" i="2"/>
  <c r="Y374" i="2"/>
  <c r="X374" i="2"/>
  <c r="W374" i="2"/>
  <c r="V374" i="2"/>
  <c r="V350" i="2"/>
  <c r="AD362" i="2"/>
  <c r="AD350" i="2"/>
  <c r="AL362" i="2"/>
  <c r="AL350" i="2"/>
  <c r="BB362" i="2"/>
  <c r="BB350" i="2"/>
  <c r="BJ362" i="2"/>
  <c r="BM374" i="2"/>
  <c r="BL374" i="2"/>
  <c r="BK374" i="2"/>
  <c r="BJ374" i="2"/>
  <c r="BJ350" i="2"/>
  <c r="BR362" i="2"/>
  <c r="BR350" i="2"/>
  <c r="BZ362" i="2"/>
  <c r="BZ350" i="2"/>
  <c r="CP362" i="2"/>
  <c r="CP350" i="2"/>
  <c r="H364" i="2"/>
  <c r="H352" i="2"/>
  <c r="X364" i="2"/>
  <c r="X352" i="2"/>
  <c r="BQ364" i="2"/>
  <c r="BQ352" i="2"/>
  <c r="BZ364" i="2"/>
  <c r="BZ352" i="2"/>
  <c r="W350" i="2"/>
  <c r="BC350" i="2"/>
  <c r="CI350" i="2"/>
  <c r="AN352" i="2"/>
  <c r="BY352" i="2"/>
  <c r="AB364" i="2"/>
  <c r="T352" i="2"/>
  <c r="CL376" i="2"/>
  <c r="CK376" i="2"/>
  <c r="CJ376" i="2"/>
  <c r="CI364" i="2"/>
  <c r="CI376" i="2"/>
  <c r="I352" i="2"/>
  <c r="I364" i="2"/>
  <c r="S376" i="2"/>
  <c r="R376" i="2"/>
  <c r="Q376" i="2"/>
  <c r="Q352" i="2"/>
  <c r="T376" i="2"/>
  <c r="Q364" i="2"/>
  <c r="Y352" i="2"/>
  <c r="Y364" i="2"/>
  <c r="AG352" i="2"/>
  <c r="AG364" i="2"/>
  <c r="AW352" i="2"/>
  <c r="AW364" i="2"/>
  <c r="BG376" i="2"/>
  <c r="BF376" i="2"/>
  <c r="BE376" i="2"/>
  <c r="BH376" i="2"/>
  <c r="BE352" i="2"/>
  <c r="BE364" i="2"/>
  <c r="BM352" i="2"/>
  <c r="BM364" i="2"/>
  <c r="BU352" i="2"/>
  <c r="BU364" i="2"/>
  <c r="CK352" i="2"/>
  <c r="CK364" i="2"/>
  <c r="CI352" i="2"/>
  <c r="AH364" i="2"/>
  <c r="AQ376" i="2"/>
  <c r="AP376" i="2"/>
  <c r="AP364" i="2"/>
  <c r="AS376" i="2"/>
  <c r="AR376" i="2"/>
  <c r="AX364" i="2"/>
  <c r="BF364" i="2"/>
  <c r="BV364" i="2"/>
  <c r="CE376" i="2"/>
  <c r="CD376" i="2"/>
  <c r="CD364" i="2"/>
  <c r="CG376" i="2"/>
  <c r="CL364" i="2"/>
  <c r="AH352" i="2"/>
  <c r="AI364" i="2"/>
  <c r="AQ364" i="2"/>
  <c r="BG364" i="2"/>
  <c r="BO376" i="2"/>
  <c r="BR376" i="2"/>
  <c r="BO364" i="2"/>
  <c r="BQ376" i="2"/>
  <c r="BP376" i="2"/>
  <c r="BW364" i="2"/>
  <c r="CE364" i="2"/>
  <c r="AI352" i="2"/>
  <c r="AR352" i="2"/>
  <c r="CL352" i="2"/>
  <c r="O376" i="2"/>
  <c r="N376" i="2"/>
  <c r="M376" i="2"/>
  <c r="L376" i="2"/>
  <c r="BB376" i="2"/>
  <c r="BC376" i="2"/>
  <c r="BA376" i="2"/>
  <c r="AZ376" i="2"/>
  <c r="CP376" i="2"/>
  <c r="CQ376" i="2"/>
  <c r="CO376" i="2"/>
  <c r="CN376" i="2"/>
  <c r="R352" i="2"/>
  <c r="CD352" i="2"/>
  <c r="L364" i="2"/>
  <c r="AZ364" i="2"/>
  <c r="CF376" i="2"/>
  <c r="CJ294" i="2" l="1"/>
  <c r="E211" i="2"/>
  <c r="J157" i="2"/>
  <c r="AW189" i="2"/>
  <c r="AW294" i="2"/>
  <c r="CC298" i="2"/>
  <c r="CC294" i="2"/>
  <c r="CI189" i="2"/>
  <c r="CI294" i="2"/>
  <c r="CQ275" i="2"/>
  <c r="CQ262" i="2"/>
  <c r="U147" i="2"/>
  <c r="U115" i="2"/>
  <c r="BI115" i="2"/>
  <c r="BI83" i="2"/>
  <c r="BI147" i="2"/>
  <c r="CJ262" i="2"/>
  <c r="CL294" i="2"/>
  <c r="CQ125" i="2"/>
  <c r="BG189" i="2"/>
  <c r="BG294" i="2"/>
  <c r="CF93" i="2"/>
  <c r="CE294" i="2"/>
  <c r="BQ275" i="2"/>
  <c r="BQ262" i="2"/>
  <c r="BY275" i="2"/>
  <c r="BY262" i="2"/>
  <c r="M307" i="2"/>
  <c r="M294" i="2"/>
  <c r="BP275" i="2"/>
  <c r="BP262" i="2"/>
  <c r="BZ275" i="2"/>
  <c r="BZ262" i="2"/>
  <c r="W93" i="2"/>
  <c r="V307" i="2"/>
  <c r="AL294" i="2"/>
  <c r="AM93" i="2"/>
  <c r="BJ294" i="2"/>
  <c r="BK93" i="2"/>
  <c r="BZ307" i="2"/>
  <c r="BZ294" i="2"/>
  <c r="AE317" i="2"/>
  <c r="AE296" i="2"/>
  <c r="AE313" i="2"/>
  <c r="AE315" i="2"/>
  <c r="AE300" i="2"/>
  <c r="AE305" i="2"/>
  <c r="AE309" i="2"/>
  <c r="AE297" i="2"/>
  <c r="AE294" i="2"/>
  <c r="AE301" i="2"/>
  <c r="AE308" i="2"/>
  <c r="AE299" i="2"/>
  <c r="AE295" i="2"/>
  <c r="AE311" i="2"/>
  <c r="AE298" i="2"/>
  <c r="AE303" i="2"/>
  <c r="AW253" i="2"/>
  <c r="H398" i="2"/>
  <c r="H410" i="2"/>
  <c r="N313" i="2"/>
  <c r="N315" i="2"/>
  <c r="N317" i="2"/>
  <c r="N300" i="2"/>
  <c r="N305" i="2"/>
  <c r="N301" i="2"/>
  <c r="N295" i="2"/>
  <c r="N303" i="2"/>
  <c r="N299" i="2"/>
  <c r="N296" i="2"/>
  <c r="N297" i="2"/>
  <c r="N311" i="2"/>
  <c r="N308" i="2"/>
  <c r="N309" i="2"/>
  <c r="N298" i="2"/>
  <c r="N125" i="2"/>
  <c r="N93" i="2"/>
  <c r="AR363" i="2"/>
  <c r="AR351" i="2"/>
  <c r="AE362" i="2"/>
  <c r="AE374" i="2"/>
  <c r="AE350" i="2"/>
  <c r="F337" i="2"/>
  <c r="F61" i="2"/>
  <c r="F294" i="2" s="1"/>
  <c r="V273" i="2"/>
  <c r="V277" i="2"/>
  <c r="V281" i="2"/>
  <c r="V283" i="2"/>
  <c r="V263" i="2"/>
  <c r="V264" i="2"/>
  <c r="V285" i="2"/>
  <c r="V276" i="2"/>
  <c r="V265" i="2"/>
  <c r="V279" i="2"/>
  <c r="V269" i="2"/>
  <c r="V266" i="2"/>
  <c r="V271" i="2"/>
  <c r="V267" i="2"/>
  <c r="V268" i="2"/>
  <c r="V189" i="2"/>
  <c r="BD249" i="2"/>
  <c r="BD217" i="2"/>
  <c r="CH245" i="2"/>
  <c r="CH213" i="2"/>
  <c r="U244" i="2"/>
  <c r="U212" i="2"/>
  <c r="BX179" i="2"/>
  <c r="AB387" i="2"/>
  <c r="D387" i="2"/>
  <c r="AT239" i="2"/>
  <c r="AT207" i="2"/>
  <c r="BX236" i="2"/>
  <c r="BX204" i="2"/>
  <c r="K203" i="2"/>
  <c r="K235" i="2"/>
  <c r="AO233" i="2"/>
  <c r="AO201" i="2"/>
  <c r="BS231" i="2"/>
  <c r="BS199" i="2"/>
  <c r="BZ230" i="2"/>
  <c r="BZ198" i="2"/>
  <c r="BJ385" i="2"/>
  <c r="BN325" i="2"/>
  <c r="BJ329" i="2"/>
  <c r="AD230" i="2"/>
  <c r="AD198" i="2"/>
  <c r="N385" i="2"/>
  <c r="N329" i="2"/>
  <c r="N421" i="2" s="1"/>
  <c r="BP361" i="2"/>
  <c r="BP341" i="2"/>
  <c r="BP349" i="2"/>
  <c r="D341" i="2"/>
  <c r="D349" i="2"/>
  <c r="CH249" i="2"/>
  <c r="CH217" i="2"/>
  <c r="K244" i="2"/>
  <c r="K212" i="2"/>
  <c r="AP243" i="2"/>
  <c r="AP211" i="2"/>
  <c r="B387" i="2"/>
  <c r="F327" i="2"/>
  <c r="BP385" i="2"/>
  <c r="BP329" i="2"/>
  <c r="BP421" i="2" s="1"/>
  <c r="AK311" i="2"/>
  <c r="AK313" i="2"/>
  <c r="AK315" i="2"/>
  <c r="AK317" i="2"/>
  <c r="AK303" i="2"/>
  <c r="AK299" i="2"/>
  <c r="AK300" i="2"/>
  <c r="AK301" i="2"/>
  <c r="AK309" i="2"/>
  <c r="AK305" i="2"/>
  <c r="AK295" i="2"/>
  <c r="AK308" i="2"/>
  <c r="AK296" i="2"/>
  <c r="AK297" i="2"/>
  <c r="AK298" i="2"/>
  <c r="AN157" i="2"/>
  <c r="AM157" i="2"/>
  <c r="AK93" i="2"/>
  <c r="AL157" i="2"/>
  <c r="AK157" i="2"/>
  <c r="AK125" i="2"/>
  <c r="CM376" i="2"/>
  <c r="CM364" i="2"/>
  <c r="CM352" i="2"/>
  <c r="AK285" i="2"/>
  <c r="AK271" i="2"/>
  <c r="AK276" i="2"/>
  <c r="AK279" i="2"/>
  <c r="AK281" i="2"/>
  <c r="AK269" i="2"/>
  <c r="AK277" i="2"/>
  <c r="AK273" i="2"/>
  <c r="AK263" i="2"/>
  <c r="AK264" i="2"/>
  <c r="AK265" i="2"/>
  <c r="AK266" i="2"/>
  <c r="AK267" i="2"/>
  <c r="AK283" i="2"/>
  <c r="AK268" i="2"/>
  <c r="AK189" i="2"/>
  <c r="CM249" i="2"/>
  <c r="CM217" i="2"/>
  <c r="Z247" i="2"/>
  <c r="Z215" i="2"/>
  <c r="BD244" i="2"/>
  <c r="BD212" i="2"/>
  <c r="AQ243" i="2"/>
  <c r="AQ211" i="2"/>
  <c r="AA387" i="2"/>
  <c r="AE327" i="2"/>
  <c r="AS230" i="2"/>
  <c r="AS198" i="2"/>
  <c r="AC385" i="2"/>
  <c r="AC329" i="2"/>
  <c r="AC421" i="2" s="1"/>
  <c r="AT249" i="2"/>
  <c r="AT217" i="2"/>
  <c r="CD243" i="2"/>
  <c r="CD211" i="2"/>
  <c r="J243" i="2"/>
  <c r="J211" i="2"/>
  <c r="BX166" i="2"/>
  <c r="BX29" i="2"/>
  <c r="BX275" i="2" s="1"/>
  <c r="CH212" i="2"/>
  <c r="CH244" i="2"/>
  <c r="BS207" i="2"/>
  <c r="BS239" i="2"/>
  <c r="CR231" i="2"/>
  <c r="CR199" i="2"/>
  <c r="BH309" i="2"/>
  <c r="BH311" i="2"/>
  <c r="BH313" i="2"/>
  <c r="BH315" i="2"/>
  <c r="BH317" i="2"/>
  <c r="BH298" i="2"/>
  <c r="BH308" i="2"/>
  <c r="BH305" i="2"/>
  <c r="BH299" i="2"/>
  <c r="BH300" i="2"/>
  <c r="BH301" i="2"/>
  <c r="BH303" i="2"/>
  <c r="BH296" i="2"/>
  <c r="BH297" i="2"/>
  <c r="BH295" i="2"/>
  <c r="BH125" i="2"/>
  <c r="BH93" i="2"/>
  <c r="BB373" i="2"/>
  <c r="BA373" i="2"/>
  <c r="AZ373" i="2"/>
  <c r="AZ361" i="2"/>
  <c r="AZ341" i="2"/>
  <c r="AZ349" i="2"/>
  <c r="BC373" i="2"/>
  <c r="BI247" i="2"/>
  <c r="BI215" i="2"/>
  <c r="CM237" i="2"/>
  <c r="CM205" i="2"/>
  <c r="AZ385" i="2"/>
  <c r="AZ329" i="2"/>
  <c r="BD325" i="2"/>
  <c r="AA308" i="2"/>
  <c r="AA309" i="2"/>
  <c r="AA311" i="2"/>
  <c r="AA313" i="2"/>
  <c r="AA315" i="2"/>
  <c r="AA297" i="2"/>
  <c r="AA303" i="2"/>
  <c r="AA298" i="2"/>
  <c r="AA299" i="2"/>
  <c r="AA300" i="2"/>
  <c r="AA301" i="2"/>
  <c r="AA317" i="2"/>
  <c r="AA305" i="2"/>
  <c r="AA295" i="2"/>
  <c r="AA296" i="2"/>
  <c r="AA125" i="2"/>
  <c r="AD157" i="2"/>
  <c r="AC157" i="2"/>
  <c r="AA93" i="2"/>
  <c r="AB157" i="2"/>
  <c r="AA157" i="2"/>
  <c r="BM363" i="2"/>
  <c r="BM351" i="2"/>
  <c r="Y351" i="2"/>
  <c r="Y363" i="2"/>
  <c r="BD374" i="2"/>
  <c r="BD350" i="2"/>
  <c r="BD362" i="2"/>
  <c r="CE281" i="2"/>
  <c r="CE283" i="2"/>
  <c r="CE285" i="2"/>
  <c r="CE273" i="2"/>
  <c r="CE276" i="2"/>
  <c r="CE277" i="2"/>
  <c r="CE267" i="2"/>
  <c r="CE268" i="2"/>
  <c r="CE263" i="2"/>
  <c r="CE279" i="2"/>
  <c r="CE264" i="2"/>
  <c r="CE269" i="2"/>
  <c r="CE265" i="2"/>
  <c r="CE266" i="2"/>
  <c r="CE271" i="2"/>
  <c r="CE189" i="2"/>
  <c r="AO249" i="2"/>
  <c r="AO217" i="2"/>
  <c r="BS245" i="2"/>
  <c r="BS213" i="2"/>
  <c r="BU387" i="2"/>
  <c r="AA385" i="2"/>
  <c r="AA329" i="2"/>
  <c r="AA421" i="2" s="1"/>
  <c r="AE325" i="2"/>
  <c r="R309" i="2"/>
  <c r="R311" i="2"/>
  <c r="R313" i="2"/>
  <c r="R296" i="2"/>
  <c r="R303" i="2"/>
  <c r="R317" i="2"/>
  <c r="R299" i="2"/>
  <c r="R308" i="2"/>
  <c r="R300" i="2"/>
  <c r="R315" i="2"/>
  <c r="R297" i="2"/>
  <c r="R298" i="2"/>
  <c r="R305" i="2"/>
  <c r="R301" i="2"/>
  <c r="R295" i="2"/>
  <c r="R125" i="2"/>
  <c r="R93" i="2"/>
  <c r="AJ376" i="2"/>
  <c r="AJ352" i="2"/>
  <c r="AJ364" i="2"/>
  <c r="CJ363" i="2"/>
  <c r="CJ351" i="2"/>
  <c r="AV363" i="2"/>
  <c r="AV351" i="2"/>
  <c r="H363" i="2"/>
  <c r="H351" i="2"/>
  <c r="R341" i="2"/>
  <c r="R349" i="2"/>
  <c r="R361" i="2"/>
  <c r="BV279" i="2"/>
  <c r="BV281" i="2"/>
  <c r="BV283" i="2"/>
  <c r="BV285" i="2"/>
  <c r="BV271" i="2"/>
  <c r="BV276" i="2"/>
  <c r="BV266" i="2"/>
  <c r="BV267" i="2"/>
  <c r="BV268" i="2"/>
  <c r="BV277" i="2"/>
  <c r="BV269" i="2"/>
  <c r="BV263" i="2"/>
  <c r="BV273" i="2"/>
  <c r="BV264" i="2"/>
  <c r="BV265" i="2"/>
  <c r="BV189" i="2"/>
  <c r="BI251" i="2"/>
  <c r="BI219" i="2"/>
  <c r="CM215" i="2"/>
  <c r="CM247" i="2"/>
  <c r="Z245" i="2"/>
  <c r="Z213" i="2"/>
  <c r="CJ387" i="2"/>
  <c r="AF243" i="2"/>
  <c r="AF211" i="2"/>
  <c r="H387" i="2"/>
  <c r="CD230" i="2"/>
  <c r="CD198" i="2"/>
  <c r="BF385" i="2"/>
  <c r="BF329" i="2"/>
  <c r="W363" i="2"/>
  <c r="W351" i="2"/>
  <c r="AE376" i="2"/>
  <c r="AE364" i="2"/>
  <c r="AE352" i="2"/>
  <c r="AN317" i="2"/>
  <c r="AN303" i="2"/>
  <c r="AN309" i="2"/>
  <c r="AN313" i="2"/>
  <c r="AN305" i="2"/>
  <c r="AN297" i="2"/>
  <c r="AN311" i="2"/>
  <c r="AN308" i="2"/>
  <c r="AN315" i="2"/>
  <c r="AN300" i="2"/>
  <c r="AN298" i="2"/>
  <c r="AN299" i="2"/>
  <c r="AN295" i="2"/>
  <c r="AN301" i="2"/>
  <c r="AN296" i="2"/>
  <c r="AN125" i="2"/>
  <c r="AN93" i="2"/>
  <c r="BN376" i="2"/>
  <c r="BN364" i="2"/>
  <c r="BN352" i="2"/>
  <c r="AL351" i="2"/>
  <c r="AL363" i="2"/>
  <c r="AN276" i="2"/>
  <c r="AN277" i="2"/>
  <c r="AN281" i="2"/>
  <c r="AN285" i="2"/>
  <c r="AN273" i="2"/>
  <c r="AN264" i="2"/>
  <c r="AN265" i="2"/>
  <c r="AN266" i="2"/>
  <c r="AN267" i="2"/>
  <c r="AN268" i="2"/>
  <c r="AN279" i="2"/>
  <c r="AN283" i="2"/>
  <c r="AN269" i="2"/>
  <c r="AN271" i="2"/>
  <c r="AN263" i="2"/>
  <c r="AN189" i="2"/>
  <c r="K251" i="2"/>
  <c r="K219" i="2"/>
  <c r="AO247" i="2"/>
  <c r="AO215" i="2"/>
  <c r="BS244" i="2"/>
  <c r="BS212" i="2"/>
  <c r="BB243" i="2"/>
  <c r="BB211" i="2"/>
  <c r="AD387" i="2"/>
  <c r="AN230" i="2"/>
  <c r="AN198" i="2"/>
  <c r="X385" i="2"/>
  <c r="X329" i="2"/>
  <c r="AM361" i="2"/>
  <c r="AM349" i="2"/>
  <c r="AM341" i="2"/>
  <c r="CC179" i="2"/>
  <c r="Y385" i="2"/>
  <c r="Y329" i="2"/>
  <c r="Z244" i="2"/>
  <c r="Z212" i="2"/>
  <c r="E351" i="2"/>
  <c r="BS285" i="2"/>
  <c r="BM305" i="2"/>
  <c r="BM308" i="2"/>
  <c r="BM309" i="2"/>
  <c r="BM311" i="2"/>
  <c r="BM303" i="2"/>
  <c r="BM295" i="2"/>
  <c r="BM317" i="2"/>
  <c r="BM298" i="2"/>
  <c r="BM315" i="2"/>
  <c r="BM299" i="2"/>
  <c r="BM300" i="2"/>
  <c r="BM301" i="2"/>
  <c r="BM297" i="2"/>
  <c r="BM313" i="2"/>
  <c r="BM296" i="2"/>
  <c r="BM125" i="2"/>
  <c r="BM93" i="2"/>
  <c r="AB93" i="2"/>
  <c r="BX337" i="2"/>
  <c r="BX102" i="2"/>
  <c r="BX134" i="2"/>
  <c r="BX61" i="2"/>
  <c r="BX294" i="2" s="1"/>
  <c r="BX70" i="2"/>
  <c r="AE285" i="2"/>
  <c r="AE189" i="2"/>
  <c r="AT179" i="2"/>
  <c r="AJ237" i="2"/>
  <c r="AJ205" i="2"/>
  <c r="BN235" i="2"/>
  <c r="BN203" i="2"/>
  <c r="CR233" i="2"/>
  <c r="CR201" i="2"/>
  <c r="AE200" i="2"/>
  <c r="AE232" i="2"/>
  <c r="CM166" i="2"/>
  <c r="CM29" i="2"/>
  <c r="CM275" i="2" s="1"/>
  <c r="AE262" i="2"/>
  <c r="BI249" i="2"/>
  <c r="BI217" i="2"/>
  <c r="CK305" i="2"/>
  <c r="CK308" i="2"/>
  <c r="CK309" i="2"/>
  <c r="CK311" i="2"/>
  <c r="CK317" i="2"/>
  <c r="CK295" i="2"/>
  <c r="CK315" i="2"/>
  <c r="CK303" i="2"/>
  <c r="CK298" i="2"/>
  <c r="CK299" i="2"/>
  <c r="CK296" i="2"/>
  <c r="CK297" i="2"/>
  <c r="CK313" i="2"/>
  <c r="CK301" i="2"/>
  <c r="CK300" i="2"/>
  <c r="CK125" i="2"/>
  <c r="CK93" i="2"/>
  <c r="BD179" i="2"/>
  <c r="BE385" i="2"/>
  <c r="BE329" i="2"/>
  <c r="BE421" i="2" s="1"/>
  <c r="BI325" i="2"/>
  <c r="U166" i="2"/>
  <c r="U29" i="2"/>
  <c r="AO337" i="2"/>
  <c r="AO134" i="2"/>
  <c r="AO102" i="2"/>
  <c r="AO61" i="2"/>
  <c r="AO294" i="2" s="1"/>
  <c r="AO70" i="2"/>
  <c r="CA387" i="2"/>
  <c r="BM385" i="2"/>
  <c r="BM329" i="2"/>
  <c r="CM337" i="2"/>
  <c r="CM134" i="2"/>
  <c r="CM102" i="2"/>
  <c r="CM61" i="2"/>
  <c r="CM294" i="2" s="1"/>
  <c r="CM70" i="2"/>
  <c r="CI361" i="2"/>
  <c r="CL373" i="2"/>
  <c r="CK373" i="2"/>
  <c r="CJ373" i="2"/>
  <c r="CI373" i="2"/>
  <c r="CI349" i="2"/>
  <c r="CI341" i="2"/>
  <c r="Y305" i="2"/>
  <c r="Y308" i="2"/>
  <c r="Y311" i="2"/>
  <c r="Y317" i="2"/>
  <c r="Y309" i="2"/>
  <c r="Y295" i="2"/>
  <c r="Y315" i="2"/>
  <c r="Y303" i="2"/>
  <c r="Y298" i="2"/>
  <c r="Y299" i="2"/>
  <c r="Y313" i="2"/>
  <c r="Y296" i="2"/>
  <c r="Y297" i="2"/>
  <c r="Y301" i="2"/>
  <c r="Y300" i="2"/>
  <c r="Y125" i="2"/>
  <c r="Y93" i="2"/>
  <c r="CM388" i="2"/>
  <c r="AM412" i="2"/>
  <c r="AM400" i="2"/>
  <c r="AM398" i="2"/>
  <c r="AM410" i="2"/>
  <c r="BZ412" i="2"/>
  <c r="BZ400" i="2"/>
  <c r="CE412" i="2"/>
  <c r="CE400" i="2"/>
  <c r="AP412" i="2"/>
  <c r="AP400" i="2"/>
  <c r="CF400" i="2"/>
  <c r="CF412" i="2"/>
  <c r="BE410" i="2"/>
  <c r="BE398" i="2"/>
  <c r="AN410" i="2"/>
  <c r="AN398" i="2"/>
  <c r="BR410" i="2"/>
  <c r="BR398" i="2"/>
  <c r="CG410" i="2"/>
  <c r="CG398" i="2"/>
  <c r="AR400" i="2"/>
  <c r="AR412" i="2"/>
  <c r="CF410" i="2"/>
  <c r="CF398" i="2"/>
  <c r="AR410" i="2"/>
  <c r="AR398" i="2"/>
  <c r="BF398" i="2"/>
  <c r="BF410" i="2"/>
  <c r="AJ386" i="2"/>
  <c r="U388" i="2"/>
  <c r="BZ313" i="2"/>
  <c r="BZ315" i="2"/>
  <c r="BZ317" i="2"/>
  <c r="BZ300" i="2"/>
  <c r="BZ305" i="2"/>
  <c r="BZ301" i="2"/>
  <c r="BZ309" i="2"/>
  <c r="BZ295" i="2"/>
  <c r="BZ303" i="2"/>
  <c r="BZ308" i="2"/>
  <c r="BZ299" i="2"/>
  <c r="BZ296" i="2"/>
  <c r="BZ297" i="2"/>
  <c r="BZ298" i="2"/>
  <c r="BZ311" i="2"/>
  <c r="BZ125" i="2"/>
  <c r="BZ93" i="2"/>
  <c r="BX339" i="2"/>
  <c r="BX307" i="2"/>
  <c r="BX147" i="2"/>
  <c r="BX115" i="2"/>
  <c r="BX83" i="2"/>
  <c r="AJ339" i="2"/>
  <c r="AJ147" i="2"/>
  <c r="AJ115" i="2"/>
  <c r="AJ83" i="2"/>
  <c r="BZ361" i="2"/>
  <c r="BZ349" i="2"/>
  <c r="BZ341" i="2"/>
  <c r="CP273" i="2"/>
  <c r="CP277" i="2"/>
  <c r="CP281" i="2"/>
  <c r="CP283" i="2"/>
  <c r="CP276" i="2"/>
  <c r="CP285" i="2"/>
  <c r="CP279" i="2"/>
  <c r="CP263" i="2"/>
  <c r="CP264" i="2"/>
  <c r="CP265" i="2"/>
  <c r="CP266" i="2"/>
  <c r="CP267" i="2"/>
  <c r="CP269" i="2"/>
  <c r="CP268" i="2"/>
  <c r="CP271" i="2"/>
  <c r="CP189" i="2"/>
  <c r="N273" i="2"/>
  <c r="N277" i="2"/>
  <c r="N281" i="2"/>
  <c r="N283" i="2"/>
  <c r="N263" i="2"/>
  <c r="N269" i="2"/>
  <c r="N264" i="2"/>
  <c r="N271" i="2"/>
  <c r="N265" i="2"/>
  <c r="N266" i="2"/>
  <c r="N285" i="2"/>
  <c r="N267" i="2"/>
  <c r="N276" i="2"/>
  <c r="N268" i="2"/>
  <c r="N279" i="2"/>
  <c r="N189" i="2"/>
  <c r="BP243" i="2"/>
  <c r="BP211" i="2"/>
  <c r="AZ387" i="2"/>
  <c r="BD327" i="2"/>
  <c r="T243" i="2"/>
  <c r="T211" i="2"/>
  <c r="BS263" i="2"/>
  <c r="BB230" i="2"/>
  <c r="BB198" i="2"/>
  <c r="F166" i="2"/>
  <c r="F29" i="2"/>
  <c r="J363" i="2"/>
  <c r="J351" i="2"/>
  <c r="CN283" i="2"/>
  <c r="CN269" i="2"/>
  <c r="CN285" i="2"/>
  <c r="CN277" i="2"/>
  <c r="CN279" i="2"/>
  <c r="CN271" i="2"/>
  <c r="CN268" i="2"/>
  <c r="CN281" i="2"/>
  <c r="CN276" i="2"/>
  <c r="CN273" i="2"/>
  <c r="CN263" i="2"/>
  <c r="CN264" i="2"/>
  <c r="CN265" i="2"/>
  <c r="CN266" i="2"/>
  <c r="CN267" i="2"/>
  <c r="CN189" i="2"/>
  <c r="U241" i="2"/>
  <c r="U209" i="2"/>
  <c r="AO235" i="2"/>
  <c r="AO203" i="2"/>
  <c r="U231" i="2"/>
  <c r="U199" i="2"/>
  <c r="AR230" i="2"/>
  <c r="AR198" i="2"/>
  <c r="L385" i="2"/>
  <c r="L329" i="2"/>
  <c r="L421" i="2" s="1"/>
  <c r="P325" i="2"/>
  <c r="AT237" i="2"/>
  <c r="AT205" i="2"/>
  <c r="P231" i="2"/>
  <c r="P199" i="2"/>
  <c r="C198" i="2"/>
  <c r="AC311" i="2"/>
  <c r="AC313" i="2"/>
  <c r="AC315" i="2"/>
  <c r="AC317" i="2"/>
  <c r="AC299" i="2"/>
  <c r="AC300" i="2"/>
  <c r="AC301" i="2"/>
  <c r="AC308" i="2"/>
  <c r="AC305" i="2"/>
  <c r="AC297" i="2"/>
  <c r="AC298" i="2"/>
  <c r="AC309" i="2"/>
  <c r="AC303" i="2"/>
  <c r="AC295" i="2"/>
  <c r="AC296" i="2"/>
  <c r="AC93" i="2"/>
  <c r="AC125" i="2"/>
  <c r="CG341" i="2"/>
  <c r="CG349" i="2"/>
  <c r="CG361" i="2"/>
  <c r="BQ341" i="2"/>
  <c r="BQ349" i="2"/>
  <c r="BQ361" i="2"/>
  <c r="E341" i="2"/>
  <c r="E349" i="2"/>
  <c r="AC285" i="2"/>
  <c r="AC271" i="2"/>
  <c r="AC276" i="2"/>
  <c r="AC279" i="2"/>
  <c r="AC281" i="2"/>
  <c r="AC273" i="2"/>
  <c r="AC283" i="2"/>
  <c r="AC263" i="2"/>
  <c r="AC264" i="2"/>
  <c r="AC265" i="2"/>
  <c r="AC277" i="2"/>
  <c r="AC266" i="2"/>
  <c r="AC267" i="2"/>
  <c r="AC269" i="2"/>
  <c r="AC268" i="2"/>
  <c r="AC189" i="2"/>
  <c r="BW387" i="2"/>
  <c r="S243" i="2"/>
  <c r="S211" i="2"/>
  <c r="Z241" i="2"/>
  <c r="Z209" i="2"/>
  <c r="BD237" i="2"/>
  <c r="BD205" i="2"/>
  <c r="CH235" i="2"/>
  <c r="CH203" i="2"/>
  <c r="U234" i="2"/>
  <c r="U202" i="2"/>
  <c r="AY232" i="2"/>
  <c r="AY200" i="2"/>
  <c r="CO230" i="2"/>
  <c r="CO198" i="2"/>
  <c r="BY385" i="2"/>
  <c r="BY329" i="2"/>
  <c r="CC325" i="2"/>
  <c r="AS262" i="2"/>
  <c r="M230" i="2"/>
  <c r="M198" i="2"/>
  <c r="CD275" i="2"/>
  <c r="BN236" i="2"/>
  <c r="BN204" i="2"/>
  <c r="CH232" i="2"/>
  <c r="CH200" i="2"/>
  <c r="BH230" i="2"/>
  <c r="BH198" i="2"/>
  <c r="BS271" i="2"/>
  <c r="AZ309" i="2"/>
  <c r="AZ311" i="2"/>
  <c r="AZ313" i="2"/>
  <c r="AZ315" i="2"/>
  <c r="AZ317" i="2"/>
  <c r="AZ305" i="2"/>
  <c r="AZ298" i="2"/>
  <c r="AZ299" i="2"/>
  <c r="AZ300" i="2"/>
  <c r="AZ303" i="2"/>
  <c r="AZ301" i="2"/>
  <c r="AZ295" i="2"/>
  <c r="AZ308" i="2"/>
  <c r="AZ296" i="2"/>
  <c r="AZ297" i="2"/>
  <c r="AZ125" i="2"/>
  <c r="BC157" i="2"/>
  <c r="BB157" i="2"/>
  <c r="AZ93" i="2"/>
  <c r="BA157" i="2"/>
  <c r="AZ157" i="2"/>
  <c r="AT376" i="2"/>
  <c r="AT364" i="2"/>
  <c r="AT352" i="2"/>
  <c r="D198" i="2"/>
  <c r="BW385" i="2"/>
  <c r="BW329" i="2"/>
  <c r="S308" i="2"/>
  <c r="S309" i="2"/>
  <c r="S311" i="2"/>
  <c r="S313" i="2"/>
  <c r="S315" i="2"/>
  <c r="S303" i="2"/>
  <c r="S297" i="2"/>
  <c r="S317" i="2"/>
  <c r="S298" i="2"/>
  <c r="S299" i="2"/>
  <c r="S300" i="2"/>
  <c r="S301" i="2"/>
  <c r="S305" i="2"/>
  <c r="S295" i="2"/>
  <c r="S296" i="2"/>
  <c r="S125" i="2"/>
  <c r="S93" i="2"/>
  <c r="CK307" i="2"/>
  <c r="BW361" i="2"/>
  <c r="BW341" i="2"/>
  <c r="BW349" i="2"/>
  <c r="BG361" i="2"/>
  <c r="BG341" i="2"/>
  <c r="BG349" i="2"/>
  <c r="AA281" i="2"/>
  <c r="AA283" i="2"/>
  <c r="AA285" i="2"/>
  <c r="AA273" i="2"/>
  <c r="AA276" i="2"/>
  <c r="AA277" i="2"/>
  <c r="AA269" i="2"/>
  <c r="AA267" i="2"/>
  <c r="AA271" i="2"/>
  <c r="AA268" i="2"/>
  <c r="AA279" i="2"/>
  <c r="AA263" i="2"/>
  <c r="AA264" i="2"/>
  <c r="AA265" i="2"/>
  <c r="AA266" i="2"/>
  <c r="AA189" i="2"/>
  <c r="BS277" i="2"/>
  <c r="BM211" i="2"/>
  <c r="BM243" i="2"/>
  <c r="AG387" i="2"/>
  <c r="CH205" i="2"/>
  <c r="CH237" i="2"/>
  <c r="AO232" i="2"/>
  <c r="AO200" i="2"/>
  <c r="CL308" i="2"/>
  <c r="CL309" i="2"/>
  <c r="CL311" i="2"/>
  <c r="CL313" i="2"/>
  <c r="CL296" i="2"/>
  <c r="CL315" i="2"/>
  <c r="CL303" i="2"/>
  <c r="CL299" i="2"/>
  <c r="CL300" i="2"/>
  <c r="CL301" i="2"/>
  <c r="CL298" i="2"/>
  <c r="CL295" i="2"/>
  <c r="CL297" i="2"/>
  <c r="CL317" i="2"/>
  <c r="CL305" i="2"/>
  <c r="CL125" i="2"/>
  <c r="CL93" i="2"/>
  <c r="J309" i="2"/>
  <c r="J311" i="2"/>
  <c r="J313" i="2"/>
  <c r="J315" i="2"/>
  <c r="J303" i="2"/>
  <c r="J296" i="2"/>
  <c r="J308" i="2"/>
  <c r="J299" i="2"/>
  <c r="J300" i="2"/>
  <c r="J317" i="2"/>
  <c r="J305" i="2"/>
  <c r="J301" i="2"/>
  <c r="J295" i="2"/>
  <c r="J297" i="2"/>
  <c r="J298" i="2"/>
  <c r="J125" i="2"/>
  <c r="J93" i="2"/>
  <c r="K374" i="2"/>
  <c r="K350" i="2"/>
  <c r="K362" i="2"/>
  <c r="BF361" i="2"/>
  <c r="BF341" i="2"/>
  <c r="BF349" i="2"/>
  <c r="BF279" i="2"/>
  <c r="BF281" i="2"/>
  <c r="BF283" i="2"/>
  <c r="BF285" i="2"/>
  <c r="BF271" i="2"/>
  <c r="BF276" i="2"/>
  <c r="BF266" i="2"/>
  <c r="BF269" i="2"/>
  <c r="BF267" i="2"/>
  <c r="BF277" i="2"/>
  <c r="BF273" i="2"/>
  <c r="BF268" i="2"/>
  <c r="BF263" i="2"/>
  <c r="BF264" i="2"/>
  <c r="BF265" i="2"/>
  <c r="BF189" i="2"/>
  <c r="BG221" i="2" s="1"/>
  <c r="CB243" i="2"/>
  <c r="CB211" i="2"/>
  <c r="BL387" i="2"/>
  <c r="CM241" i="2"/>
  <c r="CM209" i="2"/>
  <c r="Z239" i="2"/>
  <c r="Z207" i="2"/>
  <c r="BD236" i="2"/>
  <c r="BD204" i="2"/>
  <c r="CH234" i="2"/>
  <c r="CH202" i="2"/>
  <c r="U201" i="2"/>
  <c r="U233" i="2"/>
  <c r="AY231" i="2"/>
  <c r="AY199" i="2"/>
  <c r="AX230" i="2"/>
  <c r="AX198" i="2"/>
  <c r="AH385" i="2"/>
  <c r="AH329" i="2"/>
  <c r="AH421" i="2" s="1"/>
  <c r="CH374" i="2"/>
  <c r="CH362" i="2"/>
  <c r="CH350" i="2"/>
  <c r="AF317" i="2"/>
  <c r="AF303" i="2"/>
  <c r="AF309" i="2"/>
  <c r="AF315" i="2"/>
  <c r="AF308" i="2"/>
  <c r="AF305" i="2"/>
  <c r="AF297" i="2"/>
  <c r="AF313" i="2"/>
  <c r="AF299" i="2"/>
  <c r="AF298" i="2"/>
  <c r="AF301" i="2"/>
  <c r="AF311" i="2"/>
  <c r="AF300" i="2"/>
  <c r="AF296" i="2"/>
  <c r="AF295" i="2"/>
  <c r="AG157" i="2"/>
  <c r="AF157" i="2"/>
  <c r="AF125" i="2"/>
  <c r="AI157" i="2"/>
  <c r="AH157" i="2"/>
  <c r="AF93" i="2"/>
  <c r="BZ351" i="2"/>
  <c r="BZ363" i="2"/>
  <c r="BJ307" i="2"/>
  <c r="W375" i="2"/>
  <c r="V375" i="2"/>
  <c r="Y375" i="2"/>
  <c r="V351" i="2"/>
  <c r="V363" i="2"/>
  <c r="X375" i="2"/>
  <c r="CC374" i="2"/>
  <c r="CC350" i="2"/>
  <c r="CC362" i="2"/>
  <c r="H294" i="2"/>
  <c r="AF276" i="2"/>
  <c r="AF277" i="2"/>
  <c r="AF281" i="2"/>
  <c r="AF285" i="2"/>
  <c r="AF283" i="2"/>
  <c r="AF279" i="2"/>
  <c r="AF264" i="2"/>
  <c r="AF265" i="2"/>
  <c r="AF266" i="2"/>
  <c r="AF267" i="2"/>
  <c r="AF269" i="2"/>
  <c r="AF268" i="2"/>
  <c r="AF271" i="2"/>
  <c r="AF273" i="2"/>
  <c r="AF263" i="2"/>
  <c r="AF189" i="2"/>
  <c r="BS276" i="2"/>
  <c r="BZ387" i="2"/>
  <c r="BB275" i="2"/>
  <c r="V243" i="2"/>
  <c r="V211" i="2"/>
  <c r="AO241" i="2"/>
  <c r="AO209" i="2"/>
  <c r="BS237" i="2"/>
  <c r="BS205" i="2"/>
  <c r="AJ234" i="2"/>
  <c r="AJ202" i="2"/>
  <c r="BN200" i="2"/>
  <c r="BN232" i="2"/>
  <c r="CJ230" i="2"/>
  <c r="CJ198" i="2"/>
  <c r="BT385" i="2"/>
  <c r="BT329" i="2"/>
  <c r="BT421" i="2" s="1"/>
  <c r="BX325" i="2"/>
  <c r="AN262" i="2"/>
  <c r="H230" i="2"/>
  <c r="H198" i="2"/>
  <c r="T93" i="2"/>
  <c r="BY243" i="2"/>
  <c r="BY211" i="2"/>
  <c r="CC166" i="2"/>
  <c r="CC29" i="2"/>
  <c r="P166" i="2"/>
  <c r="P29" i="2"/>
  <c r="P262" i="2" s="1"/>
  <c r="AY179" i="2"/>
  <c r="AU315" i="2"/>
  <c r="AU317" i="2"/>
  <c r="AU308" i="2"/>
  <c r="AU301" i="2"/>
  <c r="AU311" i="2"/>
  <c r="AU296" i="2"/>
  <c r="AU305" i="2"/>
  <c r="AU309" i="2"/>
  <c r="AU300" i="2"/>
  <c r="AU313" i="2"/>
  <c r="AU303" i="2"/>
  <c r="AU295" i="2"/>
  <c r="AU297" i="2"/>
  <c r="AU299" i="2"/>
  <c r="AU298" i="2"/>
  <c r="AW157" i="2"/>
  <c r="AU93" i="2"/>
  <c r="AV157" i="2"/>
  <c r="AU157" i="2"/>
  <c r="AU125" i="2"/>
  <c r="AX157" i="2"/>
  <c r="AM276" i="2"/>
  <c r="AM279" i="2"/>
  <c r="AM283" i="2"/>
  <c r="AM285" i="2"/>
  <c r="AM271" i="2"/>
  <c r="AM263" i="2"/>
  <c r="AM277" i="2"/>
  <c r="AM273" i="2"/>
  <c r="AM264" i="2"/>
  <c r="AM281" i="2"/>
  <c r="AM265" i="2"/>
  <c r="AM266" i="2"/>
  <c r="AM267" i="2"/>
  <c r="AM268" i="2"/>
  <c r="AM269" i="2"/>
  <c r="AM189" i="2"/>
  <c r="AR253" i="2" s="1"/>
  <c r="CG387" i="2"/>
  <c r="BS262" i="2"/>
  <c r="CA385" i="2"/>
  <c r="CA329" i="2"/>
  <c r="BS339" i="2"/>
  <c r="BS341" i="2" s="1"/>
  <c r="BS115" i="2"/>
  <c r="BS147" i="2"/>
  <c r="BS83" i="2"/>
  <c r="CR251" i="2"/>
  <c r="CR219" i="2"/>
  <c r="CH247" i="2"/>
  <c r="CH215" i="2"/>
  <c r="AJ244" i="2"/>
  <c r="AJ212" i="2"/>
  <c r="M363" i="2"/>
  <c r="M351" i="2"/>
  <c r="CR179" i="2"/>
  <c r="AS243" i="2"/>
  <c r="AS211" i="2"/>
  <c r="AE264" i="2"/>
  <c r="CI230" i="2"/>
  <c r="CI198" i="2"/>
  <c r="BN337" i="2"/>
  <c r="BN102" i="2"/>
  <c r="BN134" i="2"/>
  <c r="BN61" i="2"/>
  <c r="BN70" i="2"/>
  <c r="AM385" i="2"/>
  <c r="AM329" i="2"/>
  <c r="U83" i="2"/>
  <c r="CC361" i="2"/>
  <c r="CC373" i="2"/>
  <c r="CC349" i="2"/>
  <c r="CA315" i="2"/>
  <c r="CA317" i="2"/>
  <c r="CA308" i="2"/>
  <c r="CA305" i="2"/>
  <c r="CA301" i="2"/>
  <c r="CA309" i="2"/>
  <c r="CA313" i="2"/>
  <c r="CA303" i="2"/>
  <c r="CA296" i="2"/>
  <c r="CA295" i="2"/>
  <c r="CA297" i="2"/>
  <c r="CA298" i="2"/>
  <c r="CA311" i="2"/>
  <c r="CA300" i="2"/>
  <c r="CA299" i="2"/>
  <c r="CA93" i="2"/>
  <c r="CA125" i="2"/>
  <c r="AG305" i="2"/>
  <c r="AG308" i="2"/>
  <c r="AG311" i="2"/>
  <c r="AG315" i="2"/>
  <c r="AG295" i="2"/>
  <c r="AG313" i="2"/>
  <c r="AG298" i="2"/>
  <c r="AG309" i="2"/>
  <c r="AG303" i="2"/>
  <c r="AG299" i="2"/>
  <c r="AG317" i="2"/>
  <c r="AG301" i="2"/>
  <c r="AG297" i="2"/>
  <c r="AG300" i="2"/>
  <c r="AG296" i="2"/>
  <c r="AG125" i="2"/>
  <c r="AG93" i="2"/>
  <c r="BA243" i="2"/>
  <c r="BA211" i="2"/>
  <c r="AY239" i="2"/>
  <c r="AY207" i="2"/>
  <c r="CC236" i="2"/>
  <c r="CC204" i="2"/>
  <c r="P235" i="2"/>
  <c r="P203" i="2"/>
  <c r="AT233" i="2"/>
  <c r="AT201" i="2"/>
  <c r="BX231" i="2"/>
  <c r="BX199" i="2"/>
  <c r="AY166" i="2"/>
  <c r="AY29" i="2"/>
  <c r="BQ243" i="2"/>
  <c r="BQ211" i="2"/>
  <c r="Q230" i="2"/>
  <c r="Q198" i="2"/>
  <c r="CQ385" i="2"/>
  <c r="CQ329" i="2"/>
  <c r="CQ421" i="2" s="1"/>
  <c r="Z337" i="2"/>
  <c r="Z102" i="2"/>
  <c r="Z134" i="2"/>
  <c r="Z61" i="2"/>
  <c r="Z70" i="2"/>
  <c r="BI243" i="2"/>
  <c r="BI211" i="2"/>
  <c r="BD166" i="2"/>
  <c r="BD29" i="2"/>
  <c r="BD275" i="2" s="1"/>
  <c r="O221" i="2"/>
  <c r="AE179" i="2"/>
  <c r="G385" i="2"/>
  <c r="G329" i="2"/>
  <c r="G421" i="2" s="1"/>
  <c r="K325" i="2"/>
  <c r="AK307" i="2"/>
  <c r="AW361" i="2"/>
  <c r="AW349" i="2"/>
  <c r="AW341" i="2"/>
  <c r="AU189" i="2"/>
  <c r="S412" i="2"/>
  <c r="S400" i="2"/>
  <c r="CA412" i="2"/>
  <c r="CA400" i="2"/>
  <c r="CK412" i="2"/>
  <c r="CK400" i="2"/>
  <c r="AY388" i="2"/>
  <c r="CD412" i="2"/>
  <c r="CD400" i="2"/>
  <c r="F388" i="2"/>
  <c r="N412" i="2"/>
  <c r="N400" i="2"/>
  <c r="T412" i="2"/>
  <c r="T400" i="2"/>
  <c r="AD410" i="2"/>
  <c r="AD398" i="2"/>
  <c r="BT412" i="2"/>
  <c r="BT400" i="2"/>
  <c r="AS410" i="2"/>
  <c r="AS398" i="2"/>
  <c r="AA410" i="2"/>
  <c r="AA398" i="2"/>
  <c r="AQ400" i="2"/>
  <c r="AQ412" i="2"/>
  <c r="K388" i="2"/>
  <c r="P412" i="2" s="1"/>
  <c r="BK412" i="2"/>
  <c r="BK400" i="2"/>
  <c r="W412" i="2"/>
  <c r="W400" i="2"/>
  <c r="CK410" i="2"/>
  <c r="CK398" i="2"/>
  <c r="Q410" i="2"/>
  <c r="Q398" i="2"/>
  <c r="CN400" i="2"/>
  <c r="CN412" i="2"/>
  <c r="AN412" i="2"/>
  <c r="AN400" i="2"/>
  <c r="BT398" i="2"/>
  <c r="BT410" i="2"/>
  <c r="D400" i="2"/>
  <c r="BK398" i="2"/>
  <c r="BK410" i="2"/>
  <c r="W410" i="2"/>
  <c r="W398" i="2"/>
  <c r="BU412" i="2"/>
  <c r="BU400" i="2"/>
  <c r="AK412" i="2"/>
  <c r="AK400" i="2"/>
  <c r="BI388" i="2"/>
  <c r="AI410" i="2"/>
  <c r="AI398" i="2"/>
  <c r="BS388" i="2"/>
  <c r="AH410" i="2"/>
  <c r="AH398" i="2"/>
  <c r="AQ410" i="2"/>
  <c r="AQ398" i="2"/>
  <c r="Q412" i="2"/>
  <c r="Q400" i="2"/>
  <c r="AT386" i="2"/>
  <c r="BG410" i="2"/>
  <c r="BG398" i="2"/>
  <c r="BR313" i="2"/>
  <c r="BR315" i="2"/>
  <c r="BR317" i="2"/>
  <c r="BR305" i="2"/>
  <c r="BR300" i="2"/>
  <c r="BR301" i="2"/>
  <c r="BR311" i="2"/>
  <c r="BR308" i="2"/>
  <c r="BR303" i="2"/>
  <c r="BR295" i="2"/>
  <c r="BR309" i="2"/>
  <c r="BR296" i="2"/>
  <c r="BR297" i="2"/>
  <c r="BR298" i="2"/>
  <c r="BR299" i="2"/>
  <c r="BR125" i="2"/>
  <c r="BR93" i="2"/>
  <c r="AL349" i="2"/>
  <c r="AL361" i="2"/>
  <c r="AL341" i="2"/>
  <c r="BZ273" i="2"/>
  <c r="BZ277" i="2"/>
  <c r="BZ281" i="2"/>
  <c r="BZ283" i="2"/>
  <c r="BZ263" i="2"/>
  <c r="BZ269" i="2"/>
  <c r="BZ264" i="2"/>
  <c r="BZ271" i="2"/>
  <c r="BZ265" i="2"/>
  <c r="BZ266" i="2"/>
  <c r="BZ285" i="2"/>
  <c r="BZ267" i="2"/>
  <c r="BZ276" i="2"/>
  <c r="BZ268" i="2"/>
  <c r="BZ279" i="2"/>
  <c r="BZ189" i="2"/>
  <c r="CC219" i="2"/>
  <c r="CC251" i="2"/>
  <c r="P249" i="2"/>
  <c r="P217" i="2"/>
  <c r="AT245" i="2"/>
  <c r="AT213" i="2"/>
  <c r="CN243" i="2"/>
  <c r="CN211" i="2"/>
  <c r="AR243" i="2"/>
  <c r="AR211" i="2"/>
  <c r="BS241" i="2"/>
  <c r="BS209" i="2"/>
  <c r="AJ236" i="2"/>
  <c r="AJ204" i="2"/>
  <c r="BN234" i="2"/>
  <c r="BN202" i="2"/>
  <c r="CR232" i="2"/>
  <c r="CR200" i="2"/>
  <c r="AE231" i="2"/>
  <c r="AE199" i="2"/>
  <c r="BZ385" i="2"/>
  <c r="BZ329" i="2"/>
  <c r="BZ423" i="2" s="1"/>
  <c r="AD385" i="2"/>
  <c r="AD329" i="2"/>
  <c r="CF283" i="2"/>
  <c r="CF269" i="2"/>
  <c r="CF285" i="2"/>
  <c r="CF277" i="2"/>
  <c r="CF279" i="2"/>
  <c r="CF268" i="2"/>
  <c r="CF281" i="2"/>
  <c r="CF263" i="2"/>
  <c r="CF276" i="2"/>
  <c r="CF264" i="2"/>
  <c r="CF265" i="2"/>
  <c r="CF271" i="2"/>
  <c r="CF266" i="2"/>
  <c r="CF267" i="2"/>
  <c r="CF273" i="2"/>
  <c r="CF189" i="2"/>
  <c r="BV243" i="2"/>
  <c r="BV211" i="2"/>
  <c r="AP387" i="2"/>
  <c r="AT327" i="2"/>
  <c r="AE213" i="2"/>
  <c r="AE245" i="2"/>
  <c r="CO311" i="2"/>
  <c r="CO313" i="2"/>
  <c r="CO315" i="2"/>
  <c r="CO317" i="2"/>
  <c r="CO299" i="2"/>
  <c r="CO300" i="2"/>
  <c r="CO301" i="2"/>
  <c r="CO305" i="2"/>
  <c r="CO309" i="2"/>
  <c r="CO308" i="2"/>
  <c r="CO297" i="2"/>
  <c r="CO295" i="2"/>
  <c r="CO298" i="2"/>
  <c r="CO296" i="2"/>
  <c r="CO303" i="2"/>
  <c r="CO93" i="2"/>
  <c r="CO125" i="2"/>
  <c r="M311" i="2"/>
  <c r="M313" i="2"/>
  <c r="M315" i="2"/>
  <c r="M317" i="2"/>
  <c r="M308" i="2"/>
  <c r="M299" i="2"/>
  <c r="M300" i="2"/>
  <c r="M305" i="2"/>
  <c r="M301" i="2"/>
  <c r="M303" i="2"/>
  <c r="M295" i="2"/>
  <c r="M296" i="2"/>
  <c r="M298" i="2"/>
  <c r="M309" i="2"/>
  <c r="M297" i="2"/>
  <c r="M93" i="2"/>
  <c r="M125" i="2"/>
  <c r="K376" i="2"/>
  <c r="K364" i="2"/>
  <c r="K352" i="2"/>
  <c r="CE363" i="2"/>
  <c r="CE351" i="2"/>
  <c r="AQ363" i="2"/>
  <c r="AQ351" i="2"/>
  <c r="AA307" i="2"/>
  <c r="Z374" i="2"/>
  <c r="Z362" i="2"/>
  <c r="Z350" i="2"/>
  <c r="BA294" i="2"/>
  <c r="AK294" i="2"/>
  <c r="CO285" i="2"/>
  <c r="CO271" i="2"/>
  <c r="CO273" i="2"/>
  <c r="CO276" i="2"/>
  <c r="CO279" i="2"/>
  <c r="CO281" i="2"/>
  <c r="CO283" i="2"/>
  <c r="CO263" i="2"/>
  <c r="CO264" i="2"/>
  <c r="CO265" i="2"/>
  <c r="CO277" i="2"/>
  <c r="CO266" i="2"/>
  <c r="CO267" i="2"/>
  <c r="CO268" i="2"/>
  <c r="CO269" i="2"/>
  <c r="CO189" i="2"/>
  <c r="M285" i="2"/>
  <c r="M271" i="2"/>
  <c r="M276" i="2"/>
  <c r="M279" i="2"/>
  <c r="M281" i="2"/>
  <c r="M263" i="2"/>
  <c r="M277" i="2"/>
  <c r="M269" i="2"/>
  <c r="M264" i="2"/>
  <c r="M273" i="2"/>
  <c r="M265" i="2"/>
  <c r="M283" i="2"/>
  <c r="M266" i="2"/>
  <c r="M267" i="2"/>
  <c r="M189" i="2"/>
  <c r="M268" i="2"/>
  <c r="AY217" i="2"/>
  <c r="AY249" i="2"/>
  <c r="CC245" i="2"/>
  <c r="CC213" i="2"/>
  <c r="P244" i="2"/>
  <c r="P212" i="2"/>
  <c r="BO243" i="2"/>
  <c r="BO211" i="2"/>
  <c r="AQ387" i="2"/>
  <c r="CO262" i="2"/>
  <c r="BQ230" i="2"/>
  <c r="BQ198" i="2"/>
  <c r="AS385" i="2"/>
  <c r="AS329" i="2"/>
  <c r="AS421" i="2" s="1"/>
  <c r="M262" i="2"/>
  <c r="T361" i="2"/>
  <c r="T341" i="2"/>
  <c r="T349" i="2"/>
  <c r="U247" i="2"/>
  <c r="U215" i="2"/>
  <c r="CD423" i="2"/>
  <c r="CD387" i="2"/>
  <c r="CH327" i="2"/>
  <c r="J387" i="2"/>
  <c r="AW211" i="2"/>
  <c r="AW243" i="2"/>
  <c r="BI236" i="2"/>
  <c r="BI204" i="2"/>
  <c r="BG198" i="2"/>
  <c r="BG230" i="2"/>
  <c r="L309" i="2"/>
  <c r="L311" i="2"/>
  <c r="L313" i="2"/>
  <c r="L315" i="2"/>
  <c r="L317" i="2"/>
  <c r="L298" i="2"/>
  <c r="L308" i="2"/>
  <c r="L299" i="2"/>
  <c r="L300" i="2"/>
  <c r="L305" i="2"/>
  <c r="L301" i="2"/>
  <c r="L303" i="2"/>
  <c r="L295" i="2"/>
  <c r="L297" i="2"/>
  <c r="L296" i="2"/>
  <c r="L125" i="2"/>
  <c r="O157" i="2"/>
  <c r="N157" i="2"/>
  <c r="L93" i="2"/>
  <c r="M157" i="2"/>
  <c r="L157" i="2"/>
  <c r="AX363" i="2"/>
  <c r="AX351" i="2"/>
  <c r="CL243" i="2"/>
  <c r="CL211" i="2"/>
  <c r="BD234" i="2"/>
  <c r="BD202" i="2"/>
  <c r="AI198" i="2"/>
  <c r="AI230" i="2"/>
  <c r="CE308" i="2"/>
  <c r="CE309" i="2"/>
  <c r="CE311" i="2"/>
  <c r="CE313" i="2"/>
  <c r="CE315" i="2"/>
  <c r="CE303" i="2"/>
  <c r="CE297" i="2"/>
  <c r="CE317" i="2"/>
  <c r="CE298" i="2"/>
  <c r="CE299" i="2"/>
  <c r="CE300" i="2"/>
  <c r="CE301" i="2"/>
  <c r="CE305" i="2"/>
  <c r="CE295" i="2"/>
  <c r="CE296" i="2"/>
  <c r="CE125" i="2"/>
  <c r="CE93" i="2"/>
  <c r="C308" i="2"/>
  <c r="C309" i="2"/>
  <c r="C311" i="2"/>
  <c r="C313" i="2"/>
  <c r="C315" i="2"/>
  <c r="C297" i="2"/>
  <c r="C305" i="2"/>
  <c r="C300" i="2"/>
  <c r="C301" i="2"/>
  <c r="C303" i="2"/>
  <c r="C295" i="2"/>
  <c r="C317" i="2"/>
  <c r="C296" i="2"/>
  <c r="C299" i="2"/>
  <c r="C298" i="2"/>
  <c r="C93" i="2"/>
  <c r="AO376" i="2"/>
  <c r="AO352" i="2"/>
  <c r="AO364" i="2"/>
  <c r="CK363" i="2"/>
  <c r="CK351" i="2"/>
  <c r="AW363" i="2"/>
  <c r="AW351" i="2"/>
  <c r="I363" i="2"/>
  <c r="I351" i="2"/>
  <c r="AQ294" i="2"/>
  <c r="AA294" i="2"/>
  <c r="BN251" i="2"/>
  <c r="BN219" i="2"/>
  <c r="CR247" i="2"/>
  <c r="CR215" i="2"/>
  <c r="AT212" i="2"/>
  <c r="AT244" i="2"/>
  <c r="Y211" i="2"/>
  <c r="Y243" i="2"/>
  <c r="CD308" i="2"/>
  <c r="CD309" i="2"/>
  <c r="CD311" i="2"/>
  <c r="CD313" i="2"/>
  <c r="CD296" i="2"/>
  <c r="CD303" i="2"/>
  <c r="CD317" i="2"/>
  <c r="CD299" i="2"/>
  <c r="CD300" i="2"/>
  <c r="CD315" i="2"/>
  <c r="CD297" i="2"/>
  <c r="CD305" i="2"/>
  <c r="CD301" i="2"/>
  <c r="CD298" i="2"/>
  <c r="CD295" i="2"/>
  <c r="CD125" i="2"/>
  <c r="CG157" i="2"/>
  <c r="CF157" i="2"/>
  <c r="CE157" i="2"/>
  <c r="CD157" i="2"/>
  <c r="CD93" i="2"/>
  <c r="B309" i="2"/>
  <c r="B311" i="2"/>
  <c r="B313" i="2"/>
  <c r="B317" i="2"/>
  <c r="B308" i="2"/>
  <c r="B296" i="2"/>
  <c r="B315" i="2"/>
  <c r="B299" i="2"/>
  <c r="B305" i="2"/>
  <c r="B300" i="2"/>
  <c r="B303" i="2"/>
  <c r="B295" i="2"/>
  <c r="B298" i="2"/>
  <c r="B297" i="2"/>
  <c r="B301" i="2"/>
  <c r="BV375" i="2"/>
  <c r="BW375" i="2"/>
  <c r="BT363" i="2"/>
  <c r="BU375" i="2"/>
  <c r="BT351" i="2"/>
  <c r="BT375" i="2"/>
  <c r="AN307" i="2"/>
  <c r="AH375" i="2"/>
  <c r="AF375" i="2"/>
  <c r="AF363" i="2"/>
  <c r="AI375" i="2"/>
  <c r="AG375" i="2"/>
  <c r="AF351" i="2"/>
  <c r="CD294" i="2"/>
  <c r="AS373" i="2"/>
  <c r="AR373" i="2"/>
  <c r="AQ373" i="2"/>
  <c r="AP373" i="2"/>
  <c r="AP361" i="2"/>
  <c r="AP341" i="2"/>
  <c r="AP349" i="2"/>
  <c r="J294" i="2"/>
  <c r="AX279" i="2"/>
  <c r="AX281" i="2"/>
  <c r="AX283" i="2"/>
  <c r="AX285" i="2"/>
  <c r="AX271" i="2"/>
  <c r="AX276" i="2"/>
  <c r="AX273" i="2"/>
  <c r="AX266" i="2"/>
  <c r="AX267" i="2"/>
  <c r="AX268" i="2"/>
  <c r="AX277" i="2"/>
  <c r="AX263" i="2"/>
  <c r="AX264" i="2"/>
  <c r="AX269" i="2"/>
  <c r="AX265" i="2"/>
  <c r="AX189" i="2"/>
  <c r="U251" i="2"/>
  <c r="U219" i="2"/>
  <c r="AY215" i="2"/>
  <c r="AY247" i="2"/>
  <c r="CC244" i="2"/>
  <c r="CC212" i="2"/>
  <c r="AV243" i="2"/>
  <c r="AV211" i="2"/>
  <c r="AF387" i="2"/>
  <c r="AJ327" i="2"/>
  <c r="CD385" i="2"/>
  <c r="CD329" i="2"/>
  <c r="CH325" i="2"/>
  <c r="AX262" i="2"/>
  <c r="R230" i="2"/>
  <c r="R198" i="2"/>
  <c r="B385" i="2"/>
  <c r="F325" i="2"/>
  <c r="B329" i="2"/>
  <c r="BC351" i="2"/>
  <c r="BC363" i="2"/>
  <c r="CL375" i="2"/>
  <c r="CK375" i="2"/>
  <c r="CJ375" i="2"/>
  <c r="CI375" i="2"/>
  <c r="CI363" i="2"/>
  <c r="CI351" i="2"/>
  <c r="X317" i="2"/>
  <c r="X303" i="2"/>
  <c r="X309" i="2"/>
  <c r="X305" i="2"/>
  <c r="X311" i="2"/>
  <c r="X297" i="2"/>
  <c r="X315" i="2"/>
  <c r="X300" i="2"/>
  <c r="X295" i="2"/>
  <c r="X313" i="2"/>
  <c r="X308" i="2"/>
  <c r="X299" i="2"/>
  <c r="X296" i="2"/>
  <c r="X301" i="2"/>
  <c r="X298" i="2"/>
  <c r="X125" i="2"/>
  <c r="X93" i="2"/>
  <c r="BJ351" i="2"/>
  <c r="BM375" i="2"/>
  <c r="BL375" i="2"/>
  <c r="BK375" i="2"/>
  <c r="BJ375" i="2"/>
  <c r="BJ363" i="2"/>
  <c r="AD307" i="2"/>
  <c r="CJ361" i="2"/>
  <c r="CJ349" i="2"/>
  <c r="CJ341" i="2"/>
  <c r="AV361" i="2"/>
  <c r="AV349" i="2"/>
  <c r="AV341" i="2"/>
  <c r="AF294" i="2"/>
  <c r="H361" i="2"/>
  <c r="H349" i="2"/>
  <c r="H341" i="2"/>
  <c r="X276" i="2"/>
  <c r="X277" i="2"/>
  <c r="X281" i="2"/>
  <c r="X285" i="2"/>
  <c r="X264" i="2"/>
  <c r="X265" i="2"/>
  <c r="X283" i="2"/>
  <c r="X269" i="2"/>
  <c r="X266" i="2"/>
  <c r="X279" i="2"/>
  <c r="X271" i="2"/>
  <c r="X267" i="2"/>
  <c r="X273" i="2"/>
  <c r="X268" i="2"/>
  <c r="X189" i="2"/>
  <c r="X263" i="2"/>
  <c r="BN249" i="2"/>
  <c r="BN217" i="2"/>
  <c r="CR245" i="2"/>
  <c r="CR213" i="2"/>
  <c r="AE244" i="2"/>
  <c r="AE212" i="2"/>
  <c r="BR243" i="2"/>
  <c r="BR211" i="2"/>
  <c r="BB387" i="2"/>
  <c r="V275" i="2"/>
  <c r="BS269" i="2"/>
  <c r="BL230" i="2"/>
  <c r="BL198" i="2"/>
  <c r="AN385" i="2"/>
  <c r="AN329" i="2"/>
  <c r="AN421" i="2" s="1"/>
  <c r="CO307" i="2"/>
  <c r="BU277" i="2"/>
  <c r="BU279" i="2"/>
  <c r="BU281" i="2"/>
  <c r="BU283" i="2"/>
  <c r="BU269" i="2"/>
  <c r="BU276" i="2"/>
  <c r="BU265" i="2"/>
  <c r="BU266" i="2"/>
  <c r="BU267" i="2"/>
  <c r="BU268" i="2"/>
  <c r="BU285" i="2"/>
  <c r="BU271" i="2"/>
  <c r="BU263" i="2"/>
  <c r="BU264" i="2"/>
  <c r="BU273" i="2"/>
  <c r="BU189" i="2"/>
  <c r="BN166" i="2"/>
  <c r="BS230" i="2" s="1"/>
  <c r="BN29" i="2"/>
  <c r="BN262" i="2" s="1"/>
  <c r="O230" i="2"/>
  <c r="O198" i="2"/>
  <c r="AU243" i="2"/>
  <c r="AU211" i="2"/>
  <c r="K179" i="2"/>
  <c r="AJ374" i="2"/>
  <c r="AJ362" i="2"/>
  <c r="AJ350" i="2"/>
  <c r="BE305" i="2"/>
  <c r="BE308" i="2"/>
  <c r="BE309" i="2"/>
  <c r="BE311" i="2"/>
  <c r="BE295" i="2"/>
  <c r="BE313" i="2"/>
  <c r="BE298" i="2"/>
  <c r="BE317" i="2"/>
  <c r="BE299" i="2"/>
  <c r="BE301" i="2"/>
  <c r="BE296" i="2"/>
  <c r="BE300" i="2"/>
  <c r="BE297" i="2"/>
  <c r="BE315" i="2"/>
  <c r="BE303" i="2"/>
  <c r="BE157" i="2"/>
  <c r="BE125" i="2"/>
  <c r="BH157" i="2"/>
  <c r="BG157" i="2"/>
  <c r="BE93" i="2"/>
  <c r="BF157" i="2"/>
  <c r="BE361" i="2"/>
  <c r="BH373" i="2"/>
  <c r="BG373" i="2"/>
  <c r="BF373" i="2"/>
  <c r="BE373" i="2"/>
  <c r="BE341" i="2"/>
  <c r="BE349" i="2"/>
  <c r="AU294" i="2"/>
  <c r="G276" i="2"/>
  <c r="G279" i="2"/>
  <c r="G283" i="2"/>
  <c r="G285" i="2"/>
  <c r="G271" i="2"/>
  <c r="G263" i="2"/>
  <c r="G273" i="2"/>
  <c r="G264" i="2"/>
  <c r="G265" i="2"/>
  <c r="G266" i="2"/>
  <c r="G267" i="2"/>
  <c r="G277" i="2"/>
  <c r="G268" i="2"/>
  <c r="G281" i="2"/>
  <c r="G189" i="2"/>
  <c r="G269" i="2"/>
  <c r="AC243" i="2"/>
  <c r="AC211" i="2"/>
  <c r="AG230" i="2"/>
  <c r="AG198" i="2"/>
  <c r="Z166" i="2"/>
  <c r="Z29" i="2"/>
  <c r="Z262" i="2" s="1"/>
  <c r="BD339" i="2"/>
  <c r="BD115" i="2"/>
  <c r="BD147" i="2"/>
  <c r="BD83" i="2"/>
  <c r="BM294" i="2"/>
  <c r="BM189" i="2"/>
  <c r="CO243" i="2"/>
  <c r="CO211" i="2"/>
  <c r="BI239" i="2"/>
  <c r="BI207" i="2"/>
  <c r="CM204" i="2"/>
  <c r="CM236" i="2"/>
  <c r="Z235" i="2"/>
  <c r="Z203" i="2"/>
  <c r="BD233" i="2"/>
  <c r="BD201" i="2"/>
  <c r="CH231" i="2"/>
  <c r="CH199" i="2"/>
  <c r="CM245" i="2"/>
  <c r="CM213" i="2"/>
  <c r="CI315" i="2"/>
  <c r="CI317" i="2"/>
  <c r="CI308" i="2"/>
  <c r="CI313" i="2"/>
  <c r="CI301" i="2"/>
  <c r="CI305" i="2"/>
  <c r="CI311" i="2"/>
  <c r="CI296" i="2"/>
  <c r="CI303" i="2"/>
  <c r="CI300" i="2"/>
  <c r="CI298" i="2"/>
  <c r="CI295" i="2"/>
  <c r="CI309" i="2"/>
  <c r="CI299" i="2"/>
  <c r="CI297" i="2"/>
  <c r="CK157" i="2"/>
  <c r="CI93" i="2"/>
  <c r="CJ157" i="2"/>
  <c r="CI157" i="2"/>
  <c r="CI125" i="2"/>
  <c r="CL157" i="2"/>
  <c r="CC339" i="2"/>
  <c r="CC307" i="2"/>
  <c r="CC147" i="2"/>
  <c r="CC83" i="2"/>
  <c r="CC115" i="2"/>
  <c r="BY375" i="2"/>
  <c r="BY363" i="2"/>
  <c r="CB375" i="2"/>
  <c r="CA375" i="2"/>
  <c r="BZ375" i="2"/>
  <c r="BY351" i="2"/>
  <c r="CK294" i="2"/>
  <c r="AJ337" i="2"/>
  <c r="AJ102" i="2"/>
  <c r="AJ134" i="2"/>
  <c r="AJ61" i="2"/>
  <c r="AJ307" i="2" s="1"/>
  <c r="AJ70" i="2"/>
  <c r="E387" i="2"/>
  <c r="E399" i="2" s="1"/>
  <c r="AU230" i="2"/>
  <c r="AU198" i="2"/>
  <c r="BC230" i="2"/>
  <c r="BC198" i="2"/>
  <c r="AE275" i="2"/>
  <c r="CK189" i="2"/>
  <c r="AO339" i="2"/>
  <c r="AO307" i="2"/>
  <c r="AO147" i="2"/>
  <c r="AO83" i="2"/>
  <c r="AO115" i="2"/>
  <c r="AK375" i="2"/>
  <c r="AK363" i="2"/>
  <c r="AN375" i="2"/>
  <c r="AM375" i="2"/>
  <c r="AL375" i="2"/>
  <c r="AK351" i="2"/>
  <c r="AE102" i="2"/>
  <c r="Y294" i="2"/>
  <c r="G125" i="2"/>
  <c r="BI386" i="2"/>
  <c r="BN410" i="2" s="1"/>
  <c r="CE410" i="2"/>
  <c r="CE398" i="2"/>
  <c r="AX410" i="2"/>
  <c r="AX398" i="2"/>
  <c r="BD376" i="2"/>
  <c r="BD364" i="2"/>
  <c r="BD352" i="2"/>
  <c r="AH412" i="2"/>
  <c r="AH400" i="2"/>
  <c r="AK410" i="2"/>
  <c r="AK398" i="2"/>
  <c r="K386" i="2"/>
  <c r="BP400" i="2"/>
  <c r="BP412" i="2"/>
  <c r="BJ313" i="2"/>
  <c r="BJ315" i="2"/>
  <c r="BJ317" i="2"/>
  <c r="BJ309" i="2"/>
  <c r="BJ300" i="2"/>
  <c r="BJ301" i="2"/>
  <c r="BJ303" i="2"/>
  <c r="BJ295" i="2"/>
  <c r="BJ311" i="2"/>
  <c r="BJ305" i="2"/>
  <c r="BJ308" i="2"/>
  <c r="BJ299" i="2"/>
  <c r="BJ298" i="2"/>
  <c r="BJ296" i="2"/>
  <c r="BJ297" i="2"/>
  <c r="BM157" i="2"/>
  <c r="BL157" i="2"/>
  <c r="BK157" i="2"/>
  <c r="BJ157" i="2"/>
  <c r="BJ125" i="2"/>
  <c r="BJ93" i="2"/>
  <c r="BJ373" i="2"/>
  <c r="BM373" i="2"/>
  <c r="BL373" i="2"/>
  <c r="BJ361" i="2"/>
  <c r="BJ349" i="2"/>
  <c r="BK373" i="2"/>
  <c r="BJ341" i="2"/>
  <c r="V294" i="2"/>
  <c r="BR273" i="2"/>
  <c r="BR277" i="2"/>
  <c r="BR281" i="2"/>
  <c r="BR283" i="2"/>
  <c r="BR269" i="2"/>
  <c r="BR276" i="2"/>
  <c r="BR271" i="2"/>
  <c r="BR263" i="2"/>
  <c r="BR279" i="2"/>
  <c r="BR264" i="2"/>
  <c r="BR265" i="2"/>
  <c r="BR266" i="2"/>
  <c r="BR267" i="2"/>
  <c r="BR268" i="2"/>
  <c r="BR285" i="2"/>
  <c r="BR189" i="2"/>
  <c r="BP423" i="2"/>
  <c r="BP387" i="2"/>
  <c r="T387" i="2"/>
  <c r="BS273" i="2"/>
  <c r="AE263" i="2"/>
  <c r="BR230" i="2"/>
  <c r="BR198" i="2"/>
  <c r="BB385" i="2"/>
  <c r="BB329" i="2"/>
  <c r="BB423" i="2" s="1"/>
  <c r="V230" i="2"/>
  <c r="V198" i="2"/>
  <c r="AR361" i="2"/>
  <c r="AR341" i="2"/>
  <c r="AR349" i="2"/>
  <c r="BP283" i="2"/>
  <c r="BP269" i="2"/>
  <c r="BP285" i="2"/>
  <c r="BP277" i="2"/>
  <c r="BP279" i="2"/>
  <c r="BP268" i="2"/>
  <c r="BP276" i="2"/>
  <c r="BP271" i="2"/>
  <c r="BP273" i="2"/>
  <c r="BP263" i="2"/>
  <c r="BP264" i="2"/>
  <c r="BP265" i="2"/>
  <c r="BP266" i="2"/>
  <c r="BP281" i="2"/>
  <c r="BP267" i="2"/>
  <c r="BP189" i="2"/>
  <c r="BV275" i="2"/>
  <c r="R243" i="2"/>
  <c r="R211" i="2"/>
  <c r="AJ239" i="2"/>
  <c r="AJ207" i="2"/>
  <c r="P234" i="2"/>
  <c r="P202" i="2"/>
  <c r="CF230" i="2"/>
  <c r="CF198" i="2"/>
  <c r="AR385" i="2"/>
  <c r="AR329" i="2"/>
  <c r="AR421" i="2" s="1"/>
  <c r="AE277" i="2"/>
  <c r="BX235" i="2"/>
  <c r="BX203" i="2"/>
  <c r="BO198" i="2"/>
  <c r="BO230" i="2"/>
  <c r="C385" i="2"/>
  <c r="C397" i="2" s="1"/>
  <c r="C329" i="2"/>
  <c r="C421" i="2" s="1"/>
  <c r="CG311" i="2"/>
  <c r="CG313" i="2"/>
  <c r="CG315" i="2"/>
  <c r="CG317" i="2"/>
  <c r="CG309" i="2"/>
  <c r="CG299" i="2"/>
  <c r="CG300" i="2"/>
  <c r="CG308" i="2"/>
  <c r="CG301" i="2"/>
  <c r="CG305" i="2"/>
  <c r="CG303" i="2"/>
  <c r="CG298" i="2"/>
  <c r="CG296" i="2"/>
  <c r="CG297" i="2"/>
  <c r="CG295" i="2"/>
  <c r="CG93" i="2"/>
  <c r="CG125" i="2"/>
  <c r="E311" i="2"/>
  <c r="E313" i="2"/>
  <c r="E315" i="2"/>
  <c r="E317" i="2"/>
  <c r="E299" i="2"/>
  <c r="E305" i="2"/>
  <c r="E300" i="2"/>
  <c r="E301" i="2"/>
  <c r="E309" i="2"/>
  <c r="E303" i="2"/>
  <c r="E295" i="2"/>
  <c r="E296" i="2"/>
  <c r="E297" i="2"/>
  <c r="E298" i="2"/>
  <c r="E308" i="2"/>
  <c r="E93" i="2"/>
  <c r="BQ375" i="2"/>
  <c r="BP375" i="2"/>
  <c r="BR375" i="2"/>
  <c r="BO375" i="2"/>
  <c r="BO363" i="2"/>
  <c r="BO351" i="2"/>
  <c r="AB375" i="2"/>
  <c r="AD375" i="2"/>
  <c r="AA363" i="2"/>
  <c r="AC375" i="2"/>
  <c r="AA375" i="2"/>
  <c r="AA351" i="2"/>
  <c r="BA341" i="2"/>
  <c r="BA349" i="2"/>
  <c r="BA361" i="2"/>
  <c r="AL373" i="2"/>
  <c r="AK373" i="2"/>
  <c r="AN373" i="2"/>
  <c r="AK341" i="2"/>
  <c r="AK349" i="2"/>
  <c r="AK361" i="2"/>
  <c r="AM373" i="2"/>
  <c r="CG285" i="2"/>
  <c r="CG271" i="2"/>
  <c r="CG273" i="2"/>
  <c r="CG276" i="2"/>
  <c r="CG279" i="2"/>
  <c r="CG281" i="2"/>
  <c r="CG277" i="2"/>
  <c r="CG263" i="2"/>
  <c r="CG283" i="2"/>
  <c r="CG264" i="2"/>
  <c r="CG265" i="2"/>
  <c r="CG269" i="2"/>
  <c r="CG266" i="2"/>
  <c r="CG267" i="2"/>
  <c r="CG268" i="2"/>
  <c r="CG189" i="2"/>
  <c r="CI221" i="2" s="1"/>
  <c r="E285" i="2"/>
  <c r="E271" i="2"/>
  <c r="E276" i="2"/>
  <c r="E279" i="2"/>
  <c r="E281" i="2"/>
  <c r="E269" i="2"/>
  <c r="E273" i="2"/>
  <c r="E263" i="2"/>
  <c r="E264" i="2"/>
  <c r="E265" i="2"/>
  <c r="E266" i="2"/>
  <c r="E277" i="2"/>
  <c r="E267" i="2"/>
  <c r="E268" i="2"/>
  <c r="E283" i="2"/>
  <c r="E189" i="2"/>
  <c r="AI243" i="2"/>
  <c r="AI211" i="2"/>
  <c r="S387" i="2"/>
  <c r="CC239" i="2"/>
  <c r="CC207" i="2"/>
  <c r="P237" i="2"/>
  <c r="P205" i="2"/>
  <c r="AT235" i="2"/>
  <c r="AT203" i="2"/>
  <c r="BX233" i="2"/>
  <c r="BX201" i="2"/>
  <c r="K232" i="2"/>
  <c r="K200" i="2"/>
  <c r="CO385" i="2"/>
  <c r="CO329" i="2"/>
  <c r="CO421" i="2" s="1"/>
  <c r="AK230" i="2"/>
  <c r="AK198" i="2"/>
  <c r="M385" i="2"/>
  <c r="M329" i="2"/>
  <c r="M421" i="2" s="1"/>
  <c r="U362" i="2"/>
  <c r="U374" i="2"/>
  <c r="U350" i="2"/>
  <c r="BH283" i="2"/>
  <c r="BH269" i="2"/>
  <c r="BH285" i="2"/>
  <c r="BH277" i="2"/>
  <c r="BH279" i="2"/>
  <c r="BH271" i="2"/>
  <c r="BH268" i="2"/>
  <c r="BH273" i="2"/>
  <c r="BH281" i="2"/>
  <c r="BH263" i="2"/>
  <c r="BH264" i="2"/>
  <c r="BH276" i="2"/>
  <c r="BH265" i="2"/>
  <c r="BH266" i="2"/>
  <c r="BH267" i="2"/>
  <c r="BH189" i="2"/>
  <c r="BN275" i="2"/>
  <c r="BN179" i="2"/>
  <c r="BI241" i="2"/>
  <c r="BI209" i="2"/>
  <c r="CC235" i="2"/>
  <c r="CC203" i="2"/>
  <c r="BH385" i="2"/>
  <c r="BH329" i="2"/>
  <c r="BH421" i="2" s="1"/>
  <c r="D309" i="2"/>
  <c r="D311" i="2"/>
  <c r="D313" i="2"/>
  <c r="D315" i="2"/>
  <c r="D317" i="2"/>
  <c r="D298" i="2"/>
  <c r="D299" i="2"/>
  <c r="D305" i="2"/>
  <c r="D300" i="2"/>
  <c r="D301" i="2"/>
  <c r="D303" i="2"/>
  <c r="D295" i="2"/>
  <c r="D296" i="2"/>
  <c r="D297" i="2"/>
  <c r="D308" i="2"/>
  <c r="D93" i="2"/>
  <c r="D385" i="2"/>
  <c r="D397" i="2" s="1"/>
  <c r="D329" i="2"/>
  <c r="D423" i="2" s="1"/>
  <c r="AY234" i="2"/>
  <c r="AY202" i="2"/>
  <c r="BW308" i="2"/>
  <c r="BW309" i="2"/>
  <c r="BW311" i="2"/>
  <c r="BW313" i="2"/>
  <c r="BW315" i="2"/>
  <c r="BW297" i="2"/>
  <c r="BW298" i="2"/>
  <c r="BW299" i="2"/>
  <c r="BW300" i="2"/>
  <c r="BW317" i="2"/>
  <c r="BW305" i="2"/>
  <c r="BW301" i="2"/>
  <c r="BW303" i="2"/>
  <c r="BW296" i="2"/>
  <c r="BW295" i="2"/>
  <c r="BW125" i="2"/>
  <c r="BW93" i="2"/>
  <c r="P374" i="2"/>
  <c r="P362" i="2"/>
  <c r="P350" i="2"/>
  <c r="AQ361" i="2"/>
  <c r="AQ341" i="2"/>
  <c r="AQ349" i="2"/>
  <c r="AD373" i="2"/>
  <c r="AC373" i="2"/>
  <c r="AB373" i="2"/>
  <c r="AA373" i="2"/>
  <c r="AA361" i="2"/>
  <c r="AA341" i="2"/>
  <c r="AA349" i="2"/>
  <c r="BM423" i="2"/>
  <c r="BM387" i="2"/>
  <c r="U236" i="2"/>
  <c r="U204" i="2"/>
  <c r="CE198" i="2"/>
  <c r="CE230" i="2"/>
  <c r="BV308" i="2"/>
  <c r="BV309" i="2"/>
  <c r="BV311" i="2"/>
  <c r="BV313" i="2"/>
  <c r="BV315" i="2"/>
  <c r="BV303" i="2"/>
  <c r="BV296" i="2"/>
  <c r="BV299" i="2"/>
  <c r="BV300" i="2"/>
  <c r="BV317" i="2"/>
  <c r="BV305" i="2"/>
  <c r="BV298" i="2"/>
  <c r="BV301" i="2"/>
  <c r="BV295" i="2"/>
  <c r="BV297" i="2"/>
  <c r="BV125" i="2"/>
  <c r="BV93" i="2"/>
  <c r="CB363" i="2"/>
  <c r="CB351" i="2"/>
  <c r="AN363" i="2"/>
  <c r="AN351" i="2"/>
  <c r="CM374" i="2"/>
  <c r="CM362" i="2"/>
  <c r="CM350" i="2"/>
  <c r="CG373" i="2"/>
  <c r="CF373" i="2"/>
  <c r="CE373" i="2"/>
  <c r="CD373" i="2"/>
  <c r="CD341" i="2"/>
  <c r="CD349" i="2"/>
  <c r="CD361" i="2"/>
  <c r="J361" i="2"/>
  <c r="J341" i="2"/>
  <c r="J349" i="2"/>
  <c r="AP279" i="2"/>
  <c r="AP281" i="2"/>
  <c r="AP283" i="2"/>
  <c r="AP285" i="2"/>
  <c r="AP271" i="2"/>
  <c r="AP276" i="2"/>
  <c r="AP277" i="2"/>
  <c r="AP266" i="2"/>
  <c r="AP267" i="2"/>
  <c r="AP268" i="2"/>
  <c r="AP269" i="2"/>
  <c r="AP263" i="2"/>
  <c r="AP273" i="2"/>
  <c r="AP264" i="2"/>
  <c r="AP189" i="2"/>
  <c r="AP265" i="2"/>
  <c r="CB387" i="2"/>
  <c r="X243" i="2"/>
  <c r="X211" i="2"/>
  <c r="AY241" i="2"/>
  <c r="AY209" i="2"/>
  <c r="CC237" i="2"/>
  <c r="CC205" i="2"/>
  <c r="P236" i="2"/>
  <c r="P204" i="2"/>
  <c r="AT202" i="2"/>
  <c r="AT234" i="2"/>
  <c r="BX232" i="2"/>
  <c r="BX200" i="2"/>
  <c r="K231" i="2"/>
  <c r="K199" i="2"/>
  <c r="BV230" i="2"/>
  <c r="BV198" i="2"/>
  <c r="AX385" i="2"/>
  <c r="AX329" i="2"/>
  <c r="AX421" i="2" s="1"/>
  <c r="BS376" i="2"/>
  <c r="BS364" i="2"/>
  <c r="BS352" i="2"/>
  <c r="CJ317" i="2"/>
  <c r="CJ303" i="2"/>
  <c r="CJ309" i="2"/>
  <c r="CJ308" i="2"/>
  <c r="CJ305" i="2"/>
  <c r="CJ311" i="2"/>
  <c r="CJ297" i="2"/>
  <c r="CJ315" i="2"/>
  <c r="CJ298" i="2"/>
  <c r="CJ300" i="2"/>
  <c r="CJ295" i="2"/>
  <c r="CJ299" i="2"/>
  <c r="CJ296" i="2"/>
  <c r="CJ313" i="2"/>
  <c r="CJ301" i="2"/>
  <c r="CJ125" i="2"/>
  <c r="CJ93" i="2"/>
  <c r="H317" i="2"/>
  <c r="H303" i="2"/>
  <c r="H309" i="2"/>
  <c r="H311" i="2"/>
  <c r="H315" i="2"/>
  <c r="H308" i="2"/>
  <c r="H297" i="2"/>
  <c r="H313" i="2"/>
  <c r="H298" i="2"/>
  <c r="H299" i="2"/>
  <c r="H301" i="2"/>
  <c r="H305" i="2"/>
  <c r="H300" i="2"/>
  <c r="H295" i="2"/>
  <c r="H296" i="2"/>
  <c r="H125" i="2"/>
  <c r="H93" i="2"/>
  <c r="BR307" i="2"/>
  <c r="AD351" i="2"/>
  <c r="AD363" i="2"/>
  <c r="N307" i="2"/>
  <c r="BT361" i="2"/>
  <c r="BW373" i="2"/>
  <c r="BV373" i="2"/>
  <c r="BU373" i="2"/>
  <c r="BT373" i="2"/>
  <c r="BT349" i="2"/>
  <c r="BT341" i="2"/>
  <c r="AF361" i="2"/>
  <c r="AI373" i="2"/>
  <c r="AH373" i="2"/>
  <c r="AG373" i="2"/>
  <c r="AF373" i="2"/>
  <c r="AF349" i="2"/>
  <c r="AF341" i="2"/>
  <c r="CJ276" i="2"/>
  <c r="CJ277" i="2"/>
  <c r="CJ281" i="2"/>
  <c r="CJ285" i="2"/>
  <c r="CJ264" i="2"/>
  <c r="CJ265" i="2"/>
  <c r="CJ283" i="2"/>
  <c r="CJ269" i="2"/>
  <c r="CJ266" i="2"/>
  <c r="CJ279" i="2"/>
  <c r="CJ271" i="2"/>
  <c r="CJ267" i="2"/>
  <c r="CJ268" i="2"/>
  <c r="CJ273" i="2"/>
  <c r="CJ263" i="2"/>
  <c r="CJ189" i="2"/>
  <c r="H276" i="2"/>
  <c r="H277" i="2"/>
  <c r="H281" i="2"/>
  <c r="H285" i="2"/>
  <c r="H273" i="2"/>
  <c r="H264" i="2"/>
  <c r="H279" i="2"/>
  <c r="H265" i="2"/>
  <c r="H266" i="2"/>
  <c r="H267" i="2"/>
  <c r="H268" i="2"/>
  <c r="H283" i="2"/>
  <c r="H269" i="2"/>
  <c r="H271" i="2"/>
  <c r="H263" i="2"/>
  <c r="H189" i="2"/>
  <c r="AE276" i="2"/>
  <c r="BR275" i="2"/>
  <c r="AL243" i="2"/>
  <c r="AL211" i="2"/>
  <c r="V387" i="2"/>
  <c r="Z327" i="2"/>
  <c r="CR239" i="2"/>
  <c r="CR207" i="2"/>
  <c r="AE237" i="2"/>
  <c r="AE205" i="2"/>
  <c r="BI235" i="2"/>
  <c r="BI203" i="2"/>
  <c r="CM233" i="2"/>
  <c r="CM201" i="2"/>
  <c r="Z232" i="2"/>
  <c r="Z200" i="2"/>
  <c r="CJ385" i="2"/>
  <c r="CJ329" i="2"/>
  <c r="CJ423" i="2" s="1"/>
  <c r="AF230" i="2"/>
  <c r="AF198" i="2"/>
  <c r="H385" i="2"/>
  <c r="H329" i="2"/>
  <c r="CO363" i="2"/>
  <c r="CO351" i="2"/>
  <c r="CQ361" i="2"/>
  <c r="CQ349" i="2"/>
  <c r="CQ341" i="2"/>
  <c r="I277" i="2"/>
  <c r="I279" i="2"/>
  <c r="I283" i="2"/>
  <c r="I269" i="2"/>
  <c r="I276" i="2"/>
  <c r="I265" i="2"/>
  <c r="I266" i="2"/>
  <c r="I267" i="2"/>
  <c r="I268" i="2"/>
  <c r="I281" i="2"/>
  <c r="I285" i="2"/>
  <c r="I271" i="2"/>
  <c r="I273" i="2"/>
  <c r="I263" i="2"/>
  <c r="I264" i="2"/>
  <c r="I189" i="2"/>
  <c r="BY423" i="2"/>
  <c r="BY387" i="2"/>
  <c r="CC327" i="2"/>
  <c r="BK230" i="2"/>
  <c r="BK198" i="2"/>
  <c r="G243" i="2"/>
  <c r="G211" i="2"/>
  <c r="AU361" i="2"/>
  <c r="AX373" i="2"/>
  <c r="AW373" i="2"/>
  <c r="AV373" i="2"/>
  <c r="AU349" i="2"/>
  <c r="AU373" i="2"/>
  <c r="AU341" i="2"/>
  <c r="CQ243" i="2"/>
  <c r="CQ211" i="2"/>
  <c r="AC275" i="2"/>
  <c r="W230" i="2"/>
  <c r="W198" i="2"/>
  <c r="BM361" i="2"/>
  <c r="BM341" i="2"/>
  <c r="BM349" i="2"/>
  <c r="P251" i="2"/>
  <c r="P219" i="2"/>
  <c r="AT247" i="2"/>
  <c r="AT215" i="2"/>
  <c r="AO179" i="2"/>
  <c r="BI375" i="2"/>
  <c r="CO157" i="2"/>
  <c r="BU361" i="2"/>
  <c r="BU349" i="2"/>
  <c r="BU341" i="2"/>
  <c r="CO275" i="2"/>
  <c r="AS423" i="2"/>
  <c r="AS387" i="2"/>
  <c r="CI385" i="2"/>
  <c r="CI329" i="2"/>
  <c r="CM325" i="2"/>
  <c r="W125" i="2"/>
  <c r="AE339" i="2"/>
  <c r="AE307" i="2"/>
  <c r="AE115" i="2"/>
  <c r="AE147" i="2"/>
  <c r="AE83" i="2"/>
  <c r="CK361" i="2"/>
  <c r="CK349" i="2"/>
  <c r="CK341" i="2"/>
  <c r="BA387" i="2"/>
  <c r="BX241" i="2"/>
  <c r="BX209" i="2"/>
  <c r="K239" i="2"/>
  <c r="K207" i="2"/>
  <c r="AO236" i="2"/>
  <c r="AO204" i="2"/>
  <c r="BS234" i="2"/>
  <c r="BS202" i="2"/>
  <c r="AJ199" i="2"/>
  <c r="AJ231" i="2"/>
  <c r="BQ387" i="2"/>
  <c r="Q385" i="2"/>
  <c r="Q329" i="2"/>
  <c r="Q421" i="2" s="1"/>
  <c r="U325" i="2"/>
  <c r="W243" i="2"/>
  <c r="W211" i="2"/>
  <c r="BU230" i="2"/>
  <c r="BU198" i="2"/>
  <c r="AE70" i="2"/>
  <c r="Y361" i="2"/>
  <c r="Y349" i="2"/>
  <c r="Y341" i="2"/>
  <c r="G157" i="2"/>
  <c r="AV412" i="2"/>
  <c r="AV400" i="2"/>
  <c r="CL410" i="2"/>
  <c r="CL398" i="2"/>
  <c r="CP313" i="2"/>
  <c r="CP315" i="2"/>
  <c r="CP317" i="2"/>
  <c r="CP300" i="2"/>
  <c r="CP311" i="2"/>
  <c r="CP301" i="2"/>
  <c r="CP305" i="2"/>
  <c r="CP295" i="2"/>
  <c r="CP309" i="2"/>
  <c r="CP308" i="2"/>
  <c r="CP299" i="2"/>
  <c r="CP303" i="2"/>
  <c r="CP298" i="2"/>
  <c r="CP296" i="2"/>
  <c r="CP297" i="2"/>
  <c r="CP125" i="2"/>
  <c r="CP93" i="2"/>
  <c r="S385" i="2"/>
  <c r="S329" i="2"/>
  <c r="S423" i="2" s="1"/>
  <c r="BW412" i="2"/>
  <c r="BW400" i="2"/>
  <c r="BX388" i="2"/>
  <c r="BJ410" i="2"/>
  <c r="BJ398" i="2"/>
  <c r="BY410" i="2"/>
  <c r="BY398" i="2"/>
  <c r="X412" i="2"/>
  <c r="X400" i="2"/>
  <c r="BH412" i="2"/>
  <c r="BH400" i="2"/>
  <c r="CQ412" i="2"/>
  <c r="CQ400" i="2"/>
  <c r="O412" i="2"/>
  <c r="O400" i="2"/>
  <c r="BM412" i="2"/>
  <c r="BM400" i="2"/>
  <c r="BL412" i="2"/>
  <c r="BL400" i="2"/>
  <c r="R410" i="2"/>
  <c r="R398" i="2"/>
  <c r="H412" i="2"/>
  <c r="H400" i="2"/>
  <c r="BB313" i="2"/>
  <c r="BB315" i="2"/>
  <c r="BB317" i="2"/>
  <c r="BB311" i="2"/>
  <c r="BB300" i="2"/>
  <c r="BB303" i="2"/>
  <c r="BB301" i="2"/>
  <c r="BB309" i="2"/>
  <c r="BB295" i="2"/>
  <c r="BB308" i="2"/>
  <c r="BB299" i="2"/>
  <c r="BB305" i="2"/>
  <c r="BB298" i="2"/>
  <c r="BB297" i="2"/>
  <c r="BB296" i="2"/>
  <c r="BB125" i="2"/>
  <c r="BB93" i="2"/>
  <c r="CR376" i="2"/>
  <c r="CR364" i="2"/>
  <c r="CR352" i="2"/>
  <c r="P376" i="2"/>
  <c r="P364" i="2"/>
  <c r="P352" i="2"/>
  <c r="BP363" i="2"/>
  <c r="BP351" i="2"/>
  <c r="AB363" i="2"/>
  <c r="AB351" i="2"/>
  <c r="BS362" i="2"/>
  <c r="BS374" i="2"/>
  <c r="BS350" i="2"/>
  <c r="CP294" i="2"/>
  <c r="BR349" i="2"/>
  <c r="BR361" i="2"/>
  <c r="BR341" i="2"/>
  <c r="V373" i="2"/>
  <c r="Y373" i="2"/>
  <c r="X373" i="2"/>
  <c r="W373" i="2"/>
  <c r="V349" i="2"/>
  <c r="V341" i="2"/>
  <c r="V361" i="2"/>
  <c r="BJ273" i="2"/>
  <c r="BJ277" i="2"/>
  <c r="BJ281" i="2"/>
  <c r="BJ283" i="2"/>
  <c r="BJ285" i="2"/>
  <c r="BJ263" i="2"/>
  <c r="BJ264" i="2"/>
  <c r="BJ265" i="2"/>
  <c r="BJ276" i="2"/>
  <c r="BJ266" i="2"/>
  <c r="BJ279" i="2"/>
  <c r="BJ267" i="2"/>
  <c r="BJ269" i="2"/>
  <c r="BJ268" i="2"/>
  <c r="BJ271" i="2"/>
  <c r="BJ189" i="2"/>
  <c r="AO219" i="2"/>
  <c r="AO251" i="2"/>
  <c r="BS247" i="2"/>
  <c r="BS215" i="2"/>
  <c r="CN387" i="2"/>
  <c r="CR327" i="2"/>
  <c r="BH243" i="2"/>
  <c r="BH211" i="2"/>
  <c r="AR423" i="2"/>
  <c r="AR387" i="2"/>
  <c r="L243" i="2"/>
  <c r="L211" i="2"/>
  <c r="AE241" i="2"/>
  <c r="AE209" i="2"/>
  <c r="BI237" i="2"/>
  <c r="BI205" i="2"/>
  <c r="CM203" i="2"/>
  <c r="CM235" i="2"/>
  <c r="Z234" i="2"/>
  <c r="Z202" i="2"/>
  <c r="BD232" i="2"/>
  <c r="BD200" i="2"/>
  <c r="CP230" i="2"/>
  <c r="CP198" i="2"/>
  <c r="BR262" i="2"/>
  <c r="AT166" i="2"/>
  <c r="AT29" i="2"/>
  <c r="AT262" i="2" s="1"/>
  <c r="V262" i="2"/>
  <c r="AZ283" i="2"/>
  <c r="AZ269" i="2"/>
  <c r="AZ285" i="2"/>
  <c r="AZ277" i="2"/>
  <c r="AZ279" i="2"/>
  <c r="AZ276" i="2"/>
  <c r="AZ268" i="2"/>
  <c r="AZ263" i="2"/>
  <c r="AZ264" i="2"/>
  <c r="AZ281" i="2"/>
  <c r="AZ265" i="2"/>
  <c r="AZ271" i="2"/>
  <c r="AZ266" i="2"/>
  <c r="AZ273" i="2"/>
  <c r="AZ267" i="2"/>
  <c r="AZ189" i="2"/>
  <c r="BX213" i="2"/>
  <c r="BX245" i="2"/>
  <c r="BV387" i="2"/>
  <c r="AB230" i="2"/>
  <c r="AB198" i="2"/>
  <c r="Q243" i="2"/>
  <c r="Q211" i="2"/>
  <c r="BY311" i="2"/>
  <c r="BY313" i="2"/>
  <c r="BY315" i="2"/>
  <c r="BY317" i="2"/>
  <c r="BY299" i="2"/>
  <c r="BY300" i="2"/>
  <c r="BY305" i="2"/>
  <c r="BY301" i="2"/>
  <c r="BY309" i="2"/>
  <c r="BY303" i="2"/>
  <c r="BY308" i="2"/>
  <c r="BY295" i="2"/>
  <c r="BY296" i="2"/>
  <c r="BY297" i="2"/>
  <c r="BY298" i="2"/>
  <c r="CB157" i="2"/>
  <c r="CA157" i="2"/>
  <c r="BY93" i="2"/>
  <c r="BZ157" i="2"/>
  <c r="BY157" i="2"/>
  <c r="BY125" i="2"/>
  <c r="BW307" i="2"/>
  <c r="AI307" i="2"/>
  <c r="AS294" i="2"/>
  <c r="AC294" i="2"/>
  <c r="BY285" i="2"/>
  <c r="BY271" i="2"/>
  <c r="BY276" i="2"/>
  <c r="BY279" i="2"/>
  <c r="BY281" i="2"/>
  <c r="BY263" i="2"/>
  <c r="BY277" i="2"/>
  <c r="BY269" i="2"/>
  <c r="BY264" i="2"/>
  <c r="BY273" i="2"/>
  <c r="BY265" i="2"/>
  <c r="BY283" i="2"/>
  <c r="BY266" i="2"/>
  <c r="BY267" i="2"/>
  <c r="BY268" i="2"/>
  <c r="BY189" i="2"/>
  <c r="BX251" i="2"/>
  <c r="BX219" i="2"/>
  <c r="K249" i="2"/>
  <c r="K217" i="2"/>
  <c r="AO245" i="2"/>
  <c r="AO213" i="2"/>
  <c r="CE211" i="2"/>
  <c r="CE243" i="2"/>
  <c r="BO387" i="2"/>
  <c r="BS327" i="2"/>
  <c r="C211" i="2"/>
  <c r="CG230" i="2"/>
  <c r="CG198" i="2"/>
  <c r="BQ385" i="2"/>
  <c r="BQ329" i="2"/>
  <c r="AK262" i="2"/>
  <c r="AS375" i="2"/>
  <c r="AR375" i="2"/>
  <c r="AP375" i="2"/>
  <c r="AQ375" i="2"/>
  <c r="AP363" i="2"/>
  <c r="AP351" i="2"/>
  <c r="CP373" i="2"/>
  <c r="CO373" i="2"/>
  <c r="CN373" i="2"/>
  <c r="CN361" i="2"/>
  <c r="CN341" i="2"/>
  <c r="CQ373" i="2"/>
  <c r="CN349" i="2"/>
  <c r="T283" i="2"/>
  <c r="T269" i="2"/>
  <c r="T285" i="2"/>
  <c r="T277" i="2"/>
  <c r="T279" i="2"/>
  <c r="T268" i="2"/>
  <c r="T281" i="2"/>
  <c r="T263" i="2"/>
  <c r="T276" i="2"/>
  <c r="T264" i="2"/>
  <c r="T265" i="2"/>
  <c r="T271" i="2"/>
  <c r="T266" i="2"/>
  <c r="T273" i="2"/>
  <c r="T267" i="2"/>
  <c r="T189" i="2"/>
  <c r="AJ245" i="2"/>
  <c r="AJ213" i="2"/>
  <c r="AX243" i="2"/>
  <c r="AX211" i="2"/>
  <c r="AJ166" i="2"/>
  <c r="AJ29" i="2"/>
  <c r="AW387" i="2"/>
  <c r="CM234" i="2"/>
  <c r="CM202" i="2"/>
  <c r="BG385" i="2"/>
  <c r="BG329" i="2"/>
  <c r="BG421" i="2" s="1"/>
  <c r="CH376" i="2"/>
  <c r="CH364" i="2"/>
  <c r="CH352" i="2"/>
  <c r="CG375" i="2"/>
  <c r="CF375" i="2"/>
  <c r="CD375" i="2"/>
  <c r="CE375" i="2"/>
  <c r="CD363" i="2"/>
  <c r="CD351" i="2"/>
  <c r="AH307" i="2"/>
  <c r="CL387" i="2"/>
  <c r="BI231" i="2"/>
  <c r="BI199" i="2"/>
  <c r="CK211" i="2"/>
  <c r="CK243" i="2"/>
  <c r="AI385" i="2"/>
  <c r="AI329" i="2"/>
  <c r="AI421" i="2" s="1"/>
  <c r="BO308" i="2"/>
  <c r="BO309" i="2"/>
  <c r="BO311" i="2"/>
  <c r="BO313" i="2"/>
  <c r="BO315" i="2"/>
  <c r="BO297" i="2"/>
  <c r="BO298" i="2"/>
  <c r="BO299" i="2"/>
  <c r="BO305" i="2"/>
  <c r="BO300" i="2"/>
  <c r="BO301" i="2"/>
  <c r="BO295" i="2"/>
  <c r="BO296" i="2"/>
  <c r="BO303" i="2"/>
  <c r="BO317" i="2"/>
  <c r="BO125" i="2"/>
  <c r="BR157" i="2"/>
  <c r="BQ157" i="2"/>
  <c r="BO93" i="2"/>
  <c r="BP157" i="2"/>
  <c r="BO157" i="2"/>
  <c r="AI294" i="2"/>
  <c r="Z251" i="2"/>
  <c r="Z219" i="2"/>
  <c r="BD247" i="2"/>
  <c r="BD215" i="2"/>
  <c r="BE243" i="2"/>
  <c r="BE211" i="2"/>
  <c r="Y423" i="2"/>
  <c r="Y387" i="2"/>
  <c r="CE262" i="2"/>
  <c r="BF308" i="2"/>
  <c r="BF309" i="2"/>
  <c r="BF311" i="2"/>
  <c r="BF313" i="2"/>
  <c r="BF296" i="2"/>
  <c r="BF317" i="2"/>
  <c r="BF305" i="2"/>
  <c r="BF299" i="2"/>
  <c r="BF300" i="2"/>
  <c r="BF298" i="2"/>
  <c r="BF295" i="2"/>
  <c r="BF297" i="2"/>
  <c r="BF315" i="2"/>
  <c r="BF303" i="2"/>
  <c r="BF301" i="2"/>
  <c r="BF125" i="2"/>
  <c r="BF93" i="2"/>
  <c r="BX376" i="2"/>
  <c r="BX364" i="2"/>
  <c r="BX352" i="2"/>
  <c r="AX341" i="2"/>
  <c r="AX349" i="2"/>
  <c r="AX361" i="2"/>
  <c r="AH279" i="2"/>
  <c r="AH281" i="2"/>
  <c r="AH283" i="2"/>
  <c r="AH285" i="2"/>
  <c r="AH271" i="2"/>
  <c r="AH276" i="2"/>
  <c r="AH266" i="2"/>
  <c r="AH267" i="2"/>
  <c r="AH268" i="2"/>
  <c r="AH277" i="2"/>
  <c r="AH269" i="2"/>
  <c r="AH273" i="2"/>
  <c r="AH263" i="2"/>
  <c r="AH264" i="2"/>
  <c r="AH265" i="2"/>
  <c r="AH189" i="2"/>
  <c r="BX249" i="2"/>
  <c r="BX217" i="2"/>
  <c r="K215" i="2"/>
  <c r="K247" i="2"/>
  <c r="AO244" i="2"/>
  <c r="AO212" i="2"/>
  <c r="BT211" i="2"/>
  <c r="BT243" i="2"/>
  <c r="AV387" i="2"/>
  <c r="BV262" i="2"/>
  <c r="AP230" i="2"/>
  <c r="AP198" i="2"/>
  <c r="R385" i="2"/>
  <c r="R329" i="2"/>
  <c r="AT362" i="2"/>
  <c r="AT374" i="2"/>
  <c r="AT350" i="2"/>
  <c r="AX375" i="2"/>
  <c r="AW375" i="2"/>
  <c r="AV375" i="2"/>
  <c r="AU375" i="2"/>
  <c r="AU351" i="2"/>
  <c r="AU363" i="2"/>
  <c r="CB317" i="2"/>
  <c r="CB303" i="2"/>
  <c r="CB309" i="2"/>
  <c r="CB313" i="2"/>
  <c r="CB297" i="2"/>
  <c r="CB308" i="2"/>
  <c r="CB298" i="2"/>
  <c r="CB311" i="2"/>
  <c r="CB301" i="2"/>
  <c r="CB295" i="2"/>
  <c r="CB296" i="2"/>
  <c r="CB300" i="2"/>
  <c r="CB315" i="2"/>
  <c r="CB305" i="2"/>
  <c r="CB299" i="2"/>
  <c r="CB125" i="2"/>
  <c r="CB93" i="2"/>
  <c r="Z376" i="2"/>
  <c r="Z364" i="2"/>
  <c r="Z352" i="2"/>
  <c r="CP307" i="2"/>
  <c r="BR351" i="2"/>
  <c r="BR363" i="2"/>
  <c r="BB307" i="2"/>
  <c r="N351" i="2"/>
  <c r="N363" i="2"/>
  <c r="CB294" i="2"/>
  <c r="AN294" i="2"/>
  <c r="CB276" i="2"/>
  <c r="CB277" i="2"/>
  <c r="CB281" i="2"/>
  <c r="CB285" i="2"/>
  <c r="CB269" i="2"/>
  <c r="CB264" i="2"/>
  <c r="CB271" i="2"/>
  <c r="CB265" i="2"/>
  <c r="CB273" i="2"/>
  <c r="CB266" i="2"/>
  <c r="CB267" i="2"/>
  <c r="CB283" i="2"/>
  <c r="CB268" i="2"/>
  <c r="CB279" i="2"/>
  <c r="CB263" i="2"/>
  <c r="CB189" i="2"/>
  <c r="CM251" i="2"/>
  <c r="CM219" i="2"/>
  <c r="Z249" i="2"/>
  <c r="Z217" i="2"/>
  <c r="BD245" i="2"/>
  <c r="BD213" i="2"/>
  <c r="CP243" i="2"/>
  <c r="CP211" i="2"/>
  <c r="BR387" i="2"/>
  <c r="N243" i="2"/>
  <c r="N211" i="2"/>
  <c r="AE269" i="2"/>
  <c r="CB230" i="2"/>
  <c r="CB198" i="2"/>
  <c r="BL385" i="2"/>
  <c r="BL329" i="2"/>
  <c r="BL421" i="2" s="1"/>
  <c r="BP93" i="2"/>
  <c r="CM179" i="2"/>
  <c r="AM243" i="2"/>
  <c r="AM211" i="2"/>
  <c r="O385" i="2"/>
  <c r="O329" i="2"/>
  <c r="O421" i="2" s="1"/>
  <c r="AU387" i="2"/>
  <c r="AY327" i="2"/>
  <c r="U376" i="2"/>
  <c r="U364" i="2"/>
  <c r="U352" i="2"/>
  <c r="BI337" i="2"/>
  <c r="BI134" i="2"/>
  <c r="BI61" i="2"/>
  <c r="BI294" i="2" s="1"/>
  <c r="BI102" i="2"/>
  <c r="BI70" i="2"/>
  <c r="AY337" i="2"/>
  <c r="AY134" i="2"/>
  <c r="AY102" i="2"/>
  <c r="AY61" i="2"/>
  <c r="AY294" i="2" s="1"/>
  <c r="AY70" i="2"/>
  <c r="I305" i="2"/>
  <c r="I308" i="2"/>
  <c r="I311" i="2"/>
  <c r="I309" i="2"/>
  <c r="I295" i="2"/>
  <c r="I315" i="2"/>
  <c r="I303" i="2"/>
  <c r="I298" i="2"/>
  <c r="I313" i="2"/>
  <c r="I299" i="2"/>
  <c r="I317" i="2"/>
  <c r="I301" i="2"/>
  <c r="I300" i="2"/>
  <c r="I296" i="2"/>
  <c r="I297" i="2"/>
  <c r="I125" i="2"/>
  <c r="I93" i="2"/>
  <c r="AC423" i="2"/>
  <c r="AC387" i="2"/>
  <c r="AG385" i="2"/>
  <c r="AG329" i="2"/>
  <c r="AG421" i="2" s="1"/>
  <c r="AK243" i="2"/>
  <c r="AK211" i="2"/>
  <c r="AT339" i="2"/>
  <c r="AT115" i="2"/>
  <c r="AT147" i="2"/>
  <c r="AT83" i="2"/>
  <c r="CN93" i="2"/>
  <c r="CO423" i="2"/>
  <c r="CO387" i="2"/>
  <c r="CH241" i="2"/>
  <c r="CH209" i="2"/>
  <c r="U239" i="2"/>
  <c r="U207" i="2"/>
  <c r="AY236" i="2"/>
  <c r="AY204" i="2"/>
  <c r="CC234" i="2"/>
  <c r="CC202" i="2"/>
  <c r="P233" i="2"/>
  <c r="P201" i="2"/>
  <c r="AT231" i="2"/>
  <c r="AT199" i="2"/>
  <c r="AW230" i="2"/>
  <c r="AW198" i="2"/>
  <c r="BK243" i="2"/>
  <c r="BK211" i="2"/>
  <c r="O243" i="2"/>
  <c r="O211" i="2"/>
  <c r="BS266" i="2"/>
  <c r="AU385" i="2"/>
  <c r="AU329" i="2"/>
  <c r="AY325" i="2"/>
  <c r="P275" i="2"/>
  <c r="P179" i="2"/>
  <c r="Y189" i="2"/>
  <c r="U249" i="2"/>
  <c r="U217" i="2"/>
  <c r="CG307" i="2"/>
  <c r="BC385" i="2"/>
  <c r="BC329" i="2"/>
  <c r="BC421" i="2" s="1"/>
  <c r="BU262" i="2"/>
  <c r="AY245" i="2"/>
  <c r="AY213" i="2"/>
  <c r="AE134" i="2"/>
  <c r="BN244" i="2"/>
  <c r="BN212" i="2"/>
  <c r="H157" i="2"/>
  <c r="BW410" i="2"/>
  <c r="BW398" i="2"/>
  <c r="BV412" i="2"/>
  <c r="BV400" i="2"/>
  <c r="AW410" i="2"/>
  <c r="AW398" i="2"/>
  <c r="AF410" i="2"/>
  <c r="AF398" i="2"/>
  <c r="L412" i="2"/>
  <c r="L400" i="2"/>
  <c r="V410" i="2"/>
  <c r="V398" i="2"/>
  <c r="BN388" i="2"/>
  <c r="BP410" i="2"/>
  <c r="BP398" i="2"/>
  <c r="AB410" i="2"/>
  <c r="AB398" i="2"/>
  <c r="U386" i="2"/>
  <c r="AP410" i="2"/>
  <c r="AP398" i="2"/>
  <c r="AI412" i="2"/>
  <c r="AI400" i="2"/>
  <c r="BC412" i="2"/>
  <c r="BC400" i="2"/>
  <c r="AW412" i="2"/>
  <c r="AW400" i="2"/>
  <c r="CC386" i="2"/>
  <c r="I398" i="2"/>
  <c r="I410" i="2"/>
  <c r="AF412" i="2"/>
  <c r="AF400" i="2"/>
  <c r="BL398" i="2"/>
  <c r="BL410" i="2"/>
  <c r="CQ410" i="2"/>
  <c r="CQ398" i="2"/>
  <c r="BC410" i="2"/>
  <c r="BC398" i="2"/>
  <c r="O410" i="2"/>
  <c r="O398" i="2"/>
  <c r="AT388" i="2"/>
  <c r="BJ412" i="2"/>
  <c r="BJ400" i="2"/>
  <c r="AE388" i="2"/>
  <c r="F386" i="2"/>
  <c r="S410" i="2"/>
  <c r="S398" i="2"/>
  <c r="Z410" i="2"/>
  <c r="Z398" i="2"/>
  <c r="CH388" i="2"/>
  <c r="CR388" i="2"/>
  <c r="BO400" i="2"/>
  <c r="BO412" i="2"/>
  <c r="BF412" i="2"/>
  <c r="BF400" i="2"/>
  <c r="R412" i="2"/>
  <c r="R400" i="2"/>
  <c r="BU410" i="2"/>
  <c r="BU398" i="2"/>
  <c r="AO386" i="2"/>
  <c r="CR386" i="2"/>
  <c r="X410" i="2"/>
  <c r="X398" i="2"/>
  <c r="AL412" i="2"/>
  <c r="AL400" i="2"/>
  <c r="CP410" i="2"/>
  <c r="CP398" i="2"/>
  <c r="BB410" i="2"/>
  <c r="BB398" i="2"/>
  <c r="N410" i="2"/>
  <c r="N398" i="2"/>
  <c r="CJ412" i="2"/>
  <c r="CJ400" i="2"/>
  <c r="AB412" i="2"/>
  <c r="AB400" i="2"/>
  <c r="BQ410" i="2"/>
  <c r="BQ398" i="2"/>
  <c r="AC410" i="2"/>
  <c r="AC398" i="2"/>
  <c r="BR412" i="2"/>
  <c r="BR400" i="2"/>
  <c r="I412" i="2"/>
  <c r="I400" i="2"/>
  <c r="BH410" i="2"/>
  <c r="BH398" i="2"/>
  <c r="T410" i="2"/>
  <c r="T398" i="2"/>
  <c r="BS386" i="2"/>
  <c r="BD388" i="2"/>
  <c r="BX386" i="2"/>
  <c r="CM386" i="2"/>
  <c r="CC388" i="2"/>
  <c r="CP412" i="2"/>
  <c r="CP400" i="2"/>
  <c r="C398" i="2"/>
  <c r="AL313" i="2"/>
  <c r="AL315" i="2"/>
  <c r="AL317" i="2"/>
  <c r="AL300" i="2"/>
  <c r="AL301" i="2"/>
  <c r="AL309" i="2"/>
  <c r="AL295" i="2"/>
  <c r="AL305" i="2"/>
  <c r="AL308" i="2"/>
  <c r="AL296" i="2"/>
  <c r="AL297" i="2"/>
  <c r="AL311" i="2"/>
  <c r="AL303" i="2"/>
  <c r="AL298" i="2"/>
  <c r="AL299" i="2"/>
  <c r="AL125" i="2"/>
  <c r="AL93" i="2"/>
  <c r="CO375" i="2"/>
  <c r="CN375" i="2"/>
  <c r="CQ375" i="2"/>
  <c r="CN363" i="2"/>
  <c r="CP375" i="2"/>
  <c r="CN351" i="2"/>
  <c r="BA375" i="2"/>
  <c r="AZ375" i="2"/>
  <c r="AZ363" i="2"/>
  <c r="BC375" i="2"/>
  <c r="BB375" i="2"/>
  <c r="AZ351" i="2"/>
  <c r="L375" i="2"/>
  <c r="N375" i="2"/>
  <c r="M375" i="2"/>
  <c r="L363" i="2"/>
  <c r="L351" i="2"/>
  <c r="O375" i="2"/>
  <c r="CP361" i="2"/>
  <c r="CP349" i="2"/>
  <c r="CP341" i="2"/>
  <c r="BB294" i="2"/>
  <c r="AD361" i="2"/>
  <c r="AD349" i="2"/>
  <c r="AD341" i="2"/>
  <c r="BB273" i="2"/>
  <c r="BB277" i="2"/>
  <c r="BB281" i="2"/>
  <c r="BB283" i="2"/>
  <c r="BB279" i="2"/>
  <c r="BB263" i="2"/>
  <c r="BB264" i="2"/>
  <c r="BB285" i="2"/>
  <c r="BB265" i="2"/>
  <c r="BB269" i="2"/>
  <c r="BB266" i="2"/>
  <c r="BB271" i="2"/>
  <c r="BB267" i="2"/>
  <c r="BB268" i="2"/>
  <c r="BB276" i="2"/>
  <c r="BB189" i="2"/>
  <c r="BG253" i="2" s="1"/>
  <c r="BS279" i="2"/>
  <c r="CF243" i="2"/>
  <c r="CF211" i="2"/>
  <c r="BH275" i="2"/>
  <c r="AJ179" i="2"/>
  <c r="AE273" i="2"/>
  <c r="CP262" i="2"/>
  <c r="BR385" i="2"/>
  <c r="BR329" i="2"/>
  <c r="BR423" i="2" s="1"/>
  <c r="AL230" i="2"/>
  <c r="AL198" i="2"/>
  <c r="V385" i="2"/>
  <c r="V329" i="2"/>
  <c r="Z325" i="2"/>
  <c r="BN339" i="2"/>
  <c r="BN147" i="2"/>
  <c r="BN115" i="2"/>
  <c r="BN83" i="2"/>
  <c r="BI362" i="2"/>
  <c r="BI374" i="2"/>
  <c r="BI350" i="2"/>
  <c r="CF361" i="2"/>
  <c r="CF341" i="2"/>
  <c r="CF349" i="2"/>
  <c r="L283" i="2"/>
  <c r="L269" i="2"/>
  <c r="L285" i="2"/>
  <c r="L277" i="2"/>
  <c r="L279" i="2"/>
  <c r="L268" i="2"/>
  <c r="L263" i="2"/>
  <c r="L281" i="2"/>
  <c r="L271" i="2"/>
  <c r="L264" i="2"/>
  <c r="L273" i="2"/>
  <c r="L265" i="2"/>
  <c r="L266" i="2"/>
  <c r="L276" i="2"/>
  <c r="L267" i="2"/>
  <c r="L189" i="2"/>
  <c r="BF243" i="2"/>
  <c r="BF211" i="2"/>
  <c r="R423" i="2"/>
  <c r="R387" i="2"/>
  <c r="K237" i="2"/>
  <c r="K205" i="2"/>
  <c r="AE233" i="2"/>
  <c r="AE201" i="2"/>
  <c r="CF385" i="2"/>
  <c r="CF329" i="2"/>
  <c r="K202" i="2"/>
  <c r="K234" i="2"/>
  <c r="BO385" i="2"/>
  <c r="BO329" i="2"/>
  <c r="BS325" i="2"/>
  <c r="BQ311" i="2"/>
  <c r="BQ313" i="2"/>
  <c r="BQ315" i="2"/>
  <c r="BQ317" i="2"/>
  <c r="BQ299" i="2"/>
  <c r="BQ305" i="2"/>
  <c r="BQ300" i="2"/>
  <c r="BQ301" i="2"/>
  <c r="BQ308" i="2"/>
  <c r="BQ303" i="2"/>
  <c r="BQ309" i="2"/>
  <c r="BQ295" i="2"/>
  <c r="BQ296" i="2"/>
  <c r="BQ297" i="2"/>
  <c r="BQ298" i="2"/>
  <c r="BQ93" i="2"/>
  <c r="BQ125" i="2"/>
  <c r="AY376" i="2"/>
  <c r="AY364" i="2"/>
  <c r="AY352" i="2"/>
  <c r="BW363" i="2"/>
  <c r="BW351" i="2"/>
  <c r="AI363" i="2"/>
  <c r="AI351" i="2"/>
  <c r="AS341" i="2"/>
  <c r="AS361" i="2"/>
  <c r="AS349" i="2"/>
  <c r="AC341" i="2"/>
  <c r="AC361" i="2"/>
  <c r="AC349" i="2"/>
  <c r="BQ285" i="2"/>
  <c r="BQ271" i="2"/>
  <c r="BQ276" i="2"/>
  <c r="BQ279" i="2"/>
  <c r="BQ281" i="2"/>
  <c r="BQ269" i="2"/>
  <c r="BQ273" i="2"/>
  <c r="BQ263" i="2"/>
  <c r="BQ264" i="2"/>
  <c r="BQ265" i="2"/>
  <c r="BQ266" i="2"/>
  <c r="BQ277" i="2"/>
  <c r="BQ267" i="2"/>
  <c r="BQ268" i="2"/>
  <c r="BQ283" i="2"/>
  <c r="BQ189" i="2"/>
  <c r="CE275" i="2"/>
  <c r="BG243" i="2"/>
  <c r="BG211" i="2"/>
  <c r="AI423" i="2"/>
  <c r="AI387" i="2"/>
  <c r="AO239" i="2"/>
  <c r="AO207" i="2"/>
  <c r="BS236" i="2"/>
  <c r="BS204" i="2"/>
  <c r="AJ233" i="2"/>
  <c r="AJ201" i="2"/>
  <c r="BN231" i="2"/>
  <c r="BN199" i="2"/>
  <c r="CG262" i="2"/>
  <c r="BA230" i="2"/>
  <c r="BA198" i="2"/>
  <c r="AK385" i="2"/>
  <c r="AK329" i="2"/>
  <c r="AO325" i="2"/>
  <c r="E262" i="2"/>
  <c r="BV363" i="2"/>
  <c r="BV351" i="2"/>
  <c r="D283" i="2"/>
  <c r="D269" i="2"/>
  <c r="D285" i="2"/>
  <c r="D277" i="2"/>
  <c r="D279" i="2"/>
  <c r="D268" i="2"/>
  <c r="D276" i="2"/>
  <c r="D271" i="2"/>
  <c r="D273" i="2"/>
  <c r="D263" i="2"/>
  <c r="D264" i="2"/>
  <c r="D265" i="2"/>
  <c r="D266" i="2"/>
  <c r="D281" i="2"/>
  <c r="D267" i="2"/>
  <c r="D189" i="2"/>
  <c r="BX207" i="2"/>
  <c r="BX239" i="2"/>
  <c r="CR234" i="2"/>
  <c r="CR202" i="2"/>
  <c r="CN230" i="2"/>
  <c r="CN198" i="2"/>
  <c r="T230" i="2"/>
  <c r="T198" i="2"/>
  <c r="I211" i="2"/>
  <c r="I243" i="2"/>
  <c r="AQ230" i="2"/>
  <c r="AQ198" i="2"/>
  <c r="CL363" i="2"/>
  <c r="CL351" i="2"/>
  <c r="AH363" i="2"/>
  <c r="AH351" i="2"/>
  <c r="AH243" i="2"/>
  <c r="AH211" i="2"/>
  <c r="BD231" i="2"/>
  <c r="BD199" i="2"/>
  <c r="BG308" i="2"/>
  <c r="BG309" i="2"/>
  <c r="BG311" i="2"/>
  <c r="BG313" i="2"/>
  <c r="BG315" i="2"/>
  <c r="BG297" i="2"/>
  <c r="BG298" i="2"/>
  <c r="BG317" i="2"/>
  <c r="BG305" i="2"/>
  <c r="BG299" i="2"/>
  <c r="BG300" i="2"/>
  <c r="BG301" i="2"/>
  <c r="BG303" i="2"/>
  <c r="BG295" i="2"/>
  <c r="BG296" i="2"/>
  <c r="BG125" i="2"/>
  <c r="BG93" i="2"/>
  <c r="BU363" i="2"/>
  <c r="BU351" i="2"/>
  <c r="AG351" i="2"/>
  <c r="AG363" i="2"/>
  <c r="CR350" i="2"/>
  <c r="CR374" i="2"/>
  <c r="CR362" i="2"/>
  <c r="AI341" i="2"/>
  <c r="AI349" i="2"/>
  <c r="AI361" i="2"/>
  <c r="S341" i="2"/>
  <c r="S349" i="2"/>
  <c r="S361" i="2"/>
  <c r="CR241" i="2"/>
  <c r="CR209" i="2"/>
  <c r="AJ235" i="2"/>
  <c r="AJ203" i="2"/>
  <c r="CE385" i="2"/>
  <c r="CE329" i="2"/>
  <c r="AX308" i="2"/>
  <c r="AX309" i="2"/>
  <c r="AX311" i="2"/>
  <c r="AX313" i="2"/>
  <c r="AX296" i="2"/>
  <c r="AX315" i="2"/>
  <c r="AX305" i="2"/>
  <c r="AX299" i="2"/>
  <c r="AX300" i="2"/>
  <c r="AX303" i="2"/>
  <c r="AX297" i="2"/>
  <c r="AX301" i="2"/>
  <c r="AX298" i="2"/>
  <c r="AX317" i="2"/>
  <c r="AX295" i="2"/>
  <c r="AX125" i="2"/>
  <c r="AX93" i="2"/>
  <c r="BL363" i="2"/>
  <c r="BL351" i="2"/>
  <c r="X363" i="2"/>
  <c r="X351" i="2"/>
  <c r="CL361" i="2"/>
  <c r="CL341" i="2"/>
  <c r="CL349" i="2"/>
  <c r="BV294" i="2"/>
  <c r="AH341" i="2"/>
  <c r="AH349" i="2"/>
  <c r="AH361" i="2"/>
  <c r="B341" i="2"/>
  <c r="B342" i="2" s="1"/>
  <c r="R279" i="2"/>
  <c r="R281" i="2"/>
  <c r="R283" i="2"/>
  <c r="R285" i="2"/>
  <c r="R271" i="2"/>
  <c r="R276" i="2"/>
  <c r="R273" i="2"/>
  <c r="R266" i="2"/>
  <c r="R277" i="2"/>
  <c r="R267" i="2"/>
  <c r="R268" i="2"/>
  <c r="R263" i="2"/>
  <c r="R264" i="2"/>
  <c r="R265" i="2"/>
  <c r="R269" i="2"/>
  <c r="R189" i="2"/>
  <c r="W253" i="2" s="1"/>
  <c r="AN243" i="2"/>
  <c r="AN211" i="2"/>
  <c r="X423" i="2"/>
  <c r="X387" i="2"/>
  <c r="K241" i="2"/>
  <c r="K209" i="2"/>
  <c r="AO205" i="2"/>
  <c r="AO237" i="2"/>
  <c r="BS235" i="2"/>
  <c r="BS203" i="2"/>
  <c r="AJ232" i="2"/>
  <c r="AJ200" i="2"/>
  <c r="CL230" i="2"/>
  <c r="CL198" i="2"/>
  <c r="BV385" i="2"/>
  <c r="BV329" i="2"/>
  <c r="AP262" i="2"/>
  <c r="J230" i="2"/>
  <c r="J198" i="2"/>
  <c r="AM363" i="2"/>
  <c r="AM351" i="2"/>
  <c r="BK363" i="2"/>
  <c r="BK351" i="2"/>
  <c r="BT317" i="2"/>
  <c r="BT303" i="2"/>
  <c r="BT309" i="2"/>
  <c r="BT311" i="2"/>
  <c r="BT308" i="2"/>
  <c r="BT315" i="2"/>
  <c r="BT297" i="2"/>
  <c r="BT298" i="2"/>
  <c r="BT313" i="2"/>
  <c r="BT299" i="2"/>
  <c r="BT301" i="2"/>
  <c r="BT305" i="2"/>
  <c r="BT300" i="2"/>
  <c r="BT295" i="2"/>
  <c r="BT296" i="2"/>
  <c r="BU157" i="2"/>
  <c r="BT157" i="2"/>
  <c r="BT125" i="2"/>
  <c r="BW157" i="2"/>
  <c r="BV157" i="2"/>
  <c r="BT93" i="2"/>
  <c r="CP351" i="2"/>
  <c r="CP363" i="2"/>
  <c r="BB351" i="2"/>
  <c r="BB363" i="2"/>
  <c r="F339" i="2"/>
  <c r="AO374" i="2"/>
  <c r="AO350" i="2"/>
  <c r="AO362" i="2"/>
  <c r="CB361" i="2"/>
  <c r="CB349" i="2"/>
  <c r="CB341" i="2"/>
  <c r="AN361" i="2"/>
  <c r="AN349" i="2"/>
  <c r="AN341" i="2"/>
  <c r="X294" i="2"/>
  <c r="BT276" i="2"/>
  <c r="BT277" i="2"/>
  <c r="BT281" i="2"/>
  <c r="BT285" i="2"/>
  <c r="BT273" i="2"/>
  <c r="BT264" i="2"/>
  <c r="BT279" i="2"/>
  <c r="BT265" i="2"/>
  <c r="BT266" i="2"/>
  <c r="BT267" i="2"/>
  <c r="BT268" i="2"/>
  <c r="BT283" i="2"/>
  <c r="BT269" i="2"/>
  <c r="BT263" i="2"/>
  <c r="BT271" i="2"/>
  <c r="BT189" i="2"/>
  <c r="CP275" i="2"/>
  <c r="BJ243" i="2"/>
  <c r="BJ211" i="2"/>
  <c r="AL387" i="2"/>
  <c r="N275" i="2"/>
  <c r="BD239" i="2"/>
  <c r="BD207" i="2"/>
  <c r="CH236" i="2"/>
  <c r="CH204" i="2"/>
  <c r="U235" i="2"/>
  <c r="U203" i="2"/>
  <c r="AY233" i="2"/>
  <c r="AY201" i="2"/>
  <c r="CC231" i="2"/>
  <c r="CC199" i="2"/>
  <c r="CB262" i="2"/>
  <c r="AV230" i="2"/>
  <c r="AV198" i="2"/>
  <c r="AF385" i="2"/>
  <c r="AF329" i="2"/>
  <c r="AF423" i="2" s="1"/>
  <c r="AJ325" i="2"/>
  <c r="CI243" i="2"/>
  <c r="CI211" i="2"/>
  <c r="AM423" i="2"/>
  <c r="AM387" i="2"/>
  <c r="BK385" i="2"/>
  <c r="BK329" i="2"/>
  <c r="BD251" i="2"/>
  <c r="BD219" i="2"/>
  <c r="AO166" i="2"/>
  <c r="AO29" i="2"/>
  <c r="G423" i="2"/>
  <c r="G387" i="2"/>
  <c r="K327" i="2"/>
  <c r="O363" i="2"/>
  <c r="O351" i="2"/>
  <c r="BX374" i="2"/>
  <c r="BX362" i="2"/>
  <c r="BX350" i="2"/>
  <c r="CQ423" i="2"/>
  <c r="CQ387" i="2"/>
  <c r="CK230" i="2"/>
  <c r="CK198" i="2"/>
  <c r="AG253" i="2"/>
  <c r="AG221" i="2"/>
  <c r="BX244" i="2"/>
  <c r="BX212" i="2"/>
  <c r="W385" i="2"/>
  <c r="W329" i="2"/>
  <c r="BS249" i="2"/>
  <c r="BS217" i="2"/>
  <c r="AK275" i="2"/>
  <c r="P339" i="2"/>
  <c r="P115" i="2"/>
  <c r="P147" i="2"/>
  <c r="P83" i="2"/>
  <c r="CP157" i="2"/>
  <c r="Q305" i="2"/>
  <c r="Q308" i="2"/>
  <c r="Q311" i="2"/>
  <c r="Q295" i="2"/>
  <c r="Q313" i="2"/>
  <c r="Q303" i="2"/>
  <c r="Q317" i="2"/>
  <c r="Q298" i="2"/>
  <c r="Q309" i="2"/>
  <c r="Q299" i="2"/>
  <c r="Q296" i="2"/>
  <c r="Q297" i="2"/>
  <c r="Q315" i="2"/>
  <c r="Q300" i="2"/>
  <c r="Q301" i="2"/>
  <c r="Q157" i="2"/>
  <c r="Q125" i="2"/>
  <c r="T157" i="2"/>
  <c r="S157" i="2"/>
  <c r="Q93" i="2"/>
  <c r="R157" i="2"/>
  <c r="Q361" i="2"/>
  <c r="T373" i="2"/>
  <c r="S373" i="2"/>
  <c r="R373" i="2"/>
  <c r="Q373" i="2"/>
  <c r="Q349" i="2"/>
  <c r="Q341" i="2"/>
  <c r="BC243" i="2"/>
  <c r="BC211" i="2"/>
  <c r="BK361" i="2"/>
  <c r="BK349" i="2"/>
  <c r="BK341" i="2"/>
  <c r="CC317" i="2"/>
  <c r="CC157" i="2"/>
  <c r="CC125" i="2"/>
  <c r="CC93" i="2"/>
  <c r="O361" i="2"/>
  <c r="O349" i="2"/>
  <c r="O341" i="2"/>
  <c r="BS102" i="2"/>
  <c r="AG361" i="2"/>
  <c r="AG341" i="2"/>
  <c r="AG349" i="2"/>
  <c r="AJ241" i="2"/>
  <c r="AJ209" i="2"/>
  <c r="BN237" i="2"/>
  <c r="BN205" i="2"/>
  <c r="CR235" i="2"/>
  <c r="CR203" i="2"/>
  <c r="AE234" i="2"/>
  <c r="AE202" i="2"/>
  <c r="BI232" i="2"/>
  <c r="BI200" i="2"/>
  <c r="BW189" i="2"/>
  <c r="BO189" i="2"/>
  <c r="BI166" i="2"/>
  <c r="BI29" i="2"/>
  <c r="BI262" i="2" s="1"/>
  <c r="S189" i="2"/>
  <c r="I230" i="2"/>
  <c r="I198" i="2"/>
  <c r="M243" i="2"/>
  <c r="M211" i="2"/>
  <c r="CG363" i="2"/>
  <c r="CG351" i="2"/>
  <c r="CA294" i="2"/>
  <c r="W361" i="2"/>
  <c r="W349" i="2"/>
  <c r="W341" i="2"/>
  <c r="W423" i="2"/>
  <c r="W387" i="2"/>
  <c r="AB221" i="2"/>
  <c r="AB253" i="2"/>
  <c r="BU385" i="2"/>
  <c r="BU329" i="2"/>
  <c r="BU421" i="2" s="1"/>
  <c r="G93" i="2"/>
  <c r="Y410" i="2"/>
  <c r="Y398" i="2"/>
  <c r="M412" i="2"/>
  <c r="M400" i="2"/>
  <c r="AE386" i="2"/>
  <c r="CF363" i="2"/>
  <c r="CF351" i="2"/>
  <c r="AA412" i="2"/>
  <c r="AA400" i="2"/>
  <c r="CI412" i="2"/>
  <c r="CI400" i="2"/>
  <c r="AU412" i="2"/>
  <c r="AU400" i="2"/>
  <c r="G412" i="2"/>
  <c r="G400" i="2"/>
  <c r="AO388" i="2"/>
  <c r="AG398" i="2"/>
  <c r="AG410" i="2"/>
  <c r="BE412" i="2"/>
  <c r="BE400" i="2"/>
  <c r="Z388" i="2"/>
  <c r="CJ398" i="2"/>
  <c r="CJ410" i="2"/>
  <c r="BD386" i="2"/>
  <c r="AD412" i="2"/>
  <c r="AD400" i="2"/>
  <c r="CI398" i="2"/>
  <c r="CI410" i="2"/>
  <c r="AU398" i="2"/>
  <c r="AU410" i="2"/>
  <c r="G410" i="2"/>
  <c r="G398" i="2"/>
  <c r="BB412" i="2"/>
  <c r="BB400" i="2"/>
  <c r="BO410" i="2"/>
  <c r="BO398" i="2"/>
  <c r="AZ412" i="2"/>
  <c r="AZ400" i="2"/>
  <c r="J410" i="2"/>
  <c r="J398" i="2"/>
  <c r="BV410" i="2"/>
  <c r="BV398" i="2"/>
  <c r="BQ412" i="2"/>
  <c r="BQ400" i="2"/>
  <c r="CH386" i="2"/>
  <c r="BY412" i="2"/>
  <c r="BY400" i="2"/>
  <c r="Y412" i="2"/>
  <c r="Y400" i="2"/>
  <c r="AD313" i="2"/>
  <c r="AD315" i="2"/>
  <c r="AD317" i="2"/>
  <c r="AD300" i="2"/>
  <c r="AD311" i="2"/>
  <c r="AD301" i="2"/>
  <c r="AD308" i="2"/>
  <c r="AD305" i="2"/>
  <c r="AD295" i="2"/>
  <c r="AD299" i="2"/>
  <c r="AD298" i="2"/>
  <c r="AD309" i="2"/>
  <c r="AD303" i="2"/>
  <c r="AD296" i="2"/>
  <c r="AD297" i="2"/>
  <c r="AD125" i="2"/>
  <c r="AD93" i="2"/>
  <c r="BH307" i="2"/>
  <c r="CH337" i="2"/>
  <c r="CH134" i="2"/>
  <c r="CH102" i="2"/>
  <c r="CH61" i="2"/>
  <c r="CH294" i="2" s="1"/>
  <c r="CH70" i="2"/>
  <c r="BB349" i="2"/>
  <c r="BB361" i="2"/>
  <c r="BB341" i="2"/>
  <c r="N294" i="2"/>
  <c r="AL273" i="2"/>
  <c r="AL277" i="2"/>
  <c r="AL281" i="2"/>
  <c r="AL283" i="2"/>
  <c r="AL269" i="2"/>
  <c r="AL271" i="2"/>
  <c r="AL263" i="2"/>
  <c r="AL264" i="2"/>
  <c r="AL265" i="2"/>
  <c r="AL266" i="2"/>
  <c r="AL276" i="2"/>
  <c r="AL267" i="2"/>
  <c r="AL279" i="2"/>
  <c r="AL268" i="2"/>
  <c r="AL285" i="2"/>
  <c r="AL189" i="2"/>
  <c r="CR249" i="2"/>
  <c r="CR217" i="2"/>
  <c r="AE247" i="2"/>
  <c r="AE215" i="2"/>
  <c r="BI244" i="2"/>
  <c r="BI212" i="2"/>
  <c r="BH423" i="2"/>
  <c r="BH387" i="2"/>
  <c r="AB243" i="2"/>
  <c r="AB211" i="2"/>
  <c r="L423" i="2"/>
  <c r="L387" i="2"/>
  <c r="P327" i="2"/>
  <c r="CH239" i="2"/>
  <c r="CH207" i="2"/>
  <c r="U237" i="2"/>
  <c r="U205" i="2"/>
  <c r="AY235" i="2"/>
  <c r="AY203" i="2"/>
  <c r="CC233" i="2"/>
  <c r="CC201" i="2"/>
  <c r="P232" i="2"/>
  <c r="P200" i="2"/>
  <c r="CP385" i="2"/>
  <c r="CP329" i="2"/>
  <c r="BJ230" i="2"/>
  <c r="BJ198" i="2"/>
  <c r="AL262" i="2"/>
  <c r="N230" i="2"/>
  <c r="N198" i="2"/>
  <c r="Z339" i="2"/>
  <c r="Z307" i="2"/>
  <c r="Z147" i="2"/>
  <c r="Z115" i="2"/>
  <c r="Z83" i="2"/>
  <c r="AB361" i="2"/>
  <c r="AB341" i="2"/>
  <c r="AB349" i="2"/>
  <c r="BS251" i="2"/>
  <c r="BS219" i="2"/>
  <c r="CM244" i="2"/>
  <c r="CM212" i="2"/>
  <c r="AE265" i="2"/>
  <c r="BP230" i="2"/>
  <c r="BP198" i="2"/>
  <c r="AB385" i="2"/>
  <c r="AB329" i="2"/>
  <c r="AB421" i="2" s="1"/>
  <c r="Q423" i="2"/>
  <c r="Q387" i="2"/>
  <c r="U327" i="2"/>
  <c r="S198" i="2"/>
  <c r="S230" i="2"/>
  <c r="BA311" i="2"/>
  <c r="BA313" i="2"/>
  <c r="BA315" i="2"/>
  <c r="BA317" i="2"/>
  <c r="BA299" i="2"/>
  <c r="BA300" i="2"/>
  <c r="BA303" i="2"/>
  <c r="BA301" i="2"/>
  <c r="BA309" i="2"/>
  <c r="BA308" i="2"/>
  <c r="BA305" i="2"/>
  <c r="BA296" i="2"/>
  <c r="BA297" i="2"/>
  <c r="BA295" i="2"/>
  <c r="BA298" i="2"/>
  <c r="BA93" i="2"/>
  <c r="BA125" i="2"/>
  <c r="BG363" i="2"/>
  <c r="BG351" i="2"/>
  <c r="S363" i="2"/>
  <c r="S351" i="2"/>
  <c r="BN374" i="2"/>
  <c r="BN362" i="2"/>
  <c r="BN350" i="2"/>
  <c r="BY294" i="2"/>
  <c r="BA285" i="2"/>
  <c r="BA271" i="2"/>
  <c r="BA276" i="2"/>
  <c r="BA279" i="2"/>
  <c r="BA281" i="2"/>
  <c r="BA263" i="2"/>
  <c r="BA283" i="2"/>
  <c r="BA264" i="2"/>
  <c r="BA277" i="2"/>
  <c r="BA265" i="2"/>
  <c r="BA269" i="2"/>
  <c r="BA266" i="2"/>
  <c r="BA273" i="2"/>
  <c r="BA267" i="2"/>
  <c r="BA268" i="2"/>
  <c r="BA189" i="2"/>
  <c r="AJ251" i="2"/>
  <c r="AJ219" i="2"/>
  <c r="BN247" i="2"/>
  <c r="BN215" i="2"/>
  <c r="CR244" i="2"/>
  <c r="CR212" i="2"/>
  <c r="CE387" i="2"/>
  <c r="AA243" i="2"/>
  <c r="AA211" i="2"/>
  <c r="C423" i="2"/>
  <c r="C387" i="2"/>
  <c r="C399" i="2" s="1"/>
  <c r="BS268" i="2"/>
  <c r="CG385" i="2"/>
  <c r="CG329" i="2"/>
  <c r="BA262" i="2"/>
  <c r="AC230" i="2"/>
  <c r="AC198" i="2"/>
  <c r="E385" i="2"/>
  <c r="E329" i="2"/>
  <c r="R307" i="2"/>
  <c r="BH294" i="2"/>
  <c r="AE251" i="2"/>
  <c r="AE219" i="2"/>
  <c r="AY244" i="2"/>
  <c r="AY212" i="2"/>
  <c r="AX423" i="2"/>
  <c r="AX387" i="2"/>
  <c r="CN262" i="2"/>
  <c r="T262" i="2"/>
  <c r="Z233" i="2"/>
  <c r="Z201" i="2"/>
  <c r="AZ230" i="2"/>
  <c r="AZ198" i="2"/>
  <c r="CK387" i="2"/>
  <c r="AQ308" i="2"/>
  <c r="AQ309" i="2"/>
  <c r="AQ311" i="2"/>
  <c r="AQ313" i="2"/>
  <c r="AQ315" i="2"/>
  <c r="AQ317" i="2"/>
  <c r="AQ305" i="2"/>
  <c r="AQ297" i="2"/>
  <c r="AQ298" i="2"/>
  <c r="AQ299" i="2"/>
  <c r="AQ303" i="2"/>
  <c r="AQ300" i="2"/>
  <c r="AQ301" i="2"/>
  <c r="AQ296" i="2"/>
  <c r="AQ295" i="2"/>
  <c r="AQ125" i="2"/>
  <c r="AQ93" i="2"/>
  <c r="CC376" i="2"/>
  <c r="CC352" i="2"/>
  <c r="CC364" i="2"/>
  <c r="BO294" i="2"/>
  <c r="CC249" i="2"/>
  <c r="CC217" i="2"/>
  <c r="P247" i="2"/>
  <c r="P215" i="2"/>
  <c r="BU211" i="2"/>
  <c r="BU243" i="2"/>
  <c r="BE423" i="2"/>
  <c r="BE387" i="2"/>
  <c r="BI327" i="2"/>
  <c r="AA198" i="2"/>
  <c r="AA230" i="2"/>
  <c r="AP308" i="2"/>
  <c r="AP309" i="2"/>
  <c r="AP311" i="2"/>
  <c r="AP313" i="2"/>
  <c r="AP296" i="2"/>
  <c r="AP317" i="2"/>
  <c r="AP305" i="2"/>
  <c r="AP299" i="2"/>
  <c r="AP315" i="2"/>
  <c r="AP303" i="2"/>
  <c r="AP300" i="2"/>
  <c r="AP298" i="2"/>
  <c r="AP301" i="2"/>
  <c r="AP295" i="2"/>
  <c r="AP297" i="2"/>
  <c r="AP125" i="2"/>
  <c r="AS157" i="2"/>
  <c r="AR157" i="2"/>
  <c r="AQ157" i="2"/>
  <c r="AP157" i="2"/>
  <c r="AP93" i="2"/>
  <c r="AY374" i="2"/>
  <c r="AY350" i="2"/>
  <c r="AY362" i="2"/>
  <c r="BV361" i="2"/>
  <c r="BV341" i="2"/>
  <c r="BV349" i="2"/>
  <c r="CL279" i="2"/>
  <c r="CL281" i="2"/>
  <c r="CL283" i="2"/>
  <c r="CL285" i="2"/>
  <c r="CL271" i="2"/>
  <c r="CL276" i="2"/>
  <c r="CL266" i="2"/>
  <c r="CL269" i="2"/>
  <c r="CL267" i="2"/>
  <c r="CL268" i="2"/>
  <c r="CL273" i="2"/>
  <c r="CL263" i="2"/>
  <c r="CL277" i="2"/>
  <c r="CL264" i="2"/>
  <c r="CL265" i="2"/>
  <c r="CL189" i="2"/>
  <c r="J279" i="2"/>
  <c r="J281" i="2"/>
  <c r="J283" i="2"/>
  <c r="J285" i="2"/>
  <c r="J271" i="2"/>
  <c r="J276" i="2"/>
  <c r="J266" i="2"/>
  <c r="J267" i="2"/>
  <c r="J268" i="2"/>
  <c r="J277" i="2"/>
  <c r="J269" i="2"/>
  <c r="J263" i="2"/>
  <c r="J273" i="2"/>
  <c r="J264" i="2"/>
  <c r="J265" i="2"/>
  <c r="J189" i="2"/>
  <c r="AJ249" i="2"/>
  <c r="AJ217" i="2"/>
  <c r="BN245" i="2"/>
  <c r="BN213" i="2"/>
  <c r="CJ243" i="2"/>
  <c r="CJ211" i="2"/>
  <c r="BT423" i="2"/>
  <c r="BT387" i="2"/>
  <c r="BX327" i="2"/>
  <c r="AN275" i="2"/>
  <c r="H211" i="2"/>
  <c r="H243" i="2"/>
  <c r="BS267" i="2"/>
  <c r="CL262" i="2"/>
  <c r="BF230" i="2"/>
  <c r="BF198" i="2"/>
  <c r="AP385" i="2"/>
  <c r="AT325" i="2"/>
  <c r="AP329" i="2"/>
  <c r="AP423" i="2" s="1"/>
  <c r="J262" i="2"/>
  <c r="BL317" i="2"/>
  <c r="BL303" i="2"/>
  <c r="BL309" i="2"/>
  <c r="BL313" i="2"/>
  <c r="BL311" i="2"/>
  <c r="BL297" i="2"/>
  <c r="BL298" i="2"/>
  <c r="BL315" i="2"/>
  <c r="BL308" i="2"/>
  <c r="BL305" i="2"/>
  <c r="BL300" i="2"/>
  <c r="BL296" i="2"/>
  <c r="BL301" i="2"/>
  <c r="BL295" i="2"/>
  <c r="BL299" i="2"/>
  <c r="BL125" i="2"/>
  <c r="BL93" i="2"/>
  <c r="CH339" i="2"/>
  <c r="CH115" i="2"/>
  <c r="CH83" i="2"/>
  <c r="CH147" i="2"/>
  <c r="BL361" i="2"/>
  <c r="BL349" i="2"/>
  <c r="BL341" i="2"/>
  <c r="X361" i="2"/>
  <c r="X349" i="2"/>
  <c r="X341" i="2"/>
  <c r="BL276" i="2"/>
  <c r="BL277" i="2"/>
  <c r="BL281" i="2"/>
  <c r="BL285" i="2"/>
  <c r="BL283" i="2"/>
  <c r="BL264" i="2"/>
  <c r="BL265" i="2"/>
  <c r="BL266" i="2"/>
  <c r="BL267" i="2"/>
  <c r="BL279" i="2"/>
  <c r="BL269" i="2"/>
  <c r="BL268" i="2"/>
  <c r="BL271" i="2"/>
  <c r="BL273" i="2"/>
  <c r="BL263" i="2"/>
  <c r="BL189" i="2"/>
  <c r="AY251" i="2"/>
  <c r="AY219" i="2"/>
  <c r="CC247" i="2"/>
  <c r="CC215" i="2"/>
  <c r="P245" i="2"/>
  <c r="P213" i="2"/>
  <c r="CP387" i="2"/>
  <c r="BJ275" i="2"/>
  <c r="AD243" i="2"/>
  <c r="AD211" i="2"/>
  <c r="N423" i="2"/>
  <c r="N387" i="2"/>
  <c r="CB385" i="2"/>
  <c r="CB329" i="2"/>
  <c r="CB421" i="2" s="1"/>
  <c r="X230" i="2"/>
  <c r="X198" i="2"/>
  <c r="BC315" i="2"/>
  <c r="BC317" i="2"/>
  <c r="BC303" i="2"/>
  <c r="BC301" i="2"/>
  <c r="BC309" i="2"/>
  <c r="BC308" i="2"/>
  <c r="BC296" i="2"/>
  <c r="BC313" i="2"/>
  <c r="BC305" i="2"/>
  <c r="BC299" i="2"/>
  <c r="BC311" i="2"/>
  <c r="BC298" i="2"/>
  <c r="BC295" i="2"/>
  <c r="BC300" i="2"/>
  <c r="BC297" i="2"/>
  <c r="BC93" i="2"/>
  <c r="BC125" i="2"/>
  <c r="AQ189" i="2"/>
  <c r="AR221" i="2" s="1"/>
  <c r="Y230" i="2"/>
  <c r="Y198" i="2"/>
  <c r="AT251" i="2"/>
  <c r="AT219" i="2"/>
  <c r="I294" i="2"/>
  <c r="CH179" i="2"/>
  <c r="K245" i="2"/>
  <c r="K213" i="2"/>
  <c r="BA363" i="2"/>
  <c r="BA351" i="2"/>
  <c r="BC294" i="2"/>
  <c r="BS281" i="2"/>
  <c r="AK423" i="2"/>
  <c r="AK387" i="2"/>
  <c r="AO327" i="2"/>
  <c r="CA363" i="2"/>
  <c r="CA351" i="2"/>
  <c r="CQ157" i="2"/>
  <c r="K337" i="2"/>
  <c r="K134" i="2"/>
  <c r="K61" i="2"/>
  <c r="K294" i="2" s="1"/>
  <c r="K70" i="2"/>
  <c r="K102" i="2"/>
  <c r="G361" i="2"/>
  <c r="J373" i="2"/>
  <c r="I373" i="2"/>
  <c r="H373" i="2"/>
  <c r="G349" i="2"/>
  <c r="G373" i="2"/>
  <c r="G341" i="2"/>
  <c r="AT241" i="2"/>
  <c r="AT209" i="2"/>
  <c r="BX237" i="2"/>
  <c r="BX205" i="2"/>
  <c r="K236" i="2"/>
  <c r="K204" i="2"/>
  <c r="AO234" i="2"/>
  <c r="AO202" i="2"/>
  <c r="BS200" i="2"/>
  <c r="BS232" i="2"/>
  <c r="AW385" i="2"/>
  <c r="AW329" i="2"/>
  <c r="CH251" i="2"/>
  <c r="CH219" i="2"/>
  <c r="BK423" i="2"/>
  <c r="BK387" i="2"/>
  <c r="BQ307" i="2"/>
  <c r="CC102" i="2"/>
  <c r="BE189" i="2"/>
  <c r="BX247" i="2"/>
  <c r="BX215" i="2"/>
  <c r="AC307" i="2"/>
  <c r="BS134" i="2"/>
  <c r="BC276" i="2"/>
  <c r="BC279" i="2"/>
  <c r="BC283" i="2"/>
  <c r="BC285" i="2"/>
  <c r="BC263" i="2"/>
  <c r="BC264" i="2"/>
  <c r="BC265" i="2"/>
  <c r="BC277" i="2"/>
  <c r="BC269" i="2"/>
  <c r="BC266" i="2"/>
  <c r="BC281" i="2"/>
  <c r="BC271" i="2"/>
  <c r="BC267" i="2"/>
  <c r="BC273" i="2"/>
  <c r="BC268" i="2"/>
  <c r="BC189" i="2"/>
  <c r="O423" i="2"/>
  <c r="O387" i="2"/>
  <c r="AE266" i="2"/>
  <c r="BE230" i="2"/>
  <c r="BE198" i="2"/>
  <c r="I262" i="2"/>
  <c r="M275" i="2"/>
  <c r="CR166" i="2"/>
  <c r="CR29" i="2"/>
  <c r="CR275" i="2" s="1"/>
  <c r="CA361" i="2"/>
  <c r="CA349" i="2"/>
  <c r="CA341" i="2"/>
  <c r="CA243" i="2"/>
  <c r="CA211" i="2"/>
  <c r="BM230" i="2"/>
  <c r="BM198" i="2"/>
  <c r="K166" i="2"/>
  <c r="K29" i="2"/>
  <c r="AW305" i="2"/>
  <c r="AW308" i="2"/>
  <c r="AW309" i="2"/>
  <c r="AW311" i="2"/>
  <c r="AW295" i="2"/>
  <c r="AW315" i="2"/>
  <c r="AW298" i="2"/>
  <c r="AW299" i="2"/>
  <c r="AW313" i="2"/>
  <c r="AW303" i="2"/>
  <c r="AW296" i="2"/>
  <c r="AW297" i="2"/>
  <c r="AW301" i="2"/>
  <c r="AW300" i="2"/>
  <c r="AW317" i="2"/>
  <c r="AW125" i="2"/>
  <c r="AW93" i="2"/>
  <c r="AE361" i="2"/>
  <c r="AE349" i="2"/>
  <c r="AE341" i="2"/>
  <c r="AE373" i="2"/>
  <c r="BS61" i="2"/>
  <c r="I157" i="2"/>
  <c r="O125" i="2"/>
  <c r="CB398" i="2"/>
  <c r="CB410" i="2"/>
  <c r="CA398" i="2"/>
  <c r="CA410" i="2"/>
  <c r="AS412" i="2"/>
  <c r="AS400" i="2"/>
  <c r="BG412" i="2"/>
  <c r="BG400" i="2"/>
  <c r="CL412" i="2"/>
  <c r="CL400" i="2"/>
  <c r="AX412" i="2"/>
  <c r="AX400" i="2"/>
  <c r="J412" i="2"/>
  <c r="J400" i="2"/>
  <c r="CO400" i="2"/>
  <c r="CO412" i="2"/>
  <c r="AG412" i="2"/>
  <c r="AG400" i="2"/>
  <c r="BM410" i="2"/>
  <c r="BM398" i="2"/>
  <c r="V412" i="2"/>
  <c r="V400" i="2"/>
  <c r="AV398" i="2"/>
  <c r="AV410" i="2"/>
  <c r="P386" i="2"/>
  <c r="AC412" i="2"/>
  <c r="AC400" i="2"/>
  <c r="BZ410" i="2"/>
  <c r="BZ398" i="2"/>
  <c r="AL410" i="2"/>
  <c r="AL398" i="2"/>
  <c r="CB412" i="2"/>
  <c r="CB400" i="2"/>
  <c r="CO410" i="2"/>
  <c r="CO398" i="2"/>
  <c r="BA410" i="2"/>
  <c r="BA398" i="2"/>
  <c r="M410" i="2"/>
  <c r="M398" i="2"/>
  <c r="BA412" i="2"/>
  <c r="BA400" i="2"/>
  <c r="CN410" i="2"/>
  <c r="CN398" i="2"/>
  <c r="AZ410" i="2"/>
  <c r="AZ398" i="2"/>
  <c r="L410" i="2"/>
  <c r="L398" i="2"/>
  <c r="CD410" i="2"/>
  <c r="CD398" i="2"/>
  <c r="CG412" i="2"/>
  <c r="CG400" i="2"/>
  <c r="AY386" i="2"/>
  <c r="V313" i="2"/>
  <c r="V315" i="2"/>
  <c r="V317" i="2"/>
  <c r="V300" i="2"/>
  <c r="V308" i="2"/>
  <c r="V301" i="2"/>
  <c r="V309" i="2"/>
  <c r="V305" i="2"/>
  <c r="V295" i="2"/>
  <c r="V311" i="2"/>
  <c r="V303" i="2"/>
  <c r="V299" i="2"/>
  <c r="V297" i="2"/>
  <c r="V298" i="2"/>
  <c r="V296" i="2"/>
  <c r="Y157" i="2"/>
  <c r="X157" i="2"/>
  <c r="W157" i="2"/>
  <c r="V157" i="2"/>
  <c r="V125" i="2"/>
  <c r="V93" i="2"/>
  <c r="BH363" i="2"/>
  <c r="BH351" i="2"/>
  <c r="T363" i="2"/>
  <c r="T351" i="2"/>
  <c r="AT337" i="2"/>
  <c r="AT134" i="2"/>
  <c r="AT102" i="2"/>
  <c r="AT61" i="2"/>
  <c r="AT294" i="2" s="1"/>
  <c r="AT70" i="2"/>
  <c r="N361" i="2"/>
  <c r="N349" i="2"/>
  <c r="N341" i="2"/>
  <c r="AD273" i="2"/>
  <c r="AD277" i="2"/>
  <c r="AD281" i="2"/>
  <c r="AD283" i="2"/>
  <c r="AD276" i="2"/>
  <c r="AD285" i="2"/>
  <c r="AD279" i="2"/>
  <c r="AD263" i="2"/>
  <c r="AD264" i="2"/>
  <c r="AD265" i="2"/>
  <c r="AD266" i="2"/>
  <c r="AD267" i="2"/>
  <c r="AD269" i="2"/>
  <c r="AD268" i="2"/>
  <c r="AD271" i="2"/>
  <c r="AD189" i="2"/>
  <c r="AE279" i="2"/>
  <c r="CF423" i="2"/>
  <c r="CF387" i="2"/>
  <c r="AZ243" i="2"/>
  <c r="AZ211" i="2"/>
  <c r="CH166" i="2"/>
  <c r="CH29" i="2"/>
  <c r="AL385" i="2"/>
  <c r="AL329" i="2"/>
  <c r="BS283" i="2"/>
  <c r="BF423" i="2"/>
  <c r="BF387" i="2"/>
  <c r="Z236" i="2"/>
  <c r="Z204" i="2"/>
  <c r="AT232" i="2"/>
  <c r="AT200" i="2"/>
  <c r="L230" i="2"/>
  <c r="L198" i="2"/>
  <c r="P241" i="2"/>
  <c r="P209" i="2"/>
  <c r="CC232" i="2"/>
  <c r="CC200" i="2"/>
  <c r="AS311" i="2"/>
  <c r="AS313" i="2"/>
  <c r="AS315" i="2"/>
  <c r="AS317" i="2"/>
  <c r="AS299" i="2"/>
  <c r="AS303" i="2"/>
  <c r="AS300" i="2"/>
  <c r="AS308" i="2"/>
  <c r="AS301" i="2"/>
  <c r="AS298" i="2"/>
  <c r="AS295" i="2"/>
  <c r="AS309" i="2"/>
  <c r="AS296" i="2"/>
  <c r="AS305" i="2"/>
  <c r="AS297" i="2"/>
  <c r="AS93" i="2"/>
  <c r="AS125" i="2"/>
  <c r="CM339" i="2"/>
  <c r="CM147" i="2"/>
  <c r="CM115" i="2"/>
  <c r="CM83" i="2"/>
  <c r="AY339" i="2"/>
  <c r="AY147" i="2"/>
  <c r="AY115" i="2"/>
  <c r="AY83" i="2"/>
  <c r="K339" i="2"/>
  <c r="K307" i="2"/>
  <c r="K147" i="2"/>
  <c r="K115" i="2"/>
  <c r="K83" i="2"/>
  <c r="CO341" i="2"/>
  <c r="CO361" i="2"/>
  <c r="CO349" i="2"/>
  <c r="BZ373" i="2"/>
  <c r="BY373" i="2"/>
  <c r="CB373" i="2"/>
  <c r="BY341" i="2"/>
  <c r="CA373" i="2"/>
  <c r="BY361" i="2"/>
  <c r="BY349" i="2"/>
  <c r="M341" i="2"/>
  <c r="M361" i="2"/>
  <c r="M349" i="2"/>
  <c r="AS285" i="2"/>
  <c r="AS271" i="2"/>
  <c r="AS276" i="2"/>
  <c r="AS279" i="2"/>
  <c r="AS281" i="2"/>
  <c r="AS263" i="2"/>
  <c r="AS269" i="2"/>
  <c r="AS264" i="2"/>
  <c r="AS273" i="2"/>
  <c r="AS265" i="2"/>
  <c r="AS283" i="2"/>
  <c r="AS266" i="2"/>
  <c r="AS267" i="2"/>
  <c r="AS268" i="2"/>
  <c r="AS277" i="2"/>
  <c r="AS189" i="2"/>
  <c r="BW211" i="2"/>
  <c r="BW243" i="2"/>
  <c r="BG423" i="2"/>
  <c r="BG387" i="2"/>
  <c r="BN241" i="2"/>
  <c r="BN209" i="2"/>
  <c r="CR237" i="2"/>
  <c r="CR205" i="2"/>
  <c r="AE236" i="2"/>
  <c r="AE204" i="2"/>
  <c r="BI234" i="2"/>
  <c r="BI202" i="2"/>
  <c r="CM232" i="2"/>
  <c r="CM200" i="2"/>
  <c r="Z231" i="2"/>
  <c r="Z199" i="2"/>
  <c r="BY230" i="2"/>
  <c r="BY198" i="2"/>
  <c r="BA385" i="2"/>
  <c r="BA329" i="2"/>
  <c r="BA421" i="2" s="1"/>
  <c r="R363" i="2"/>
  <c r="R351" i="2"/>
  <c r="BH361" i="2"/>
  <c r="BH341" i="2"/>
  <c r="BH349" i="2"/>
  <c r="AE283" i="2"/>
  <c r="Z275" i="2"/>
  <c r="Z179" i="2"/>
  <c r="AY237" i="2"/>
  <c r="AY205" i="2"/>
  <c r="BS233" i="2"/>
  <c r="BS201" i="2"/>
  <c r="CN385" i="2"/>
  <c r="CN329" i="2"/>
  <c r="CN421" i="2" s="1"/>
  <c r="CR325" i="2"/>
  <c r="T385" i="2"/>
  <c r="T329" i="2"/>
  <c r="I387" i="2"/>
  <c r="AQ385" i="2"/>
  <c r="AQ329" i="2"/>
  <c r="BF363" i="2"/>
  <c r="BF351" i="2"/>
  <c r="N373" i="2"/>
  <c r="M373" i="2"/>
  <c r="L373" i="2"/>
  <c r="L361" i="2"/>
  <c r="O373" i="2"/>
  <c r="L341" i="2"/>
  <c r="L349" i="2"/>
  <c r="AH423" i="2"/>
  <c r="AH387" i="2"/>
  <c r="BD241" i="2"/>
  <c r="BD209" i="2"/>
  <c r="BW230" i="2"/>
  <c r="BW198" i="2"/>
  <c r="AI308" i="2"/>
  <c r="AI309" i="2"/>
  <c r="AI311" i="2"/>
  <c r="AI313" i="2"/>
  <c r="AI315" i="2"/>
  <c r="AI297" i="2"/>
  <c r="AI298" i="2"/>
  <c r="AI303" i="2"/>
  <c r="AI299" i="2"/>
  <c r="AI317" i="2"/>
  <c r="AI300" i="2"/>
  <c r="AI301" i="2"/>
  <c r="AI295" i="2"/>
  <c r="AI296" i="2"/>
  <c r="AI305" i="2"/>
  <c r="AI125" i="2"/>
  <c r="AI93" i="2"/>
  <c r="BM307" i="2"/>
  <c r="BH375" i="2"/>
  <c r="BF375" i="2"/>
  <c r="BE375" i="2"/>
  <c r="BE363" i="2"/>
  <c r="BG375" i="2"/>
  <c r="BE351" i="2"/>
  <c r="Y307" i="2"/>
  <c r="T375" i="2"/>
  <c r="S375" i="2"/>
  <c r="R375" i="2"/>
  <c r="Q375" i="2"/>
  <c r="Q363" i="2"/>
  <c r="Q351" i="2"/>
  <c r="CE341" i="2"/>
  <c r="CE349" i="2"/>
  <c r="CE361" i="2"/>
  <c r="BR373" i="2"/>
  <c r="BQ373" i="2"/>
  <c r="BP373" i="2"/>
  <c r="BO373" i="2"/>
  <c r="BO341" i="2"/>
  <c r="BO349" i="2"/>
  <c r="BO361" i="2"/>
  <c r="C341" i="2"/>
  <c r="C349" i="2"/>
  <c r="AG243" i="2"/>
  <c r="AG211" i="2"/>
  <c r="AE239" i="2"/>
  <c r="AE207" i="2"/>
  <c r="BN233" i="2"/>
  <c r="BN201" i="2"/>
  <c r="AH308" i="2"/>
  <c r="AH309" i="2"/>
  <c r="AH311" i="2"/>
  <c r="AH313" i="2"/>
  <c r="AH305" i="2"/>
  <c r="AH296" i="2"/>
  <c r="AH303" i="2"/>
  <c r="AH299" i="2"/>
  <c r="AH317" i="2"/>
  <c r="AH300" i="2"/>
  <c r="AH301" i="2"/>
  <c r="AH315" i="2"/>
  <c r="AH295" i="2"/>
  <c r="AH298" i="2"/>
  <c r="AH297" i="2"/>
  <c r="AH125" i="2"/>
  <c r="AH93" i="2"/>
  <c r="R294" i="2"/>
  <c r="CD279" i="2"/>
  <c r="CD281" i="2"/>
  <c r="CD283" i="2"/>
  <c r="CD285" i="2"/>
  <c r="CD271" i="2"/>
  <c r="CD276" i="2"/>
  <c r="CD273" i="2"/>
  <c r="CD266" i="2"/>
  <c r="CD277" i="2"/>
  <c r="CD267" i="2"/>
  <c r="CD268" i="2"/>
  <c r="CD263" i="2"/>
  <c r="CD264" i="2"/>
  <c r="CD265" i="2"/>
  <c r="CD269" i="2"/>
  <c r="CD189" i="2"/>
  <c r="CI253" i="2" s="1"/>
  <c r="B279" i="2"/>
  <c r="B281" i="2"/>
  <c r="B283" i="2"/>
  <c r="B285" i="2"/>
  <c r="B271" i="2"/>
  <c r="B266" i="2"/>
  <c r="B267" i="2"/>
  <c r="B268" i="2"/>
  <c r="B269" i="2"/>
  <c r="B276" i="2"/>
  <c r="B273" i="2"/>
  <c r="B263" i="2"/>
  <c r="B264" i="2"/>
  <c r="B277" i="2"/>
  <c r="B265" i="2"/>
  <c r="B189" i="2"/>
  <c r="BL211" i="2"/>
  <c r="BL243" i="2"/>
  <c r="AN423" i="2"/>
  <c r="AN387" i="2"/>
  <c r="BN239" i="2"/>
  <c r="BN207" i="2"/>
  <c r="CR236" i="2"/>
  <c r="CR204" i="2"/>
  <c r="AE235" i="2"/>
  <c r="AE203" i="2"/>
  <c r="BI201" i="2"/>
  <c r="BI233" i="2"/>
  <c r="CM231" i="2"/>
  <c r="CM199" i="2"/>
  <c r="CL385" i="2"/>
  <c r="CL329" i="2"/>
  <c r="CL421" i="2" s="1"/>
  <c r="AH230" i="2"/>
  <c r="AH198" i="2"/>
  <c r="J385" i="2"/>
  <c r="J329" i="2"/>
  <c r="J423" i="2" s="1"/>
  <c r="CQ363" i="2"/>
  <c r="CQ351" i="2"/>
  <c r="J375" i="2"/>
  <c r="I375" i="2"/>
  <c r="H375" i="2"/>
  <c r="G375" i="2"/>
  <c r="G363" i="2"/>
  <c r="G351" i="2"/>
  <c r="AV317" i="2"/>
  <c r="AV303" i="2"/>
  <c r="AV309" i="2"/>
  <c r="AV311" i="2"/>
  <c r="AV315" i="2"/>
  <c r="AV305" i="2"/>
  <c r="AV297" i="2"/>
  <c r="AV313" i="2"/>
  <c r="AV295" i="2"/>
  <c r="AV296" i="2"/>
  <c r="AV299" i="2"/>
  <c r="AV298" i="2"/>
  <c r="AV308" i="2"/>
  <c r="AV301" i="2"/>
  <c r="AV300" i="2"/>
  <c r="AV125" i="2"/>
  <c r="AV93" i="2"/>
  <c r="AL307" i="2"/>
  <c r="CR337" i="2"/>
  <c r="CR134" i="2"/>
  <c r="CR102" i="2"/>
  <c r="CR70" i="2"/>
  <c r="CR61" i="2"/>
  <c r="CR307" i="2" s="1"/>
  <c r="BD337" i="2"/>
  <c r="BD134" i="2"/>
  <c r="BD102" i="2"/>
  <c r="BD70" i="2"/>
  <c r="BD61" i="2"/>
  <c r="BD294" i="2" s="1"/>
  <c r="P337" i="2"/>
  <c r="P134" i="2"/>
  <c r="P102" i="2"/>
  <c r="P70" i="2"/>
  <c r="P61" i="2"/>
  <c r="P294" i="2" s="1"/>
  <c r="AV276" i="2"/>
  <c r="AV277" i="2"/>
  <c r="AV281" i="2"/>
  <c r="AV285" i="2"/>
  <c r="AV269" i="2"/>
  <c r="AV264" i="2"/>
  <c r="AV271" i="2"/>
  <c r="AV265" i="2"/>
  <c r="AV279" i="2"/>
  <c r="AV273" i="2"/>
  <c r="AV266" i="2"/>
  <c r="AV267" i="2"/>
  <c r="AV283" i="2"/>
  <c r="AV268" i="2"/>
  <c r="AV263" i="2"/>
  <c r="AV189" i="2"/>
  <c r="BZ243" i="2"/>
  <c r="BZ211" i="2"/>
  <c r="BJ423" i="2"/>
  <c r="BJ387" i="2"/>
  <c r="BN327" i="2"/>
  <c r="AD275" i="2"/>
  <c r="CC241" i="2"/>
  <c r="CC209" i="2"/>
  <c r="P239" i="2"/>
  <c r="P207" i="2"/>
  <c r="AT236" i="2"/>
  <c r="AT204" i="2"/>
  <c r="BX234" i="2"/>
  <c r="BX202" i="2"/>
  <c r="K233" i="2"/>
  <c r="K201" i="2"/>
  <c r="AO231" i="2"/>
  <c r="AO199" i="2"/>
  <c r="BT230" i="2"/>
  <c r="BT198" i="2"/>
  <c r="AV385" i="2"/>
  <c r="AV329" i="2"/>
  <c r="CR339" i="2"/>
  <c r="CR115" i="2"/>
  <c r="CR147" i="2"/>
  <c r="CR83" i="2"/>
  <c r="AS363" i="2"/>
  <c r="AS351" i="2"/>
  <c r="CI423" i="2"/>
  <c r="CI387" i="2"/>
  <c r="CM327" i="2"/>
  <c r="U243" i="2"/>
  <c r="U211" i="2"/>
  <c r="U245" i="2"/>
  <c r="U213" i="2"/>
  <c r="CC70" i="2"/>
  <c r="BI364" i="2"/>
  <c r="BI376" i="2"/>
  <c r="BI352" i="2"/>
  <c r="E307" i="2"/>
  <c r="I361" i="2"/>
  <c r="I349" i="2"/>
  <c r="I341" i="2"/>
  <c r="CG243" i="2"/>
  <c r="CG211" i="2"/>
  <c r="CK385" i="2"/>
  <c r="CK329" i="2"/>
  <c r="CK421" i="2" s="1"/>
  <c r="CA230" i="2"/>
  <c r="CA198" i="2"/>
  <c r="BC361" i="2"/>
  <c r="BC349" i="2"/>
  <c r="BC341" i="2"/>
  <c r="AE249" i="2"/>
  <c r="AE217" i="2"/>
  <c r="BI213" i="2"/>
  <c r="BI245" i="2"/>
  <c r="C189" i="2"/>
  <c r="C221" i="2" s="1"/>
  <c r="AJ247" i="2"/>
  <c r="AJ215" i="2"/>
  <c r="BU305" i="2"/>
  <c r="BU308" i="2"/>
  <c r="BU309" i="2"/>
  <c r="BU311" i="2"/>
  <c r="BU295" i="2"/>
  <c r="BU315" i="2"/>
  <c r="BU303" i="2"/>
  <c r="BU298" i="2"/>
  <c r="BU313" i="2"/>
  <c r="BU299" i="2"/>
  <c r="BU301" i="2"/>
  <c r="BU317" i="2"/>
  <c r="BU300" i="2"/>
  <c r="BU296" i="2"/>
  <c r="BU297" i="2"/>
  <c r="BU125" i="2"/>
  <c r="BU93" i="2"/>
  <c r="U337" i="2"/>
  <c r="U134" i="2"/>
  <c r="U61" i="2"/>
  <c r="U294" i="2" s="1"/>
  <c r="U102" i="2"/>
  <c r="U70" i="2"/>
  <c r="CQ276" i="2"/>
  <c r="CQ279" i="2"/>
  <c r="CQ283" i="2"/>
  <c r="CQ285" i="2"/>
  <c r="CQ281" i="2"/>
  <c r="CQ263" i="2"/>
  <c r="CQ273" i="2"/>
  <c r="CQ264" i="2"/>
  <c r="CQ265" i="2"/>
  <c r="CQ266" i="2"/>
  <c r="CQ277" i="2"/>
  <c r="CQ267" i="2"/>
  <c r="CQ269" i="2"/>
  <c r="CQ268" i="2"/>
  <c r="CQ271" i="2"/>
  <c r="CQ189" i="2"/>
  <c r="BC423" i="2"/>
  <c r="BC387" i="2"/>
  <c r="BS264" i="2"/>
  <c r="AE230" i="2"/>
  <c r="AE198" i="2"/>
  <c r="AM230" i="2"/>
  <c r="AM198" i="2"/>
  <c r="BQ363" i="2"/>
  <c r="BQ351" i="2"/>
  <c r="CC134" i="2"/>
  <c r="AC363" i="2"/>
  <c r="AC351" i="2"/>
  <c r="BS275" i="2"/>
  <c r="BS179" i="2"/>
  <c r="F275" i="2"/>
  <c r="F179" i="2"/>
  <c r="CM239" i="2"/>
  <c r="CM207" i="2"/>
  <c r="Z237" i="2"/>
  <c r="Z205" i="2"/>
  <c r="BD235" i="2"/>
  <c r="BD203" i="2"/>
  <c r="CH233" i="2"/>
  <c r="CH201" i="2"/>
  <c r="U232" i="2"/>
  <c r="U200" i="2"/>
  <c r="I385" i="2"/>
  <c r="I329" i="2"/>
  <c r="M423" i="2"/>
  <c r="M387" i="2"/>
  <c r="CQ230" i="2"/>
  <c r="CQ198" i="2"/>
  <c r="G230" i="2"/>
  <c r="G198" i="2"/>
  <c r="BK221" i="2"/>
  <c r="CA189" i="2"/>
  <c r="AM125" i="2"/>
  <c r="O93" i="2"/>
  <c r="Q189" i="2"/>
  <c r="BK125" i="2"/>
  <c r="AY275" i="2" l="1"/>
  <c r="AY262" i="2"/>
  <c r="B423" i="2"/>
  <c r="B421" i="2"/>
  <c r="H423" i="2"/>
  <c r="H421" i="2"/>
  <c r="BQ423" i="2"/>
  <c r="BQ421" i="2"/>
  <c r="AU421" i="2"/>
  <c r="AU423" i="2"/>
  <c r="AJ412" i="2"/>
  <c r="AJ400" i="2"/>
  <c r="V423" i="2"/>
  <c r="V421" i="2"/>
  <c r="BV423" i="2"/>
  <c r="BV421" i="2"/>
  <c r="AO275" i="2"/>
  <c r="AO262" i="2"/>
  <c r="E423" i="2"/>
  <c r="E421" i="2"/>
  <c r="AW421" i="2"/>
  <c r="AW423" i="2"/>
  <c r="K275" i="2"/>
  <c r="K262" i="2"/>
  <c r="CH262" i="2"/>
  <c r="CH275" i="2"/>
  <c r="AL423" i="2"/>
  <c r="AL421" i="2"/>
  <c r="T423" i="2"/>
  <c r="T421" i="2"/>
  <c r="AV423" i="2"/>
  <c r="AV421" i="2"/>
  <c r="I421" i="2"/>
  <c r="I423" i="2"/>
  <c r="BS342" i="2"/>
  <c r="AT285" i="2"/>
  <c r="AT189" i="2"/>
  <c r="AT273" i="2"/>
  <c r="AT283" i="2"/>
  <c r="AT263" i="2"/>
  <c r="AT279" i="2"/>
  <c r="AT266" i="2"/>
  <c r="AT267" i="2"/>
  <c r="AT276" i="2"/>
  <c r="AT277" i="2"/>
  <c r="AT265" i="2"/>
  <c r="AT269" i="2"/>
  <c r="AT281" i="2"/>
  <c r="AT271" i="2"/>
  <c r="AT268" i="2"/>
  <c r="AT264" i="2"/>
  <c r="CN423" i="2"/>
  <c r="S421" i="2"/>
  <c r="Q389" i="2"/>
  <c r="Q330" i="2"/>
  <c r="Q424" i="2"/>
  <c r="Q422" i="2"/>
  <c r="BA423" i="2"/>
  <c r="AE375" i="2"/>
  <c r="AE363" i="2"/>
  <c r="AE351" i="2"/>
  <c r="AO211" i="2"/>
  <c r="AO243" i="2"/>
  <c r="CJ421" i="2"/>
  <c r="D421" i="2"/>
  <c r="BN243" i="2"/>
  <c r="BN211" i="2"/>
  <c r="AJ294" i="2"/>
  <c r="Z285" i="2"/>
  <c r="Z189" i="2"/>
  <c r="Z265" i="2"/>
  <c r="Z281" i="2"/>
  <c r="Z283" i="2"/>
  <c r="Z266" i="2"/>
  <c r="Z264" i="2"/>
  <c r="Z267" i="2"/>
  <c r="Z271" i="2"/>
  <c r="Z273" i="2"/>
  <c r="Z276" i="2"/>
  <c r="Z277" i="2"/>
  <c r="Z279" i="2"/>
  <c r="Z269" i="2"/>
  <c r="Z263" i="2"/>
  <c r="Z268" i="2"/>
  <c r="G253" i="2"/>
  <c r="G221" i="2"/>
  <c r="BU253" i="2"/>
  <c r="BU221" i="2"/>
  <c r="BB411" i="2"/>
  <c r="BB399" i="2"/>
  <c r="AF411" i="2"/>
  <c r="AF399" i="2"/>
  <c r="AP411" i="2"/>
  <c r="AP399" i="2"/>
  <c r="BZ409" i="2"/>
  <c r="BZ397" i="2"/>
  <c r="BI412" i="2"/>
  <c r="BI400" i="2"/>
  <c r="AW365" i="2"/>
  <c r="AW353" i="2"/>
  <c r="AW342" i="2"/>
  <c r="AE243" i="2"/>
  <c r="AE211" i="2"/>
  <c r="CA389" i="2"/>
  <c r="CA330" i="2"/>
  <c r="CA422" i="2"/>
  <c r="CA424" i="2"/>
  <c r="CC285" i="2"/>
  <c r="CC189" i="2"/>
  <c r="CC279" i="2"/>
  <c r="CC281" i="2"/>
  <c r="CC265" i="2"/>
  <c r="CC263" i="2"/>
  <c r="CC266" i="2"/>
  <c r="CC269" i="2"/>
  <c r="CC267" i="2"/>
  <c r="CC271" i="2"/>
  <c r="CC276" i="2"/>
  <c r="CC277" i="2"/>
  <c r="CC283" i="2"/>
  <c r="CC268" i="2"/>
  <c r="CC273" i="2"/>
  <c r="CC264" i="2"/>
  <c r="BF353" i="2"/>
  <c r="BF365" i="2"/>
  <c r="BF342" i="2"/>
  <c r="AA253" i="2"/>
  <c r="AA221" i="2"/>
  <c r="BW389" i="2"/>
  <c r="BW330" i="2"/>
  <c r="BW424" i="2"/>
  <c r="BW422" i="2"/>
  <c r="BY389" i="2"/>
  <c r="BY330" i="2"/>
  <c r="BY424" i="2"/>
  <c r="BY422" i="2"/>
  <c r="AZ411" i="2"/>
  <c r="AZ399" i="2"/>
  <c r="BX375" i="2"/>
  <c r="BX363" i="2"/>
  <c r="BX351" i="2"/>
  <c r="CA423" i="2"/>
  <c r="U230" i="2"/>
  <c r="U198" i="2"/>
  <c r="BD243" i="2"/>
  <c r="BD211" i="2"/>
  <c r="Y389" i="2"/>
  <c r="Y330" i="2"/>
  <c r="Y424" i="2"/>
  <c r="Y422" i="2"/>
  <c r="X389" i="2"/>
  <c r="X330" i="2"/>
  <c r="X422" i="2"/>
  <c r="X424" i="2"/>
  <c r="AE385" i="2"/>
  <c r="AE329" i="2"/>
  <c r="AE421" i="2" s="1"/>
  <c r="AZ409" i="2"/>
  <c r="AZ397" i="2"/>
  <c r="BC377" i="2"/>
  <c r="BB377" i="2"/>
  <c r="BA377" i="2"/>
  <c r="AZ377" i="2"/>
  <c r="AZ353" i="2"/>
  <c r="AZ365" i="2"/>
  <c r="AZ342" i="2"/>
  <c r="F387" i="2"/>
  <c r="P400" i="2"/>
  <c r="M411" i="2"/>
  <c r="M399" i="2"/>
  <c r="AQ389" i="2"/>
  <c r="AQ330" i="2"/>
  <c r="AQ422" i="2"/>
  <c r="AQ424" i="2"/>
  <c r="P410" i="2"/>
  <c r="P398" i="2"/>
  <c r="BI387" i="2"/>
  <c r="AO230" i="2"/>
  <c r="AO198" i="2"/>
  <c r="AO385" i="2"/>
  <c r="AO329" i="2"/>
  <c r="CF389" i="2"/>
  <c r="CF330" i="2"/>
  <c r="CF422" i="2"/>
  <c r="CF424" i="2"/>
  <c r="AU409" i="2"/>
  <c r="AU397" i="2"/>
  <c r="AZ253" i="2"/>
  <c r="AZ221" i="2"/>
  <c r="CN411" i="2"/>
  <c r="CN399" i="2"/>
  <c r="S409" i="2"/>
  <c r="S397" i="2"/>
  <c r="Y365" i="2"/>
  <c r="Y353" i="2"/>
  <c r="Y342" i="2"/>
  <c r="CJ409" i="2"/>
  <c r="CJ397" i="2"/>
  <c r="AJ387" i="2"/>
  <c r="CQ409" i="2"/>
  <c r="CQ397" i="2"/>
  <c r="BN317" i="2"/>
  <c r="BN125" i="2"/>
  <c r="BN157" i="2"/>
  <c r="BN93" i="2"/>
  <c r="BN296" i="2"/>
  <c r="BN313" i="2"/>
  <c r="BN315" i="2"/>
  <c r="BN311" i="2"/>
  <c r="BN300" i="2"/>
  <c r="BN305" i="2"/>
  <c r="BN308" i="2"/>
  <c r="BN309" i="2"/>
  <c r="BN303" i="2"/>
  <c r="BN298" i="2"/>
  <c r="BN299" i="2"/>
  <c r="BN301" i="2"/>
  <c r="BN295" i="2"/>
  <c r="BN297" i="2"/>
  <c r="BQ365" i="2"/>
  <c r="BQ353" i="2"/>
  <c r="BQ342" i="2"/>
  <c r="F285" i="2"/>
  <c r="F189" i="2"/>
  <c r="F263" i="2"/>
  <c r="F279" i="2"/>
  <c r="F266" i="2"/>
  <c r="F267" i="2"/>
  <c r="F276" i="2"/>
  <c r="F277" i="2"/>
  <c r="F265" i="2"/>
  <c r="F264" i="2"/>
  <c r="F283" i="2"/>
  <c r="F281" i="2"/>
  <c r="F271" i="2"/>
  <c r="F268" i="2"/>
  <c r="F269" i="2"/>
  <c r="F273" i="2"/>
  <c r="U285" i="2"/>
  <c r="U189" i="2"/>
  <c r="U269" i="2"/>
  <c r="U267" i="2"/>
  <c r="U281" i="2"/>
  <c r="U271" i="2"/>
  <c r="U268" i="2"/>
  <c r="U283" i="2"/>
  <c r="U279" i="2"/>
  <c r="U265" i="2"/>
  <c r="U266" i="2"/>
  <c r="U263" i="2"/>
  <c r="U273" i="2"/>
  <c r="U276" i="2"/>
  <c r="U264" i="2"/>
  <c r="U277" i="2"/>
  <c r="U275" i="2"/>
  <c r="AZ389" i="2"/>
  <c r="AZ330" i="2"/>
  <c r="AZ424" i="2"/>
  <c r="AZ422" i="2"/>
  <c r="BX243" i="2"/>
  <c r="BX211" i="2"/>
  <c r="CA253" i="2"/>
  <c r="CA221" i="2"/>
  <c r="BA409" i="2"/>
  <c r="BA397" i="2"/>
  <c r="CO365" i="2"/>
  <c r="CO353" i="2"/>
  <c r="CO342" i="2"/>
  <c r="AP409" i="2"/>
  <c r="AP397" i="2"/>
  <c r="CP389" i="2"/>
  <c r="CP330" i="2"/>
  <c r="CP424" i="2"/>
  <c r="CP422" i="2"/>
  <c r="BI230" i="2"/>
  <c r="BI198" i="2"/>
  <c r="AK389" i="2"/>
  <c r="AK330" i="2"/>
  <c r="AK422" i="2"/>
  <c r="AK424" i="2"/>
  <c r="AJ243" i="2"/>
  <c r="AJ211" i="2"/>
  <c r="AH253" i="2"/>
  <c r="AH221" i="2"/>
  <c r="Y411" i="2"/>
  <c r="Y399" i="2"/>
  <c r="AJ285" i="2"/>
  <c r="AJ189" i="2"/>
  <c r="AJ281" i="2"/>
  <c r="AJ283" i="2"/>
  <c r="AJ273" i="2"/>
  <c r="AJ264" i="2"/>
  <c r="AJ267" i="2"/>
  <c r="AJ265" i="2"/>
  <c r="AJ277" i="2"/>
  <c r="AJ263" i="2"/>
  <c r="AJ271" i="2"/>
  <c r="AJ268" i="2"/>
  <c r="AJ276" i="2"/>
  <c r="AJ266" i="2"/>
  <c r="AJ269" i="2"/>
  <c r="AJ279" i="2"/>
  <c r="BK253" i="2"/>
  <c r="I389" i="2"/>
  <c r="I330" i="2"/>
  <c r="I424" i="2"/>
  <c r="I422" i="2"/>
  <c r="CK389" i="2"/>
  <c r="CK330" i="2"/>
  <c r="CK422" i="2"/>
  <c r="CK424" i="2"/>
  <c r="BD317" i="2"/>
  <c r="BD157" i="2"/>
  <c r="BD125" i="2"/>
  <c r="BD93" i="2"/>
  <c r="BD305" i="2"/>
  <c r="BD313" i="2"/>
  <c r="BD297" i="2"/>
  <c r="BD299" i="2"/>
  <c r="BD315" i="2"/>
  <c r="BD301" i="2"/>
  <c r="BD303" i="2"/>
  <c r="BD295" i="2"/>
  <c r="BD309" i="2"/>
  <c r="BD311" i="2"/>
  <c r="BD308" i="2"/>
  <c r="BD300" i="2"/>
  <c r="BD296" i="2"/>
  <c r="BD298" i="2"/>
  <c r="J421" i="2"/>
  <c r="AN411" i="2"/>
  <c r="AN399" i="2"/>
  <c r="BR377" i="2"/>
  <c r="BQ377" i="2"/>
  <c r="BP377" i="2"/>
  <c r="BO377" i="2"/>
  <c r="BO353" i="2"/>
  <c r="BO365" i="2"/>
  <c r="BO342" i="2"/>
  <c r="AQ421" i="2"/>
  <c r="CN409" i="2"/>
  <c r="CN397" i="2"/>
  <c r="AY307" i="2"/>
  <c r="CH285" i="2"/>
  <c r="CH189" i="2"/>
  <c r="CH283" i="2"/>
  <c r="CH271" i="2"/>
  <c r="CH268" i="2"/>
  <c r="CH273" i="2"/>
  <c r="CH263" i="2"/>
  <c r="CH279" i="2"/>
  <c r="CH266" i="2"/>
  <c r="CH269" i="2"/>
  <c r="CH264" i="2"/>
  <c r="CH267" i="2"/>
  <c r="CH276" i="2"/>
  <c r="CH281" i="2"/>
  <c r="CH277" i="2"/>
  <c r="CH265" i="2"/>
  <c r="AD253" i="2"/>
  <c r="AD221" i="2"/>
  <c r="N365" i="2"/>
  <c r="N342" i="2"/>
  <c r="N353" i="2"/>
  <c r="AT373" i="2"/>
  <c r="AT361" i="2"/>
  <c r="AT349" i="2"/>
  <c r="AT341" i="2"/>
  <c r="K285" i="2"/>
  <c r="K189" i="2"/>
  <c r="K268" i="2"/>
  <c r="K277" i="2"/>
  <c r="K273" i="2"/>
  <c r="K266" i="2"/>
  <c r="K269" i="2"/>
  <c r="K279" i="2"/>
  <c r="K281" i="2"/>
  <c r="K271" i="2"/>
  <c r="K263" i="2"/>
  <c r="K264" i="2"/>
  <c r="K283" i="2"/>
  <c r="K276" i="2"/>
  <c r="K267" i="2"/>
  <c r="K265" i="2"/>
  <c r="BE253" i="2"/>
  <c r="BE221" i="2"/>
  <c r="AW409" i="2"/>
  <c r="AW397" i="2"/>
  <c r="K373" i="2"/>
  <c r="K361" i="2"/>
  <c r="K341" i="2"/>
  <c r="K349" i="2"/>
  <c r="CB389" i="2"/>
  <c r="CB330" i="2"/>
  <c r="CB424" i="2"/>
  <c r="CB422" i="2"/>
  <c r="CP411" i="2"/>
  <c r="CP399" i="2"/>
  <c r="BL253" i="2"/>
  <c r="BL221" i="2"/>
  <c r="X365" i="2"/>
  <c r="X353" i="2"/>
  <c r="X342" i="2"/>
  <c r="AP421" i="2"/>
  <c r="BX387" i="2"/>
  <c r="AB389" i="2"/>
  <c r="AB330" i="2"/>
  <c r="AB424" i="2"/>
  <c r="AB422" i="2"/>
  <c r="CP409" i="2"/>
  <c r="CP397" i="2"/>
  <c r="BK365" i="2"/>
  <c r="BK353" i="2"/>
  <c r="BK342" i="2"/>
  <c r="BT253" i="2"/>
  <c r="BT221" i="2"/>
  <c r="AH353" i="2"/>
  <c r="AH342" i="2"/>
  <c r="AH365" i="2"/>
  <c r="AK409" i="2"/>
  <c r="AK397" i="2"/>
  <c r="BS385" i="2"/>
  <c r="BS329" i="2"/>
  <c r="CF421" i="2"/>
  <c r="CF425" i="2" s="1"/>
  <c r="AJ275" i="2"/>
  <c r="BD412" i="2"/>
  <c r="BD400" i="2"/>
  <c r="AO410" i="2"/>
  <c r="AO398" i="2"/>
  <c r="AT412" i="2"/>
  <c r="AT400" i="2"/>
  <c r="U410" i="2"/>
  <c r="U398" i="2"/>
  <c r="AG389" i="2"/>
  <c r="AG330" i="2"/>
  <c r="AG422" i="2"/>
  <c r="AG424" i="2"/>
  <c r="O389" i="2"/>
  <c r="O330" i="2"/>
  <c r="O422" i="2"/>
  <c r="O424" i="2"/>
  <c r="BL389" i="2"/>
  <c r="BL330" i="2"/>
  <c r="BL424" i="2"/>
  <c r="BL422" i="2"/>
  <c r="BR411" i="2"/>
  <c r="BR399" i="2"/>
  <c r="R409" i="2"/>
  <c r="R397" i="2"/>
  <c r="BG389" i="2"/>
  <c r="BG330" i="2"/>
  <c r="BG424" i="2"/>
  <c r="BG422" i="2"/>
  <c r="AJ230" i="2"/>
  <c r="AJ198" i="2"/>
  <c r="CQ377" i="2"/>
  <c r="CP377" i="2"/>
  <c r="CO377" i="2"/>
  <c r="CN377" i="2"/>
  <c r="CN353" i="2"/>
  <c r="CN365" i="2"/>
  <c r="CN342" i="2"/>
  <c r="AT230" i="2"/>
  <c r="AT198" i="2"/>
  <c r="Q409" i="2"/>
  <c r="Q397" i="2"/>
  <c r="CK365" i="2"/>
  <c r="CK353" i="2"/>
  <c r="CK342" i="2"/>
  <c r="BU365" i="2"/>
  <c r="BU342" i="2"/>
  <c r="BU353" i="2"/>
  <c r="CC387" i="2"/>
  <c r="H389" i="2"/>
  <c r="H330" i="2"/>
  <c r="H424" i="2"/>
  <c r="H422" i="2"/>
  <c r="BU377" i="2"/>
  <c r="BT377" i="2"/>
  <c r="BW377" i="2"/>
  <c r="BT365" i="2"/>
  <c r="BV377" i="2"/>
  <c r="BT353" i="2"/>
  <c r="BT342" i="2"/>
  <c r="AX389" i="2"/>
  <c r="AX330" i="2"/>
  <c r="AX424" i="2"/>
  <c r="AX422" i="2"/>
  <c r="BH389" i="2"/>
  <c r="BH330" i="2"/>
  <c r="BH422" i="2"/>
  <c r="BH424" i="2"/>
  <c r="AJ373" i="2"/>
  <c r="AJ361" i="2"/>
  <c r="AJ341" i="2"/>
  <c r="AJ349" i="2"/>
  <c r="BM253" i="2"/>
  <c r="BM221" i="2"/>
  <c r="Z230" i="2"/>
  <c r="Z198" i="2"/>
  <c r="BE377" i="2"/>
  <c r="BH377" i="2"/>
  <c r="BE365" i="2"/>
  <c r="BG377" i="2"/>
  <c r="BF377" i="2"/>
  <c r="BE342" i="2"/>
  <c r="BE353" i="2"/>
  <c r="AN389" i="2"/>
  <c r="AN330" i="2"/>
  <c r="AN424" i="2"/>
  <c r="AN422" i="2"/>
  <c r="CJ365" i="2"/>
  <c r="CJ353" i="2"/>
  <c r="CJ342" i="2"/>
  <c r="BZ421" i="2"/>
  <c r="Z317" i="2"/>
  <c r="Z125" i="2"/>
  <c r="Z157" i="2"/>
  <c r="Z93" i="2"/>
  <c r="Z309" i="2"/>
  <c r="Z299" i="2"/>
  <c r="Z301" i="2"/>
  <c r="Z300" i="2"/>
  <c r="Z303" i="2"/>
  <c r="Z295" i="2"/>
  <c r="Z298" i="2"/>
  <c r="Z313" i="2"/>
  <c r="Z297" i="2"/>
  <c r="Z296" i="2"/>
  <c r="Z315" i="2"/>
  <c r="Z311" i="2"/>
  <c r="Z305" i="2"/>
  <c r="Z308" i="2"/>
  <c r="CR243" i="2"/>
  <c r="CR211" i="2"/>
  <c r="CA409" i="2"/>
  <c r="CA397" i="2"/>
  <c r="CC230" i="2"/>
  <c r="CC198" i="2"/>
  <c r="BX385" i="2"/>
  <c r="BX329" i="2"/>
  <c r="BG353" i="2"/>
  <c r="BG365" i="2"/>
  <c r="BG342" i="2"/>
  <c r="BW409" i="2"/>
  <c r="BW397" i="2"/>
  <c r="BY409" i="2"/>
  <c r="BY397" i="2"/>
  <c r="BW399" i="2"/>
  <c r="BW411" i="2"/>
  <c r="P385" i="2"/>
  <c r="P329" i="2"/>
  <c r="F262" i="2"/>
  <c r="AZ423" i="2"/>
  <c r="U262" i="2"/>
  <c r="BS198" i="2"/>
  <c r="Y409" i="2"/>
  <c r="Y397" i="2"/>
  <c r="X409" i="2"/>
  <c r="X397" i="2"/>
  <c r="AA389" i="2"/>
  <c r="AA330" i="2"/>
  <c r="AA424" i="2"/>
  <c r="AA422" i="2"/>
  <c r="AZ421" i="2"/>
  <c r="AZ425" i="2" s="1"/>
  <c r="F341" i="2"/>
  <c r="F342" i="2" s="1"/>
  <c r="AE125" i="2"/>
  <c r="BJ411" i="2"/>
  <c r="BJ399" i="2"/>
  <c r="P363" i="2"/>
  <c r="P375" i="2"/>
  <c r="P351" i="2"/>
  <c r="CC410" i="2"/>
  <c r="CC398" i="2"/>
  <c r="CO411" i="2"/>
  <c r="CO399" i="2"/>
  <c r="T221" i="2"/>
  <c r="T253" i="2"/>
  <c r="AP253" i="2"/>
  <c r="AP221" i="2"/>
  <c r="S411" i="2"/>
  <c r="S399" i="2"/>
  <c r="BD375" i="2"/>
  <c r="BD363" i="2"/>
  <c r="BD351" i="2"/>
  <c r="AS409" i="2"/>
  <c r="AS397" i="2"/>
  <c r="AY412" i="2"/>
  <c r="AY400" i="2"/>
  <c r="CA411" i="2"/>
  <c r="CA399" i="2"/>
  <c r="H411" i="2"/>
  <c r="H399" i="2"/>
  <c r="F317" i="2"/>
  <c r="F300" i="2"/>
  <c r="F308" i="2"/>
  <c r="F303" i="2"/>
  <c r="F299" i="2"/>
  <c r="F297" i="2"/>
  <c r="F315" i="2"/>
  <c r="F305" i="2"/>
  <c r="F313" i="2"/>
  <c r="F298" i="2"/>
  <c r="F296" i="2"/>
  <c r="F309" i="2"/>
  <c r="F295" i="2"/>
  <c r="F311" i="2"/>
  <c r="F301" i="2"/>
  <c r="BS243" i="2"/>
  <c r="BS211" i="2"/>
  <c r="P361" i="2"/>
  <c r="P373" i="2"/>
  <c r="P349" i="2"/>
  <c r="P341" i="2"/>
  <c r="BD410" i="2"/>
  <c r="BD398" i="2"/>
  <c r="AS365" i="2"/>
  <c r="AS342" i="2"/>
  <c r="AS353" i="2"/>
  <c r="CF397" i="2"/>
  <c r="CF409" i="2"/>
  <c r="R389" i="2"/>
  <c r="R330" i="2"/>
  <c r="R424" i="2"/>
  <c r="R422" i="2"/>
  <c r="I409" i="2"/>
  <c r="I397" i="2"/>
  <c r="CK409" i="2"/>
  <c r="CK397" i="2"/>
  <c r="CM387" i="2"/>
  <c r="I411" i="2"/>
  <c r="I399" i="2"/>
  <c r="CB377" i="2"/>
  <c r="CA377" i="2"/>
  <c r="BZ377" i="2"/>
  <c r="BY377" i="2"/>
  <c r="BY365" i="2"/>
  <c r="BY342" i="2"/>
  <c r="BY353" i="2"/>
  <c r="AY363" i="2"/>
  <c r="AY375" i="2"/>
  <c r="AY351" i="2"/>
  <c r="CH230" i="2"/>
  <c r="CH198" i="2"/>
  <c r="K230" i="2"/>
  <c r="K198" i="2"/>
  <c r="CB409" i="2"/>
  <c r="CB397" i="2"/>
  <c r="CP423" i="2"/>
  <c r="CH307" i="2"/>
  <c r="BT411" i="2"/>
  <c r="BT399" i="2"/>
  <c r="J253" i="2"/>
  <c r="J221" i="2"/>
  <c r="CL253" i="2"/>
  <c r="CL221" i="2"/>
  <c r="AB409" i="2"/>
  <c r="AB397" i="2"/>
  <c r="Z363" i="2"/>
  <c r="Z375" i="2"/>
  <c r="Z351" i="2"/>
  <c r="CP421" i="2"/>
  <c r="BH411" i="2"/>
  <c r="BH399" i="2"/>
  <c r="AL253" i="2"/>
  <c r="AL221" i="2"/>
  <c r="CH410" i="2"/>
  <c r="CH398" i="2"/>
  <c r="AO412" i="2"/>
  <c r="AO400" i="2"/>
  <c r="W411" i="2"/>
  <c r="W399" i="2"/>
  <c r="BO253" i="2"/>
  <c r="BO221" i="2"/>
  <c r="O365" i="2"/>
  <c r="O353" i="2"/>
  <c r="O342" i="2"/>
  <c r="AJ385" i="2"/>
  <c r="AJ329" i="2"/>
  <c r="AN365" i="2"/>
  <c r="AN353" i="2"/>
  <c r="AN342" i="2"/>
  <c r="X411" i="2"/>
  <c r="X399" i="2"/>
  <c r="AK421" i="2"/>
  <c r="AK425" i="2" s="1"/>
  <c r="BO389" i="2"/>
  <c r="BO330" i="2"/>
  <c r="BO422" i="2"/>
  <c r="BO424" i="2"/>
  <c r="L253" i="2"/>
  <c r="L221" i="2"/>
  <c r="CP365" i="2"/>
  <c r="CP353" i="2"/>
  <c r="CP342" i="2"/>
  <c r="Y253" i="2"/>
  <c r="Y221" i="2"/>
  <c r="AG409" i="2"/>
  <c r="AG397" i="2"/>
  <c r="BI373" i="2"/>
  <c r="BI341" i="2"/>
  <c r="BI361" i="2"/>
  <c r="BI349" i="2"/>
  <c r="O409" i="2"/>
  <c r="O397" i="2"/>
  <c r="BL409" i="2"/>
  <c r="BL397" i="2"/>
  <c r="R421" i="2"/>
  <c r="R425" i="2" s="1"/>
  <c r="AX353" i="2"/>
  <c r="AX365" i="2"/>
  <c r="AX342" i="2"/>
  <c r="BG409" i="2"/>
  <c r="BG397" i="2"/>
  <c r="AJ262" i="2"/>
  <c r="AR411" i="2"/>
  <c r="AR399" i="2"/>
  <c r="BX412" i="2"/>
  <c r="BX400" i="2"/>
  <c r="Q425" i="2"/>
  <c r="CM385" i="2"/>
  <c r="CM329" i="2"/>
  <c r="BY411" i="2"/>
  <c r="BY399" i="2"/>
  <c r="H409" i="2"/>
  <c r="H397" i="2"/>
  <c r="H253" i="2"/>
  <c r="H221" i="2"/>
  <c r="CJ253" i="2"/>
  <c r="CJ221" i="2"/>
  <c r="AG377" i="2"/>
  <c r="AF377" i="2"/>
  <c r="AF365" i="2"/>
  <c r="AI377" i="2"/>
  <c r="AH377" i="2"/>
  <c r="AF353" i="2"/>
  <c r="AF342" i="2"/>
  <c r="AX409" i="2"/>
  <c r="AX397" i="2"/>
  <c r="BH409" i="2"/>
  <c r="BH397" i="2"/>
  <c r="BH221" i="2"/>
  <c r="BH253" i="2"/>
  <c r="CO389" i="2"/>
  <c r="CO330" i="2"/>
  <c r="CO424" i="2"/>
  <c r="CO422" i="2"/>
  <c r="CO425" i="2" s="1"/>
  <c r="C389" i="2"/>
  <c r="C330" i="2"/>
  <c r="C422" i="2"/>
  <c r="C425" i="2" s="1"/>
  <c r="C424" i="2"/>
  <c r="AR389" i="2"/>
  <c r="AR330" i="2"/>
  <c r="AR422" i="2"/>
  <c r="AR425" i="2" s="1"/>
  <c r="AR424" i="2"/>
  <c r="T411" i="2"/>
  <c r="T399" i="2"/>
  <c r="AN409" i="2"/>
  <c r="AN397" i="2"/>
  <c r="H365" i="2"/>
  <c r="H342" i="2"/>
  <c r="H353" i="2"/>
  <c r="AX253" i="2"/>
  <c r="AX221" i="2"/>
  <c r="BN398" i="2"/>
  <c r="O253" i="2"/>
  <c r="BN294" i="2"/>
  <c r="CA421" i="2"/>
  <c r="CA425" i="2" s="1"/>
  <c r="CC262" i="2"/>
  <c r="BT389" i="2"/>
  <c r="BT330" i="2"/>
  <c r="BT422" i="2"/>
  <c r="BT425" i="2" s="1"/>
  <c r="BT424" i="2"/>
  <c r="BZ411" i="2"/>
  <c r="BZ399" i="2"/>
  <c r="AH389" i="2"/>
  <c r="AH330" i="2"/>
  <c r="AH424" i="2"/>
  <c r="AH422" i="2"/>
  <c r="AH425" i="2" s="1"/>
  <c r="BW421" i="2"/>
  <c r="BY421" i="2"/>
  <c r="BY425" i="2" s="1"/>
  <c r="BW423" i="2"/>
  <c r="CG365" i="2"/>
  <c r="CG342" i="2"/>
  <c r="CG353" i="2"/>
  <c r="L389" i="2"/>
  <c r="L330" i="2"/>
  <c r="L422" i="2"/>
  <c r="L425" i="2" s="1"/>
  <c r="L424" i="2"/>
  <c r="U412" i="2"/>
  <c r="U400" i="2"/>
  <c r="CM412" i="2"/>
  <c r="CM400" i="2"/>
  <c r="AO317" i="2"/>
  <c r="AO157" i="2"/>
  <c r="AO125" i="2"/>
  <c r="AO93" i="2"/>
  <c r="AO296" i="2"/>
  <c r="AO298" i="2"/>
  <c r="AO300" i="2"/>
  <c r="AO295" i="2"/>
  <c r="AO308" i="2"/>
  <c r="AO305" i="2"/>
  <c r="AO301" i="2"/>
  <c r="AO297" i="2"/>
  <c r="AO311" i="2"/>
  <c r="AO309" i="2"/>
  <c r="AO313" i="2"/>
  <c r="AO299" i="2"/>
  <c r="AO315" i="2"/>
  <c r="AO303" i="2"/>
  <c r="CM285" i="2"/>
  <c r="CM189" i="2"/>
  <c r="CM276" i="2"/>
  <c r="CM283" i="2"/>
  <c r="CM266" i="2"/>
  <c r="CM267" i="2"/>
  <c r="CM265" i="2"/>
  <c r="CM277" i="2"/>
  <c r="CM268" i="2"/>
  <c r="CM273" i="2"/>
  <c r="CM279" i="2"/>
  <c r="CM269" i="2"/>
  <c r="CM281" i="2"/>
  <c r="CM271" i="2"/>
  <c r="CM263" i="2"/>
  <c r="CM264" i="2"/>
  <c r="BX317" i="2"/>
  <c r="BX125" i="2"/>
  <c r="BX93" i="2"/>
  <c r="BX157" i="2"/>
  <c r="BX315" i="2"/>
  <c r="BX295" i="2"/>
  <c r="BX305" i="2"/>
  <c r="BX309" i="2"/>
  <c r="BX297" i="2"/>
  <c r="BX308" i="2"/>
  <c r="BX313" i="2"/>
  <c r="BX303" i="2"/>
  <c r="BX296" i="2"/>
  <c r="BX299" i="2"/>
  <c r="BX311" i="2"/>
  <c r="BX298" i="2"/>
  <c r="BX301" i="2"/>
  <c r="BX300" i="2"/>
  <c r="Y421" i="2"/>
  <c r="Y425" i="2" s="1"/>
  <c r="X421" i="2"/>
  <c r="X425" i="2" s="1"/>
  <c r="BF389" i="2"/>
  <c r="BF330" i="2"/>
  <c r="BF424" i="2"/>
  <c r="BF422" i="2"/>
  <c r="AA409" i="2"/>
  <c r="AA397" i="2"/>
  <c r="CE253" i="2"/>
  <c r="CE221" i="2"/>
  <c r="AE423" i="2"/>
  <c r="AE387" i="2"/>
  <c r="D353" i="2"/>
  <c r="D342" i="2"/>
  <c r="AE157" i="2"/>
  <c r="CR317" i="2"/>
  <c r="CR157" i="2"/>
  <c r="CR125" i="2"/>
  <c r="CR93" i="2"/>
  <c r="CR315" i="2"/>
  <c r="CR298" i="2"/>
  <c r="CR309" i="2"/>
  <c r="CR300" i="2"/>
  <c r="CR311" i="2"/>
  <c r="CR308" i="2"/>
  <c r="CR296" i="2"/>
  <c r="CR305" i="2"/>
  <c r="CR301" i="2"/>
  <c r="CR313" i="2"/>
  <c r="CR297" i="2"/>
  <c r="CR299" i="2"/>
  <c r="CR295" i="2"/>
  <c r="CR303" i="2"/>
  <c r="Z243" i="2"/>
  <c r="Z211" i="2"/>
  <c r="Q411" i="2"/>
  <c r="Q399" i="2"/>
  <c r="BN412" i="2"/>
  <c r="BN400" i="2"/>
  <c r="AD377" i="2"/>
  <c r="AC377" i="2"/>
  <c r="AB377" i="2"/>
  <c r="AA377" i="2"/>
  <c r="AA365" i="2"/>
  <c r="AA342" i="2"/>
  <c r="AA353" i="2"/>
  <c r="BE411" i="2"/>
  <c r="BE399" i="2"/>
  <c r="U373" i="2"/>
  <c r="U341" i="2"/>
  <c r="U349" i="2"/>
  <c r="U361" i="2"/>
  <c r="CR375" i="2"/>
  <c r="CR363" i="2"/>
  <c r="CR351" i="2"/>
  <c r="BF411" i="2"/>
  <c r="BF399" i="2"/>
  <c r="BS317" i="2"/>
  <c r="BS93" i="2"/>
  <c r="BS157" i="2"/>
  <c r="BS125" i="2"/>
  <c r="BS294" i="2"/>
  <c r="BS299" i="2"/>
  <c r="BS295" i="2"/>
  <c r="BS311" i="2"/>
  <c r="BS303" i="2"/>
  <c r="BS296" i="2"/>
  <c r="BS298" i="2"/>
  <c r="BS315" i="2"/>
  <c r="BS300" i="2"/>
  <c r="BS305" i="2"/>
  <c r="BS313" i="2"/>
  <c r="BS309" i="2"/>
  <c r="BS297" i="2"/>
  <c r="BS301" i="2"/>
  <c r="BS308" i="2"/>
  <c r="O411" i="2"/>
  <c r="O399" i="2"/>
  <c r="CH351" i="2"/>
  <c r="CH375" i="2"/>
  <c r="CH363" i="2"/>
  <c r="BV353" i="2"/>
  <c r="BV365" i="2"/>
  <c r="BV342" i="2"/>
  <c r="CG389" i="2"/>
  <c r="CG330" i="2"/>
  <c r="CG424" i="2"/>
  <c r="CG422" i="2"/>
  <c r="CE399" i="2"/>
  <c r="CE411" i="2"/>
  <c r="BA253" i="2"/>
  <c r="BA221" i="2"/>
  <c r="BB365" i="2"/>
  <c r="BB342" i="2"/>
  <c r="BB353" i="2"/>
  <c r="CH373" i="2"/>
  <c r="CH349" i="2"/>
  <c r="CH341" i="2"/>
  <c r="CH361" i="2"/>
  <c r="BW253" i="2"/>
  <c r="BW221" i="2"/>
  <c r="W389" i="2"/>
  <c r="W330" i="2"/>
  <c r="W424" i="2"/>
  <c r="W422" i="2"/>
  <c r="K387" i="2"/>
  <c r="BK389" i="2"/>
  <c r="BK330" i="2"/>
  <c r="BK422" i="2"/>
  <c r="BK424" i="2"/>
  <c r="AF389" i="2"/>
  <c r="AF330" i="2"/>
  <c r="AF424" i="2"/>
  <c r="AF422" i="2"/>
  <c r="F307" i="2"/>
  <c r="CE389" i="2"/>
  <c r="CE330" i="2"/>
  <c r="CE424" i="2"/>
  <c r="CE422" i="2"/>
  <c r="BQ221" i="2"/>
  <c r="BQ253" i="2"/>
  <c r="BO409" i="2"/>
  <c r="BO397" i="2"/>
  <c r="CF353" i="2"/>
  <c r="CF365" i="2"/>
  <c r="CF342" i="2"/>
  <c r="BN307" i="2"/>
  <c r="BR389" i="2"/>
  <c r="BR330" i="2"/>
  <c r="BR424" i="2"/>
  <c r="BR422" i="2"/>
  <c r="CC412" i="2"/>
  <c r="CC400" i="2"/>
  <c r="BS410" i="2"/>
  <c r="BS398" i="2"/>
  <c r="CR412" i="2"/>
  <c r="CR400" i="2"/>
  <c r="P243" i="2"/>
  <c r="P211" i="2"/>
  <c r="O425" i="2"/>
  <c r="CB253" i="2"/>
  <c r="CB221" i="2"/>
  <c r="BG425" i="2"/>
  <c r="BS423" i="2"/>
  <c r="BS387" i="2"/>
  <c r="BV411" i="2"/>
  <c r="BV399" i="2"/>
  <c r="BQ411" i="2"/>
  <c r="BQ399" i="2"/>
  <c r="CI389" i="2"/>
  <c r="CI330" i="2"/>
  <c r="CI422" i="2"/>
  <c r="CI424" i="2"/>
  <c r="H425" i="2"/>
  <c r="Z387" i="2"/>
  <c r="AX425" i="2"/>
  <c r="CG377" i="2"/>
  <c r="CF377" i="2"/>
  <c r="CE377" i="2"/>
  <c r="CD377" i="2"/>
  <c r="CD353" i="2"/>
  <c r="CD365" i="2"/>
  <c r="CD342" i="2"/>
  <c r="BH425" i="2"/>
  <c r="CO409" i="2"/>
  <c r="CO397" i="2"/>
  <c r="E221" i="2"/>
  <c r="CG221" i="2"/>
  <c r="CG253" i="2"/>
  <c r="AR409" i="2"/>
  <c r="AR397" i="2"/>
  <c r="BB389" i="2"/>
  <c r="BB330" i="2"/>
  <c r="BB424" i="2"/>
  <c r="BB422" i="2"/>
  <c r="AO375" i="2"/>
  <c r="AO363" i="2"/>
  <c r="AO351" i="2"/>
  <c r="AN425" i="2"/>
  <c r="X253" i="2"/>
  <c r="X221" i="2"/>
  <c r="CH385" i="2"/>
  <c r="CH329" i="2"/>
  <c r="J411" i="2"/>
  <c r="J399" i="2"/>
  <c r="T353" i="2"/>
  <c r="T365" i="2"/>
  <c r="T342" i="2"/>
  <c r="K412" i="2"/>
  <c r="K400" i="2"/>
  <c r="BD285" i="2"/>
  <c r="BD189" i="2"/>
  <c r="BD283" i="2"/>
  <c r="BD271" i="2"/>
  <c r="BD263" i="2"/>
  <c r="BD277" i="2"/>
  <c r="BD279" i="2"/>
  <c r="BD264" i="2"/>
  <c r="BD265" i="2"/>
  <c r="BD266" i="2"/>
  <c r="BD268" i="2"/>
  <c r="BD269" i="2"/>
  <c r="BD276" i="2"/>
  <c r="BD281" i="2"/>
  <c r="BD267" i="2"/>
  <c r="BD273" i="2"/>
  <c r="AM389" i="2"/>
  <c r="AM330" i="2"/>
  <c r="AM422" i="2"/>
  <c r="AM424" i="2"/>
  <c r="BN373" i="2"/>
  <c r="BN341" i="2"/>
  <c r="BS353" i="2" s="1"/>
  <c r="BN349" i="2"/>
  <c r="BN361" i="2"/>
  <c r="AY243" i="2"/>
  <c r="AY211" i="2"/>
  <c r="BT409" i="2"/>
  <c r="BT397" i="2"/>
  <c r="AH409" i="2"/>
  <c r="AH397" i="2"/>
  <c r="BL411" i="2"/>
  <c r="BL399" i="2"/>
  <c r="AG411" i="2"/>
  <c r="AG399" i="2"/>
  <c r="AC221" i="2"/>
  <c r="AC253" i="2"/>
  <c r="L409" i="2"/>
  <c r="L397" i="2"/>
  <c r="AJ375" i="2"/>
  <c r="AJ363" i="2"/>
  <c r="AJ351" i="2"/>
  <c r="CM373" i="2"/>
  <c r="CM361" i="2"/>
  <c r="CM341" i="2"/>
  <c r="CM349" i="2"/>
  <c r="BS373" i="2"/>
  <c r="CM198" i="2"/>
  <c r="CM230" i="2"/>
  <c r="BS189" i="2"/>
  <c r="CC243" i="2"/>
  <c r="CC211" i="2"/>
  <c r="BF409" i="2"/>
  <c r="BF397" i="2"/>
  <c r="CJ411" i="2"/>
  <c r="CJ399" i="2"/>
  <c r="BV253" i="2"/>
  <c r="BV221" i="2"/>
  <c r="AA399" i="2"/>
  <c r="AA411" i="2"/>
  <c r="BJ389" i="2"/>
  <c r="BJ330" i="2"/>
  <c r="BJ424" i="2"/>
  <c r="BJ422" i="2"/>
  <c r="D399" i="2"/>
  <c r="AE93" i="2"/>
  <c r="O377" i="2"/>
  <c r="N377" i="2"/>
  <c r="M377" i="2"/>
  <c r="L377" i="2"/>
  <c r="L353" i="2"/>
  <c r="L365" i="2"/>
  <c r="L342" i="2"/>
  <c r="BA389" i="2"/>
  <c r="BA330" i="2"/>
  <c r="BA424" i="2"/>
  <c r="BA422" i="2"/>
  <c r="BA425" i="2" s="1"/>
  <c r="CH317" i="2"/>
  <c r="CH157" i="2"/>
  <c r="CH125" i="2"/>
  <c r="CH93" i="2"/>
  <c r="CH311" i="2"/>
  <c r="CH297" i="2"/>
  <c r="CH315" i="2"/>
  <c r="CH298" i="2"/>
  <c r="CH309" i="2"/>
  <c r="CH300" i="2"/>
  <c r="CH301" i="2"/>
  <c r="CH313" i="2"/>
  <c r="CH296" i="2"/>
  <c r="CH303" i="2"/>
  <c r="CH308" i="2"/>
  <c r="CH299" i="2"/>
  <c r="CH295" i="2"/>
  <c r="CH305" i="2"/>
  <c r="BI285" i="2"/>
  <c r="BI189" i="2"/>
  <c r="BI276" i="2"/>
  <c r="BI264" i="2"/>
  <c r="BI263" i="2"/>
  <c r="BI269" i="2"/>
  <c r="BI267" i="2"/>
  <c r="BI273" i="2"/>
  <c r="BI271" i="2"/>
  <c r="BI268" i="2"/>
  <c r="BI275" i="2"/>
  <c r="BI281" i="2"/>
  <c r="BI283" i="2"/>
  <c r="BI279" i="2"/>
  <c r="BI277" i="2"/>
  <c r="BI265" i="2"/>
  <c r="BI266" i="2"/>
  <c r="AG365" i="2"/>
  <c r="AG353" i="2"/>
  <c r="AG342" i="2"/>
  <c r="AI365" i="2"/>
  <c r="AI342" i="2"/>
  <c r="AI353" i="2"/>
  <c r="V409" i="2"/>
  <c r="V397" i="2"/>
  <c r="AU411" i="2"/>
  <c r="AU399" i="2"/>
  <c r="BA411" i="2"/>
  <c r="BA399" i="2"/>
  <c r="BM365" i="2"/>
  <c r="BM353" i="2"/>
  <c r="BM342" i="2"/>
  <c r="J365" i="2"/>
  <c r="J353" i="2"/>
  <c r="J342" i="2"/>
  <c r="AR353" i="2"/>
  <c r="AR365" i="2"/>
  <c r="AR342" i="2"/>
  <c r="BM377" i="2"/>
  <c r="BL377" i="2"/>
  <c r="BK377" i="2"/>
  <c r="BJ377" i="2"/>
  <c r="BJ365" i="2"/>
  <c r="BJ342" i="2"/>
  <c r="BJ353" i="2"/>
  <c r="AT387" i="2"/>
  <c r="AU253" i="2"/>
  <c r="AU221" i="2"/>
  <c r="CC385" i="2"/>
  <c r="CC329" i="2"/>
  <c r="CM317" i="2"/>
  <c r="CM125" i="2"/>
  <c r="CM93" i="2"/>
  <c r="CM157" i="2"/>
  <c r="CM298" i="2"/>
  <c r="CM308" i="2"/>
  <c r="CM313" i="2"/>
  <c r="CM300" i="2"/>
  <c r="CM303" i="2"/>
  <c r="CM297" i="2"/>
  <c r="CM315" i="2"/>
  <c r="CM295" i="2"/>
  <c r="CM301" i="2"/>
  <c r="CM299" i="2"/>
  <c r="CM311" i="2"/>
  <c r="CM305" i="2"/>
  <c r="CM296" i="2"/>
  <c r="CM309" i="2"/>
  <c r="N409" i="2"/>
  <c r="N397" i="2"/>
  <c r="V253" i="2"/>
  <c r="V221" i="2"/>
  <c r="CN389" i="2"/>
  <c r="CN330" i="2"/>
  <c r="CN424" i="2"/>
  <c r="CN422" i="2"/>
  <c r="CN425" i="2" s="1"/>
  <c r="CI411" i="2"/>
  <c r="CI399" i="2"/>
  <c r="AV253" i="2"/>
  <c r="AV221" i="2"/>
  <c r="P317" i="2"/>
  <c r="P157" i="2"/>
  <c r="P125" i="2"/>
  <c r="P93" i="2"/>
  <c r="P303" i="2"/>
  <c r="P309" i="2"/>
  <c r="P311" i="2"/>
  <c r="P308" i="2"/>
  <c r="P295" i="2"/>
  <c r="P300" i="2"/>
  <c r="P298" i="2"/>
  <c r="P296" i="2"/>
  <c r="P315" i="2"/>
  <c r="P313" i="2"/>
  <c r="P297" i="2"/>
  <c r="P305" i="2"/>
  <c r="P299" i="2"/>
  <c r="P301" i="2"/>
  <c r="CR294" i="2"/>
  <c r="BH353" i="2"/>
  <c r="BH365" i="2"/>
  <c r="BH342" i="2"/>
  <c r="AY410" i="2"/>
  <c r="AY398" i="2"/>
  <c r="CR285" i="2"/>
  <c r="CR189" i="2"/>
  <c r="CR276" i="2"/>
  <c r="CR281" i="2"/>
  <c r="CR267" i="2"/>
  <c r="CR273" i="2"/>
  <c r="CR266" i="2"/>
  <c r="CR271" i="2"/>
  <c r="CR277" i="2"/>
  <c r="CR279" i="2"/>
  <c r="CR264" i="2"/>
  <c r="CR283" i="2"/>
  <c r="CR265" i="2"/>
  <c r="CR263" i="2"/>
  <c r="CR268" i="2"/>
  <c r="CR269" i="2"/>
  <c r="BC411" i="2"/>
  <c r="BC399" i="2"/>
  <c r="BC365" i="2"/>
  <c r="BC353" i="2"/>
  <c r="BC342" i="2"/>
  <c r="AV389" i="2"/>
  <c r="AV330" i="2"/>
  <c r="AV422" i="2"/>
  <c r="AV424" i="2"/>
  <c r="CR361" i="2"/>
  <c r="CR373" i="2"/>
  <c r="CR349" i="2"/>
  <c r="CR341" i="2"/>
  <c r="CL389" i="2"/>
  <c r="CL330" i="2"/>
  <c r="CL422" i="2"/>
  <c r="CL424" i="2"/>
  <c r="AH411" i="2"/>
  <c r="AH399" i="2"/>
  <c r="T389" i="2"/>
  <c r="T330" i="2"/>
  <c r="T422" i="2"/>
  <c r="T424" i="2"/>
  <c r="AS221" i="2"/>
  <c r="AS253" i="2"/>
  <c r="CR230" i="2"/>
  <c r="CR198" i="2"/>
  <c r="BK411" i="2"/>
  <c r="BK399" i="2"/>
  <c r="N411" i="2"/>
  <c r="N399" i="2"/>
  <c r="BL365" i="2"/>
  <c r="BL353" i="2"/>
  <c r="BL342" i="2"/>
  <c r="CG409" i="2"/>
  <c r="CG397" i="2"/>
  <c r="CE423" i="2"/>
  <c r="AB353" i="2"/>
  <c r="AB365" i="2"/>
  <c r="AB342" i="2"/>
  <c r="Z412" i="2"/>
  <c r="Z400" i="2"/>
  <c r="W365" i="2"/>
  <c r="W353" i="2"/>
  <c r="W342" i="2"/>
  <c r="W409" i="2"/>
  <c r="W397" i="2"/>
  <c r="CQ411" i="2"/>
  <c r="CQ399" i="2"/>
  <c r="G411" i="2"/>
  <c r="G399" i="2"/>
  <c r="BK409" i="2"/>
  <c r="BK397" i="2"/>
  <c r="AF409" i="2"/>
  <c r="AF397" i="2"/>
  <c r="AL411" i="2"/>
  <c r="AL399" i="2"/>
  <c r="CL353" i="2"/>
  <c r="CL365" i="2"/>
  <c r="CL342" i="2"/>
  <c r="CE409" i="2"/>
  <c r="CE397" i="2"/>
  <c r="S365" i="2"/>
  <c r="S342" i="2"/>
  <c r="S353" i="2"/>
  <c r="D221" i="2"/>
  <c r="BO421" i="2"/>
  <c r="BN375" i="2"/>
  <c r="BN363" i="2"/>
  <c r="BN351" i="2"/>
  <c r="BR409" i="2"/>
  <c r="BR397" i="2"/>
  <c r="BC389" i="2"/>
  <c r="BC330" i="2"/>
  <c r="BC422" i="2"/>
  <c r="BC424" i="2"/>
  <c r="U351" i="2"/>
  <c r="AC411" i="2"/>
  <c r="AC399" i="2"/>
  <c r="AY373" i="2"/>
  <c r="AY341" i="2"/>
  <c r="AY349" i="2"/>
  <c r="AY361" i="2"/>
  <c r="BO399" i="2"/>
  <c r="BO411" i="2"/>
  <c r="BR365" i="2"/>
  <c r="BR342" i="2"/>
  <c r="BR353" i="2"/>
  <c r="CI409" i="2"/>
  <c r="CI397" i="2"/>
  <c r="I253" i="2"/>
  <c r="I221" i="2"/>
  <c r="CQ365" i="2"/>
  <c r="CQ342" i="2"/>
  <c r="CQ353" i="2"/>
  <c r="V411" i="2"/>
  <c r="V399" i="2"/>
  <c r="CB411" i="2"/>
  <c r="CB399" i="2"/>
  <c r="BM411" i="2"/>
  <c r="BM399" i="2"/>
  <c r="BA365" i="2"/>
  <c r="BA342" i="2"/>
  <c r="BA353" i="2"/>
  <c r="BB409" i="2"/>
  <c r="BB397" i="2"/>
  <c r="BP411" i="2"/>
  <c r="BP399" i="2"/>
  <c r="BI410" i="2"/>
  <c r="BI398" i="2"/>
  <c r="CK253" i="2"/>
  <c r="CK221" i="2"/>
  <c r="B389" i="2"/>
  <c r="B330" i="2"/>
  <c r="B422" i="2"/>
  <c r="B424" i="2"/>
  <c r="CD389" i="2"/>
  <c r="CD330" i="2"/>
  <c r="CD422" i="2"/>
  <c r="CD424" i="2"/>
  <c r="AS377" i="2"/>
  <c r="AR377" i="2"/>
  <c r="AQ377" i="2"/>
  <c r="AP377" i="2"/>
  <c r="AP353" i="2"/>
  <c r="AP365" i="2"/>
  <c r="AP342" i="2"/>
  <c r="AQ411" i="2"/>
  <c r="AQ399" i="2"/>
  <c r="CF221" i="2"/>
  <c r="CF253" i="2"/>
  <c r="AD389" i="2"/>
  <c r="AD330" i="2"/>
  <c r="AD424" i="2"/>
  <c r="AD422" i="2"/>
  <c r="AT410" i="2"/>
  <c r="AT398" i="2"/>
  <c r="BS412" i="2"/>
  <c r="BS400" i="2"/>
  <c r="K385" i="2"/>
  <c r="K329" i="2"/>
  <c r="BD230" i="2"/>
  <c r="BD198" i="2"/>
  <c r="Z294" i="2"/>
  <c r="AM409" i="2"/>
  <c r="AM397" i="2"/>
  <c r="CG411" i="2"/>
  <c r="CG399" i="2"/>
  <c r="BL423" i="2"/>
  <c r="BL425" i="2" s="1"/>
  <c r="AG423" i="2"/>
  <c r="AG425" i="2" s="1"/>
  <c r="BW353" i="2"/>
  <c r="BW365" i="2"/>
  <c r="BW342" i="2"/>
  <c r="E353" i="2"/>
  <c r="E342" i="2"/>
  <c r="N253" i="2"/>
  <c r="N221" i="2"/>
  <c r="CP253" i="2"/>
  <c r="CP221" i="2"/>
  <c r="BZ365" i="2"/>
  <c r="BZ342" i="2"/>
  <c r="BZ353" i="2"/>
  <c r="AJ410" i="2"/>
  <c r="AJ398" i="2"/>
  <c r="W221" i="2"/>
  <c r="BM389" i="2"/>
  <c r="BM330" i="2"/>
  <c r="BM424" i="2"/>
  <c r="BM422" i="2"/>
  <c r="BI385" i="2"/>
  <c r="BI329" i="2"/>
  <c r="BI421" i="2" s="1"/>
  <c r="BS349" i="2"/>
  <c r="CM262" i="2"/>
  <c r="CC275" i="2"/>
  <c r="BF421" i="2"/>
  <c r="BU411" i="2"/>
  <c r="BU399" i="2"/>
  <c r="BX285" i="2"/>
  <c r="BX189" i="2"/>
  <c r="BX279" i="2"/>
  <c r="BX269" i="2"/>
  <c r="BX276" i="2"/>
  <c r="BX271" i="2"/>
  <c r="BX281" i="2"/>
  <c r="BX283" i="2"/>
  <c r="BX277" i="2"/>
  <c r="BX273" i="2"/>
  <c r="BX264" i="2"/>
  <c r="BX265" i="2"/>
  <c r="BX267" i="2"/>
  <c r="BX263" i="2"/>
  <c r="BX268" i="2"/>
  <c r="BX266" i="2"/>
  <c r="AA423" i="2"/>
  <c r="BP353" i="2"/>
  <c r="BP365" i="2"/>
  <c r="BP342" i="2"/>
  <c r="BN385" i="2"/>
  <c r="BN329" i="2"/>
  <c r="BN421" i="2" s="1"/>
  <c r="AI409" i="2"/>
  <c r="AI397" i="2"/>
  <c r="CE353" i="2"/>
  <c r="CE365" i="2"/>
  <c r="CE342" i="2"/>
  <c r="AQ409" i="2"/>
  <c r="AQ397" i="2"/>
  <c r="T409" i="2"/>
  <c r="T397" i="2"/>
  <c r="AT317" i="2"/>
  <c r="AT157" i="2"/>
  <c r="AT125" i="2"/>
  <c r="AT93" i="2"/>
  <c r="AT301" i="2"/>
  <c r="AT300" i="2"/>
  <c r="AT308" i="2"/>
  <c r="AT303" i="2"/>
  <c r="AT295" i="2"/>
  <c r="AT299" i="2"/>
  <c r="AT311" i="2"/>
  <c r="AT305" i="2"/>
  <c r="AT309" i="2"/>
  <c r="AT297" i="2"/>
  <c r="AT315" i="2"/>
  <c r="AT298" i="2"/>
  <c r="AT313" i="2"/>
  <c r="AT296" i="2"/>
  <c r="AE342" i="2"/>
  <c r="CR262" i="2"/>
  <c r="BC221" i="2"/>
  <c r="BC253" i="2"/>
  <c r="I377" i="2"/>
  <c r="H377" i="2"/>
  <c r="G377" i="2"/>
  <c r="J377" i="2"/>
  <c r="G365" i="2"/>
  <c r="G353" i="2"/>
  <c r="G342" i="2"/>
  <c r="AO423" i="2"/>
  <c r="AO387" i="2"/>
  <c r="AQ253" i="2"/>
  <c r="AQ221" i="2"/>
  <c r="CK411" i="2"/>
  <c r="CK399" i="2"/>
  <c r="AX411" i="2"/>
  <c r="AX399" i="2"/>
  <c r="E389" i="2"/>
  <c r="E330" i="2"/>
  <c r="E424" i="2"/>
  <c r="E422" i="2"/>
  <c r="E425" i="2" s="1"/>
  <c r="CG421" i="2"/>
  <c r="P423" i="2"/>
  <c r="P387" i="2"/>
  <c r="BU389" i="2"/>
  <c r="BU330" i="2"/>
  <c r="BU422" i="2"/>
  <c r="BU424" i="2"/>
  <c r="W421" i="2"/>
  <c r="BK421" i="2"/>
  <c r="AF421" i="2"/>
  <c r="CB365" i="2"/>
  <c r="CB353" i="2"/>
  <c r="CB342" i="2"/>
  <c r="BV389" i="2"/>
  <c r="BV330" i="2"/>
  <c r="BV422" i="2"/>
  <c r="BV424" i="2"/>
  <c r="CE421" i="2"/>
  <c r="AC365" i="2"/>
  <c r="AC342" i="2"/>
  <c r="AC353" i="2"/>
  <c r="Z385" i="2"/>
  <c r="Z329" i="2"/>
  <c r="BR421" i="2"/>
  <c r="CM410" i="2"/>
  <c r="CM398" i="2"/>
  <c r="CH412" i="2"/>
  <c r="CH400" i="2"/>
  <c r="AE412" i="2"/>
  <c r="AE400" i="2"/>
  <c r="BC409" i="2"/>
  <c r="BC397" i="2"/>
  <c r="AY385" i="2"/>
  <c r="AY329" i="2"/>
  <c r="U375" i="2"/>
  <c r="AT307" i="2"/>
  <c r="CL411" i="2"/>
  <c r="CL399" i="2"/>
  <c r="BQ389" i="2"/>
  <c r="BQ330" i="2"/>
  <c r="BQ424" i="2"/>
  <c r="BQ422" i="2"/>
  <c r="BQ425" i="2" s="1"/>
  <c r="BO423" i="2"/>
  <c r="BJ253" i="2"/>
  <c r="BJ221" i="2"/>
  <c r="CI421" i="2"/>
  <c r="BI351" i="2"/>
  <c r="CB423" i="2"/>
  <c r="CB425" i="2" s="1"/>
  <c r="M389" i="2"/>
  <c r="M330" i="2"/>
  <c r="M422" i="2"/>
  <c r="M424" i="2"/>
  <c r="BB421" i="2"/>
  <c r="K410" i="2"/>
  <c r="K398" i="2"/>
  <c r="AJ317" i="2"/>
  <c r="AJ125" i="2"/>
  <c r="AJ93" i="2"/>
  <c r="AJ157" i="2"/>
  <c r="AJ301" i="2"/>
  <c r="AJ313" i="2"/>
  <c r="AJ297" i="2"/>
  <c r="AJ311" i="2"/>
  <c r="AJ296" i="2"/>
  <c r="AJ299" i="2"/>
  <c r="AJ298" i="2"/>
  <c r="AJ315" i="2"/>
  <c r="AJ300" i="2"/>
  <c r="AJ309" i="2"/>
  <c r="AJ308" i="2"/>
  <c r="AJ305" i="2"/>
  <c r="AJ295" i="2"/>
  <c r="AJ303" i="2"/>
  <c r="CC375" i="2"/>
  <c r="CC363" i="2"/>
  <c r="CC351" i="2"/>
  <c r="BN285" i="2"/>
  <c r="BN189" i="2"/>
  <c r="BN277" i="2"/>
  <c r="BN279" i="2"/>
  <c r="BN269" i="2"/>
  <c r="BN263" i="2"/>
  <c r="BN276" i="2"/>
  <c r="BN281" i="2"/>
  <c r="BN283" i="2"/>
  <c r="BN266" i="2"/>
  <c r="BN264" i="2"/>
  <c r="BN268" i="2"/>
  <c r="BN267" i="2"/>
  <c r="BN271" i="2"/>
  <c r="BN265" i="2"/>
  <c r="BN273" i="2"/>
  <c r="F385" i="2"/>
  <c r="F329" i="2"/>
  <c r="CD409" i="2"/>
  <c r="CD397" i="2"/>
  <c r="CH387" i="2"/>
  <c r="AQ423" i="2"/>
  <c r="AD409" i="2"/>
  <c r="AD397" i="2"/>
  <c r="G389" i="2"/>
  <c r="G330" i="2"/>
  <c r="G422" i="2"/>
  <c r="G424" i="2"/>
  <c r="G425" i="2" s="1"/>
  <c r="BD262" i="2"/>
  <c r="Z373" i="2"/>
  <c r="Z361" i="2"/>
  <c r="Z341" i="2"/>
  <c r="AE353" i="2" s="1"/>
  <c r="Z349" i="2"/>
  <c r="AY285" i="2"/>
  <c r="AY189" i="2"/>
  <c r="AY283" i="2"/>
  <c r="AY276" i="2"/>
  <c r="AY267" i="2"/>
  <c r="AY265" i="2"/>
  <c r="AY277" i="2"/>
  <c r="AY268" i="2"/>
  <c r="AY273" i="2"/>
  <c r="AY266" i="2"/>
  <c r="AY279" i="2"/>
  <c r="AY281" i="2"/>
  <c r="AY271" i="2"/>
  <c r="AY263" i="2"/>
  <c r="AY264" i="2"/>
  <c r="AY269" i="2"/>
  <c r="AM421" i="2"/>
  <c r="CG423" i="2"/>
  <c r="P285" i="2"/>
  <c r="P189" i="2"/>
  <c r="P277" i="2"/>
  <c r="P279" i="2"/>
  <c r="P264" i="2"/>
  <c r="P265" i="2"/>
  <c r="P283" i="2"/>
  <c r="P268" i="2"/>
  <c r="P269" i="2"/>
  <c r="P266" i="2"/>
  <c r="P276" i="2"/>
  <c r="P281" i="2"/>
  <c r="P273" i="2"/>
  <c r="P267" i="2"/>
  <c r="P263" i="2"/>
  <c r="P271" i="2"/>
  <c r="AF253" i="2"/>
  <c r="AF221" i="2"/>
  <c r="CN253" i="2"/>
  <c r="CN221" i="2"/>
  <c r="BM409" i="2"/>
  <c r="BM397" i="2"/>
  <c r="BE389" i="2"/>
  <c r="BE330" i="2"/>
  <c r="BE424" i="2"/>
  <c r="BE422" i="2"/>
  <c r="BS361" i="2"/>
  <c r="AT243" i="2"/>
  <c r="AT211" i="2"/>
  <c r="AM365" i="2"/>
  <c r="AM353" i="2"/>
  <c r="AM342" i="2"/>
  <c r="AD411" i="2"/>
  <c r="AD399" i="2"/>
  <c r="R365" i="2"/>
  <c r="R353" i="2"/>
  <c r="R342" i="2"/>
  <c r="BU423" i="2"/>
  <c r="BX230" i="2"/>
  <c r="BX198" i="2"/>
  <c r="AC389" i="2"/>
  <c r="AC330" i="2"/>
  <c r="AC422" i="2"/>
  <c r="AC424" i="2"/>
  <c r="AK221" i="2"/>
  <c r="AK253" i="2"/>
  <c r="BP389" i="2"/>
  <c r="BP330" i="2"/>
  <c r="BP424" i="2"/>
  <c r="BP422" i="2"/>
  <c r="BP425" i="2" s="1"/>
  <c r="BJ409" i="2"/>
  <c r="BJ397" i="2"/>
  <c r="AB411" i="2"/>
  <c r="AB399" i="2"/>
  <c r="AI221" i="2"/>
  <c r="J389" i="2"/>
  <c r="J330" i="2"/>
  <c r="J422" i="2"/>
  <c r="J424" i="2"/>
  <c r="CR385" i="2"/>
  <c r="CR329" i="2"/>
  <c r="CR421" i="2" s="1"/>
  <c r="CM363" i="2"/>
  <c r="CM375" i="2"/>
  <c r="CM351" i="2"/>
  <c r="AL397" i="2"/>
  <c r="AL409" i="2"/>
  <c r="AT385" i="2"/>
  <c r="AT329" i="2"/>
  <c r="BV425" i="2"/>
  <c r="BX410" i="2"/>
  <c r="BX398" i="2"/>
  <c r="CR410" i="2"/>
  <c r="CR398" i="2"/>
  <c r="BI317" i="2"/>
  <c r="BI93" i="2"/>
  <c r="BI157" i="2"/>
  <c r="BI125" i="2"/>
  <c r="BI309" i="2"/>
  <c r="BI296" i="2"/>
  <c r="BI313" i="2"/>
  <c r="BI303" i="2"/>
  <c r="BI311" i="2"/>
  <c r="BI315" i="2"/>
  <c r="BI295" i="2"/>
  <c r="BI297" i="2"/>
  <c r="BI305" i="2"/>
  <c r="BI308" i="2"/>
  <c r="BI300" i="2"/>
  <c r="BI307" i="2"/>
  <c r="BI299" i="2"/>
  <c r="BI301" i="2"/>
  <c r="BI298" i="2"/>
  <c r="U385" i="2"/>
  <c r="U329" i="2"/>
  <c r="U421" i="2" s="1"/>
  <c r="K243" i="2"/>
  <c r="K211" i="2"/>
  <c r="M221" i="2"/>
  <c r="M253" i="2"/>
  <c r="BZ389" i="2"/>
  <c r="BZ330" i="2"/>
  <c r="BZ424" i="2"/>
  <c r="BZ422" i="2"/>
  <c r="BS375" i="2"/>
  <c r="BS351" i="2"/>
  <c r="BS363" i="2"/>
  <c r="BF253" i="2"/>
  <c r="BF221" i="2"/>
  <c r="BD387" i="2"/>
  <c r="CK377" i="2"/>
  <c r="CJ377" i="2"/>
  <c r="CI377" i="2"/>
  <c r="CL377" i="2"/>
  <c r="CI365" i="2"/>
  <c r="CI353" i="2"/>
  <c r="CI342" i="2"/>
  <c r="BE425" i="2"/>
  <c r="AE253" i="2"/>
  <c r="AE221" i="2"/>
  <c r="AN253" i="2"/>
  <c r="AN221" i="2"/>
  <c r="U317" i="2"/>
  <c r="U93" i="2"/>
  <c r="U157" i="2"/>
  <c r="U125" i="2"/>
  <c r="U308" i="2"/>
  <c r="U297" i="2"/>
  <c r="U300" i="2"/>
  <c r="U299" i="2"/>
  <c r="U303" i="2"/>
  <c r="U301" i="2"/>
  <c r="U307" i="2"/>
  <c r="U313" i="2"/>
  <c r="U296" i="2"/>
  <c r="U309" i="2"/>
  <c r="U305" i="2"/>
  <c r="U298" i="2"/>
  <c r="U295" i="2"/>
  <c r="U311" i="2"/>
  <c r="U315" i="2"/>
  <c r="J409" i="2"/>
  <c r="J397" i="2"/>
  <c r="BG399" i="2"/>
  <c r="BG411" i="2"/>
  <c r="CA365" i="2"/>
  <c r="CA353" i="2"/>
  <c r="CA342" i="2"/>
  <c r="AW389" i="2"/>
  <c r="AW330" i="2"/>
  <c r="AW424" i="2"/>
  <c r="AW422" i="2"/>
  <c r="AW425" i="2" s="1"/>
  <c r="AY317" i="2"/>
  <c r="AY125" i="2"/>
  <c r="AY93" i="2"/>
  <c r="AY157" i="2"/>
  <c r="AY299" i="2"/>
  <c r="AY311" i="2"/>
  <c r="AY305" i="2"/>
  <c r="AY309" i="2"/>
  <c r="AY296" i="2"/>
  <c r="AY313" i="2"/>
  <c r="AY308" i="2"/>
  <c r="AY301" i="2"/>
  <c r="AY300" i="2"/>
  <c r="AY303" i="2"/>
  <c r="AY298" i="2"/>
  <c r="AY297" i="2"/>
  <c r="AY315" i="2"/>
  <c r="AY295" i="2"/>
  <c r="I425" i="2"/>
  <c r="Q253" i="2"/>
  <c r="Q221" i="2"/>
  <c r="AV409" i="2"/>
  <c r="AV397" i="2"/>
  <c r="CL409" i="2"/>
  <c r="CL397" i="2"/>
  <c r="CD253" i="2"/>
  <c r="CD221" i="2"/>
  <c r="K375" i="2"/>
  <c r="K363" i="2"/>
  <c r="K351" i="2"/>
  <c r="CQ253" i="2"/>
  <c r="CQ221" i="2"/>
  <c r="I365" i="2"/>
  <c r="I342" i="2"/>
  <c r="I353" i="2"/>
  <c r="AV425" i="2"/>
  <c r="BN423" i="2"/>
  <c r="BN387" i="2"/>
  <c r="BD361" i="2"/>
  <c r="BD373" i="2"/>
  <c r="BD349" i="2"/>
  <c r="BD341" i="2"/>
  <c r="C353" i="2"/>
  <c r="C342" i="2"/>
  <c r="T425" i="2"/>
  <c r="M365" i="2"/>
  <c r="M342" i="2"/>
  <c r="M353" i="2"/>
  <c r="CM307" i="2"/>
  <c r="AL389" i="2"/>
  <c r="AL330" i="2"/>
  <c r="AL424" i="2"/>
  <c r="AL422" i="2"/>
  <c r="AL425" i="2" s="1"/>
  <c r="CF411" i="2"/>
  <c r="CF399" i="2"/>
  <c r="K317" i="2"/>
  <c r="K125" i="2"/>
  <c r="K93" i="2"/>
  <c r="K157" i="2"/>
  <c r="K296" i="2"/>
  <c r="K300" i="2"/>
  <c r="K303" i="2"/>
  <c r="K298" i="2"/>
  <c r="K297" i="2"/>
  <c r="K315" i="2"/>
  <c r="K295" i="2"/>
  <c r="K308" i="2"/>
  <c r="K311" i="2"/>
  <c r="K301" i="2"/>
  <c r="K313" i="2"/>
  <c r="K299" i="2"/>
  <c r="K309" i="2"/>
  <c r="K305" i="2"/>
  <c r="AK411" i="2"/>
  <c r="AK399" i="2"/>
  <c r="CH243" i="2"/>
  <c r="CH211" i="2"/>
  <c r="AP389" i="2"/>
  <c r="AP330" i="2"/>
  <c r="AP422" i="2"/>
  <c r="AP424" i="2"/>
  <c r="CK423" i="2"/>
  <c r="CK425" i="2" s="1"/>
  <c r="E397" i="2"/>
  <c r="U423" i="2"/>
  <c r="U387" i="2"/>
  <c r="L411" i="2"/>
  <c r="L399" i="2"/>
  <c r="AE410" i="2"/>
  <c r="AE398" i="2"/>
  <c r="BU409" i="2"/>
  <c r="BU397" i="2"/>
  <c r="S253" i="2"/>
  <c r="S221" i="2"/>
  <c r="Q377" i="2"/>
  <c r="T377" i="2"/>
  <c r="Q365" i="2"/>
  <c r="S377" i="2"/>
  <c r="Q342" i="2"/>
  <c r="Q353" i="2"/>
  <c r="R377" i="2"/>
  <c r="P307" i="2"/>
  <c r="AO285" i="2"/>
  <c r="AO189" i="2"/>
  <c r="AO266" i="2"/>
  <c r="AO269" i="2"/>
  <c r="AO271" i="2"/>
  <c r="AO276" i="2"/>
  <c r="AO277" i="2"/>
  <c r="AO283" i="2"/>
  <c r="AO268" i="2"/>
  <c r="AO273" i="2"/>
  <c r="AO264" i="2"/>
  <c r="AO267" i="2"/>
  <c r="AO279" i="2"/>
  <c r="AO281" i="2"/>
  <c r="AO265" i="2"/>
  <c r="AO263" i="2"/>
  <c r="AM411" i="2"/>
  <c r="AM399" i="2"/>
  <c r="BV409" i="2"/>
  <c r="BV397" i="2"/>
  <c r="R253" i="2"/>
  <c r="R221" i="2"/>
  <c r="AI399" i="2"/>
  <c r="AI411" i="2"/>
  <c r="R411" i="2"/>
  <c r="R399" i="2"/>
  <c r="V389" i="2"/>
  <c r="V330" i="2"/>
  <c r="V422" i="2"/>
  <c r="V424" i="2"/>
  <c r="BB253" i="2"/>
  <c r="BB221" i="2"/>
  <c r="AD365" i="2"/>
  <c r="AD342" i="2"/>
  <c r="AD353" i="2"/>
  <c r="BC425" i="2"/>
  <c r="AU389" i="2"/>
  <c r="AU330" i="2"/>
  <c r="AU422" i="2"/>
  <c r="AU425" i="2" s="1"/>
  <c r="AU424" i="2"/>
  <c r="U363" i="2"/>
  <c r="AT375" i="2"/>
  <c r="AT351" i="2"/>
  <c r="AT363" i="2"/>
  <c r="AY423" i="2"/>
  <c r="AY387" i="2"/>
  <c r="CM211" i="2"/>
  <c r="CM243" i="2"/>
  <c r="AV411" i="2"/>
  <c r="AV399" i="2"/>
  <c r="AI389" i="2"/>
  <c r="AI330" i="2"/>
  <c r="AI424" i="2"/>
  <c r="AI422" i="2"/>
  <c r="AI425" i="2" s="1"/>
  <c r="CL423" i="2"/>
  <c r="CL425" i="2" s="1"/>
  <c r="AW411" i="2"/>
  <c r="AW399" i="2"/>
  <c r="BQ409" i="2"/>
  <c r="BQ397" i="2"/>
  <c r="BY221" i="2"/>
  <c r="BY253" i="2"/>
  <c r="CR423" i="2"/>
  <c r="CR387" i="2"/>
  <c r="Y377" i="2"/>
  <c r="X377" i="2"/>
  <c r="W377" i="2"/>
  <c r="V377" i="2"/>
  <c r="V365" i="2"/>
  <c r="V342" i="2"/>
  <c r="V353" i="2"/>
  <c r="S389" i="2"/>
  <c r="S330" i="2"/>
  <c r="S422" i="2"/>
  <c r="S424" i="2"/>
  <c r="AS411" i="2"/>
  <c r="AS399" i="2"/>
  <c r="BI363" i="2"/>
  <c r="AW377" i="2"/>
  <c r="AV377" i="2"/>
  <c r="AU377" i="2"/>
  <c r="AU365" i="2"/>
  <c r="AU353" i="2"/>
  <c r="AX377" i="2"/>
  <c r="AU342" i="2"/>
  <c r="CJ389" i="2"/>
  <c r="CJ330" i="2"/>
  <c r="CJ422" i="2"/>
  <c r="CJ424" i="2"/>
  <c r="AQ365" i="2"/>
  <c r="AQ353" i="2"/>
  <c r="AQ342" i="2"/>
  <c r="D389" i="2"/>
  <c r="D401" i="2" s="1"/>
  <c r="D330" i="2"/>
  <c r="D424" i="2"/>
  <c r="D422" i="2"/>
  <c r="M409" i="2"/>
  <c r="M397" i="2"/>
  <c r="AN377" i="2"/>
  <c r="AM377" i="2"/>
  <c r="AL377" i="2"/>
  <c r="AK377" i="2"/>
  <c r="AK365" i="2"/>
  <c r="AK342" i="2"/>
  <c r="AK353" i="2"/>
  <c r="BP221" i="2"/>
  <c r="BP253" i="2"/>
  <c r="BR253" i="2"/>
  <c r="BR221" i="2"/>
  <c r="BD307" i="2"/>
  <c r="BN230" i="2"/>
  <c r="BN198" i="2"/>
  <c r="AV365" i="2"/>
  <c r="AV353" i="2"/>
  <c r="AV342" i="2"/>
  <c r="CD421" i="2"/>
  <c r="CD425" i="2" s="1"/>
  <c r="CD411" i="2"/>
  <c r="CD399" i="2"/>
  <c r="AS389" i="2"/>
  <c r="AS330" i="2"/>
  <c r="AS422" i="2"/>
  <c r="AS425" i="2" s="1"/>
  <c r="AS424" i="2"/>
  <c r="CO221" i="2"/>
  <c r="CO253" i="2"/>
  <c r="AD421" i="2"/>
  <c r="BZ253" i="2"/>
  <c r="BZ221" i="2"/>
  <c r="AL365" i="2"/>
  <c r="AL342" i="2"/>
  <c r="AL353" i="2"/>
  <c r="G409" i="2"/>
  <c r="G397" i="2"/>
  <c r="CQ389" i="2"/>
  <c r="CQ330" i="2"/>
  <c r="CQ422" i="2"/>
  <c r="CQ425" i="2" s="1"/>
  <c r="CQ424" i="2"/>
  <c r="AY198" i="2"/>
  <c r="AY230" i="2"/>
  <c r="CC341" i="2"/>
  <c r="BS307" i="2"/>
  <c r="AM253" i="2"/>
  <c r="AM221" i="2"/>
  <c r="P230" i="2"/>
  <c r="P198" i="2"/>
  <c r="BM421" i="2"/>
  <c r="BM425" i="2" s="1"/>
  <c r="AO361" i="2"/>
  <c r="AO373" i="2"/>
  <c r="AO341" i="2"/>
  <c r="AO349" i="2"/>
  <c r="BE409" i="2"/>
  <c r="BE397" i="2"/>
  <c r="AT275" i="2"/>
  <c r="BX373" i="2"/>
  <c r="BX361" i="2"/>
  <c r="BX341" i="2"/>
  <c r="BX349" i="2"/>
  <c r="AD423" i="2"/>
  <c r="BD385" i="2"/>
  <c r="BD329" i="2"/>
  <c r="BX262" i="2"/>
  <c r="AC409" i="2"/>
  <c r="AC397" i="2"/>
  <c r="BP409" i="2"/>
  <c r="BP397" i="2"/>
  <c r="N389" i="2"/>
  <c r="N330" i="2"/>
  <c r="N422" i="2"/>
  <c r="N425" i="2" s="1"/>
  <c r="N424" i="2"/>
  <c r="BJ421" i="2"/>
  <c r="BJ425" i="2" s="1"/>
  <c r="AB423" i="2"/>
  <c r="AB425" i="2" s="1"/>
  <c r="AW221" i="2"/>
  <c r="AI253" i="2"/>
  <c r="BW425" i="2" l="1"/>
  <c r="V425" i="2"/>
  <c r="B425" i="2"/>
  <c r="BF425" i="2"/>
  <c r="AA425" i="2"/>
  <c r="BU425" i="2"/>
  <c r="W425" i="2"/>
  <c r="BK425" i="2"/>
  <c r="AF425" i="2"/>
  <c r="CE425" i="2"/>
  <c r="BR425" i="2"/>
  <c r="CI425" i="2"/>
  <c r="M425" i="2"/>
  <c r="BB425" i="2"/>
  <c r="AM425" i="2"/>
  <c r="AC425" i="2"/>
  <c r="CM423" i="2"/>
  <c r="CM421" i="2"/>
  <c r="CH421" i="2"/>
  <c r="CH423" i="2"/>
  <c r="AT423" i="2"/>
  <c r="AT421" i="2"/>
  <c r="BD389" i="2"/>
  <c r="BD330" i="2"/>
  <c r="BD424" i="2"/>
  <c r="BD422" i="2"/>
  <c r="S413" i="2"/>
  <c r="S401" i="2"/>
  <c r="CR411" i="2"/>
  <c r="CR399" i="2"/>
  <c r="AW401" i="2"/>
  <c r="AW413" i="2"/>
  <c r="BD423" i="2"/>
  <c r="U409" i="2"/>
  <c r="U397" i="2"/>
  <c r="AC413" i="2"/>
  <c r="AC401" i="2"/>
  <c r="AY389" i="2"/>
  <c r="AY330" i="2"/>
  <c r="AY422" i="2"/>
  <c r="AY424" i="2"/>
  <c r="BU413" i="2"/>
  <c r="BU401" i="2"/>
  <c r="K389" i="2"/>
  <c r="K330" i="2"/>
  <c r="K422" i="2"/>
  <c r="K424" i="2"/>
  <c r="AY353" i="2"/>
  <c r="AY377" i="2"/>
  <c r="AY365" i="2"/>
  <c r="AY342" i="2"/>
  <c r="BC413" i="2"/>
  <c r="BC401" i="2"/>
  <c r="CR253" i="2"/>
  <c r="CR221" i="2"/>
  <c r="K423" i="2"/>
  <c r="CH377" i="2"/>
  <c r="CH365" i="2"/>
  <c r="CH342" i="2"/>
  <c r="CH353" i="2"/>
  <c r="BF401" i="2"/>
  <c r="BF413" i="2"/>
  <c r="AH413" i="2"/>
  <c r="AH401" i="2"/>
  <c r="AR413" i="2"/>
  <c r="AR401" i="2"/>
  <c r="CO413" i="2"/>
  <c r="CO401" i="2"/>
  <c r="AJ389" i="2"/>
  <c r="AJ330" i="2"/>
  <c r="AJ424" i="2"/>
  <c r="AJ422" i="2"/>
  <c r="BX389" i="2"/>
  <c r="BX330" i="2"/>
  <c r="BX424" i="2"/>
  <c r="BX422" i="2"/>
  <c r="BS389" i="2"/>
  <c r="BS330" i="2"/>
  <c r="BS424" i="2"/>
  <c r="BS422" i="2"/>
  <c r="CB413" i="2"/>
  <c r="CB401" i="2"/>
  <c r="CH253" i="2"/>
  <c r="CH221" i="2"/>
  <c r="CF413" i="2"/>
  <c r="CF401" i="2"/>
  <c r="BD409" i="2"/>
  <c r="BD397" i="2"/>
  <c r="AS413" i="2"/>
  <c r="AS401" i="2"/>
  <c r="AY399" i="2"/>
  <c r="AY411" i="2"/>
  <c r="J413" i="2"/>
  <c r="J401" i="2"/>
  <c r="AY253" i="2"/>
  <c r="AY221" i="2"/>
  <c r="M413" i="2"/>
  <c r="M401" i="2"/>
  <c r="AY409" i="2"/>
  <c r="AY397" i="2"/>
  <c r="P411" i="2"/>
  <c r="P399" i="2"/>
  <c r="BN389" i="2"/>
  <c r="BN330" i="2"/>
  <c r="BN422" i="2"/>
  <c r="BN425" i="2" s="1"/>
  <c r="BN424" i="2"/>
  <c r="K409" i="2"/>
  <c r="K397" i="2"/>
  <c r="CD413" i="2"/>
  <c r="CD401" i="2"/>
  <c r="BN353" i="2"/>
  <c r="BN377" i="2"/>
  <c r="BN365" i="2"/>
  <c r="BN342" i="2"/>
  <c r="CI413" i="2"/>
  <c r="CI401" i="2"/>
  <c r="BR413" i="2"/>
  <c r="BR401" i="2"/>
  <c r="U377" i="2"/>
  <c r="U365" i="2"/>
  <c r="U342" i="2"/>
  <c r="U353" i="2"/>
  <c r="BO413" i="2"/>
  <c r="BO401" i="2"/>
  <c r="AJ409" i="2"/>
  <c r="AJ397" i="2"/>
  <c r="BX409" i="2"/>
  <c r="BX397" i="2"/>
  <c r="AX413" i="2"/>
  <c r="AX401" i="2"/>
  <c r="O413" i="2"/>
  <c r="O401" i="2"/>
  <c r="BS409" i="2"/>
  <c r="BS397" i="2"/>
  <c r="AT377" i="2"/>
  <c r="AT365" i="2"/>
  <c r="AT342" i="2"/>
  <c r="AT353" i="2"/>
  <c r="I401" i="2"/>
  <c r="I413" i="2"/>
  <c r="AJ221" i="2"/>
  <c r="AJ253" i="2"/>
  <c r="AO389" i="2"/>
  <c r="AO330" i="2"/>
  <c r="AO424" i="2"/>
  <c r="AO422" i="2"/>
  <c r="BW413" i="2"/>
  <c r="BW401" i="2"/>
  <c r="D425" i="2"/>
  <c r="BS365" i="2"/>
  <c r="N413" i="2"/>
  <c r="N401" i="2"/>
  <c r="BD421" i="2"/>
  <c r="BD425" i="2" s="1"/>
  <c r="CJ413" i="2"/>
  <c r="CJ401" i="2"/>
  <c r="AU413" i="2"/>
  <c r="AU401" i="2"/>
  <c r="AL413" i="2"/>
  <c r="AL401" i="2"/>
  <c r="BZ413" i="2"/>
  <c r="BZ401" i="2"/>
  <c r="BP413" i="2"/>
  <c r="BP401" i="2"/>
  <c r="BE401" i="2"/>
  <c r="BE413" i="2"/>
  <c r="AY421" i="2"/>
  <c r="AY425" i="2" s="1"/>
  <c r="BN409" i="2"/>
  <c r="BN397" i="2"/>
  <c r="K421" i="2"/>
  <c r="K425" i="2" s="1"/>
  <c r="AD413" i="2"/>
  <c r="AD401" i="2"/>
  <c r="CN413" i="2"/>
  <c r="CN401" i="2"/>
  <c r="CC389" i="2"/>
  <c r="CC330" i="2"/>
  <c r="CC424" i="2"/>
  <c r="CC422" i="2"/>
  <c r="BJ413" i="2"/>
  <c r="BJ401" i="2"/>
  <c r="BB413" i="2"/>
  <c r="BB401" i="2"/>
  <c r="AF413" i="2"/>
  <c r="AF401" i="2"/>
  <c r="AJ421" i="2"/>
  <c r="CP425" i="2"/>
  <c r="CM399" i="2"/>
  <c r="CM411" i="2"/>
  <c r="BX421" i="2"/>
  <c r="AN413" i="2"/>
  <c r="AN401" i="2"/>
  <c r="BS421" i="2"/>
  <c r="BS425" i="2" s="1"/>
  <c r="AB413" i="2"/>
  <c r="AB401" i="2"/>
  <c r="K377" i="2"/>
  <c r="K365" i="2"/>
  <c r="K342" i="2"/>
  <c r="K353" i="2"/>
  <c r="AO409" i="2"/>
  <c r="AO397" i="2"/>
  <c r="CA413" i="2"/>
  <c r="CA401" i="2"/>
  <c r="CJ425" i="2"/>
  <c r="BS377" i="2"/>
  <c r="CQ401" i="2"/>
  <c r="CQ413" i="2"/>
  <c r="AD425" i="2"/>
  <c r="BD377" i="2"/>
  <c r="BD365" i="2"/>
  <c r="BD342" i="2"/>
  <c r="BD353" i="2"/>
  <c r="AT389" i="2"/>
  <c r="AT330" i="2"/>
  <c r="AT422" i="2"/>
  <c r="AT424" i="2"/>
  <c r="CR389" i="2"/>
  <c r="CR330" i="2"/>
  <c r="CR424" i="2"/>
  <c r="CR422" i="2"/>
  <c r="CR425" i="2" s="1"/>
  <c r="G413" i="2"/>
  <c r="G401" i="2"/>
  <c r="F389" i="2"/>
  <c r="F330" i="2"/>
  <c r="F424" i="2"/>
  <c r="F422" i="2"/>
  <c r="BQ413" i="2"/>
  <c r="BQ401" i="2"/>
  <c r="CG425" i="2"/>
  <c r="CL413" i="2"/>
  <c r="CL401" i="2"/>
  <c r="AV401" i="2"/>
  <c r="AV413" i="2"/>
  <c r="CC409" i="2"/>
  <c r="CC397" i="2"/>
  <c r="CM377" i="2"/>
  <c r="CM353" i="2"/>
  <c r="CM365" i="2"/>
  <c r="CM342" i="2"/>
  <c r="Z411" i="2"/>
  <c r="Z399" i="2"/>
  <c r="CM253" i="2"/>
  <c r="CM221" i="2"/>
  <c r="BI377" i="2"/>
  <c r="BI365" i="2"/>
  <c r="BI342" i="2"/>
  <c r="BI353" i="2"/>
  <c r="R413" i="2"/>
  <c r="R401" i="2"/>
  <c r="AA413" i="2"/>
  <c r="AA401" i="2"/>
  <c r="BZ425" i="2"/>
  <c r="BX411" i="2"/>
  <c r="BX399" i="2"/>
  <c r="AO421" i="2"/>
  <c r="F423" i="2"/>
  <c r="X413" i="2"/>
  <c r="X401" i="2"/>
  <c r="AO377" i="2"/>
  <c r="AO365" i="2"/>
  <c r="AO353" i="2"/>
  <c r="AO342" i="2"/>
  <c r="AI413" i="2"/>
  <c r="AI401" i="2"/>
  <c r="V401" i="2"/>
  <c r="V413" i="2"/>
  <c r="AT409" i="2"/>
  <c r="AT397" i="2"/>
  <c r="CR409" i="2"/>
  <c r="CR397" i="2"/>
  <c r="Z377" i="2"/>
  <c r="Z365" i="2"/>
  <c r="Z342" i="2"/>
  <c r="Z353" i="2"/>
  <c r="BN253" i="2"/>
  <c r="BN221" i="2"/>
  <c r="Z389" i="2"/>
  <c r="Z330" i="2"/>
  <c r="Z422" i="2"/>
  <c r="Z424" i="2"/>
  <c r="AE365" i="2"/>
  <c r="BM413" i="2"/>
  <c r="BM401" i="2"/>
  <c r="CR377" i="2"/>
  <c r="CR365" i="2"/>
  <c r="CR353" i="2"/>
  <c r="CR342" i="2"/>
  <c r="CC421" i="2"/>
  <c r="Z423" i="2"/>
  <c r="W413" i="2"/>
  <c r="W401" i="2"/>
  <c r="C401" i="2"/>
  <c r="P377" i="2"/>
  <c r="P365" i="2"/>
  <c r="P353" i="2"/>
  <c r="P342" i="2"/>
  <c r="P389" i="2"/>
  <c r="P330" i="2"/>
  <c r="P424" i="2"/>
  <c r="P422" i="2"/>
  <c r="H413" i="2"/>
  <c r="H401" i="2"/>
  <c r="BX423" i="2"/>
  <c r="CP401" i="2"/>
  <c r="CP413" i="2"/>
  <c r="AZ413" i="2"/>
  <c r="AZ401" i="2"/>
  <c r="U221" i="2"/>
  <c r="U253" i="2"/>
  <c r="Z253" i="2"/>
  <c r="Z221" i="2"/>
  <c r="Q413" i="2"/>
  <c r="Q401" i="2"/>
  <c r="BX377" i="2"/>
  <c r="BX353" i="2"/>
  <c r="BX365" i="2"/>
  <c r="BX342" i="2"/>
  <c r="CC377" i="2"/>
  <c r="CC365" i="2"/>
  <c r="CC342" i="2"/>
  <c r="CC353" i="2"/>
  <c r="AO253" i="2"/>
  <c r="AO221" i="2"/>
  <c r="AT425" i="2"/>
  <c r="F421" i="2"/>
  <c r="F425" i="2" s="1"/>
  <c r="Z409" i="2"/>
  <c r="Z397" i="2"/>
  <c r="AE377" i="2"/>
  <c r="T413" i="2"/>
  <c r="T401" i="2"/>
  <c r="BI221" i="2"/>
  <c r="BI253" i="2"/>
  <c r="BA413" i="2"/>
  <c r="BA401" i="2"/>
  <c r="BD253" i="2"/>
  <c r="BD221" i="2"/>
  <c r="CE413" i="2"/>
  <c r="CE401" i="2"/>
  <c r="P409" i="2"/>
  <c r="P397" i="2"/>
  <c r="BH413" i="2"/>
  <c r="BH401" i="2"/>
  <c r="CC411" i="2"/>
  <c r="CC399" i="2"/>
  <c r="BG413" i="2"/>
  <c r="BG401" i="2"/>
  <c r="BL413" i="2"/>
  <c r="BL401" i="2"/>
  <c r="AG413" i="2"/>
  <c r="AG401" i="2"/>
  <c r="AP425" i="2"/>
  <c r="AQ425" i="2"/>
  <c r="CK413" i="2"/>
  <c r="CK401" i="2"/>
  <c r="AJ411" i="2"/>
  <c r="AJ399" i="2"/>
  <c r="AQ413" i="2"/>
  <c r="AQ401" i="2"/>
  <c r="AE389" i="2"/>
  <c r="AE330" i="2"/>
  <c r="AE424" i="2"/>
  <c r="AE422" i="2"/>
  <c r="BY413" i="2"/>
  <c r="BY401" i="2"/>
  <c r="CC253" i="2"/>
  <c r="CC221" i="2"/>
  <c r="S425" i="2"/>
  <c r="AT253" i="2"/>
  <c r="AT221" i="2"/>
  <c r="AP413" i="2"/>
  <c r="AP401" i="2"/>
  <c r="Z421" i="2"/>
  <c r="Z425" i="2" s="1"/>
  <c r="BV413" i="2"/>
  <c r="BV401" i="2"/>
  <c r="AO411" i="2"/>
  <c r="AO399" i="2"/>
  <c r="BX253" i="2"/>
  <c r="BX221" i="2"/>
  <c r="BI389" i="2"/>
  <c r="BI330" i="2"/>
  <c r="BI422" i="2"/>
  <c r="BI424" i="2"/>
  <c r="BO425" i="2"/>
  <c r="BS253" i="2"/>
  <c r="BS221" i="2"/>
  <c r="AM413" i="2"/>
  <c r="AM401" i="2"/>
  <c r="CH389" i="2"/>
  <c r="CH330" i="2"/>
  <c r="CH424" i="2"/>
  <c r="CH422" i="2"/>
  <c r="CH425" i="2" s="1"/>
  <c r="BS411" i="2"/>
  <c r="BS399" i="2"/>
  <c r="BK413" i="2"/>
  <c r="BK401" i="2"/>
  <c r="CG413" i="2"/>
  <c r="CG401" i="2"/>
  <c r="L413" i="2"/>
  <c r="L401" i="2"/>
  <c r="BT413" i="2"/>
  <c r="BT401" i="2"/>
  <c r="CM389" i="2"/>
  <c r="CM330" i="2"/>
  <c r="CM422" i="2"/>
  <c r="CM424" i="2"/>
  <c r="P421" i="2"/>
  <c r="CC423" i="2"/>
  <c r="AK413" i="2"/>
  <c r="AK401" i="2"/>
  <c r="AJ423" i="2"/>
  <c r="BI411" i="2"/>
  <c r="BI399" i="2"/>
  <c r="AE409" i="2"/>
  <c r="AE397" i="2"/>
  <c r="U411" i="2"/>
  <c r="U399" i="2"/>
  <c r="BN411" i="2"/>
  <c r="BN399" i="2"/>
  <c r="BD411" i="2"/>
  <c r="BD399" i="2"/>
  <c r="U389" i="2"/>
  <c r="U330" i="2"/>
  <c r="U424" i="2"/>
  <c r="U422" i="2"/>
  <c r="U425" i="2" s="1"/>
  <c r="P253" i="2"/>
  <c r="P221" i="2"/>
  <c r="CH411" i="2"/>
  <c r="CH399" i="2"/>
  <c r="E401" i="2"/>
  <c r="BI409" i="2"/>
  <c r="BI397" i="2"/>
  <c r="AT411" i="2"/>
  <c r="AT399" i="2"/>
  <c r="CH409" i="2"/>
  <c r="CH397" i="2"/>
  <c r="K399" i="2"/>
  <c r="K411" i="2"/>
  <c r="AE411" i="2"/>
  <c r="AE399" i="2"/>
  <c r="CM409" i="2"/>
  <c r="CM397" i="2"/>
  <c r="AJ377" i="2"/>
  <c r="AJ353" i="2"/>
  <c r="AJ365" i="2"/>
  <c r="AJ342" i="2"/>
  <c r="K253" i="2"/>
  <c r="K221" i="2"/>
  <c r="J425" i="2"/>
  <c r="BI423" i="2"/>
  <c r="AE425" i="2"/>
  <c r="Y413" i="2"/>
  <c r="Y401" i="2"/>
  <c r="CM425" i="2" l="1"/>
  <c r="BI425" i="2"/>
  <c r="BX413" i="2"/>
  <c r="BX401" i="2"/>
  <c r="K413" i="2"/>
  <c r="K401" i="2"/>
  <c r="P413" i="2"/>
  <c r="P401" i="2"/>
  <c r="AJ425" i="2"/>
  <c r="AE413" i="2"/>
  <c r="AE401" i="2"/>
  <c r="CC425" i="2"/>
  <c r="CR413" i="2"/>
  <c r="CR401" i="2"/>
  <c r="AO413" i="2"/>
  <c r="AO401" i="2"/>
  <c r="BN401" i="2"/>
  <c r="BN413" i="2"/>
  <c r="P425" i="2"/>
  <c r="AO425" i="2"/>
  <c r="CC413" i="2"/>
  <c r="CC401" i="2"/>
  <c r="U413" i="2"/>
  <c r="U401" i="2"/>
  <c r="BS413" i="2"/>
  <c r="BS401" i="2"/>
  <c r="AJ413" i="2"/>
  <c r="AJ401" i="2"/>
  <c r="CH401" i="2"/>
  <c r="CH413" i="2"/>
  <c r="Z413" i="2"/>
  <c r="Z401" i="2"/>
  <c r="BX425" i="2"/>
  <c r="BD413" i="2"/>
  <c r="BD401" i="2"/>
  <c r="CM413" i="2"/>
  <c r="CM401" i="2"/>
  <c r="BI413" i="2"/>
  <c r="BI401" i="2"/>
  <c r="AT413" i="2"/>
  <c r="AT401" i="2"/>
  <c r="AY413" i="2"/>
  <c r="AY401" i="2"/>
</calcChain>
</file>

<file path=xl/sharedStrings.xml><?xml version="1.0" encoding="utf-8"?>
<sst xmlns="http://schemas.openxmlformats.org/spreadsheetml/2006/main" count="1699" uniqueCount="118">
  <si>
    <t xml:space="preserve">Produk Domestik Regional Bruto (PDRB) ADHB Menurut Pengeluaran, (Dalam Juta Rupiah) </t>
  </si>
  <si>
    <t>Kabupaten/Kota :</t>
  </si>
  <si>
    <t>Komponen Pengeluaran</t>
  </si>
  <si>
    <t>Q1-2008</t>
  </si>
  <si>
    <t>Q2-2008</t>
  </si>
  <si>
    <t>Q3-2008</t>
  </si>
  <si>
    <t>Q4-2008</t>
  </si>
  <si>
    <t>Q1-2009</t>
  </si>
  <si>
    <t>Q2-2009</t>
  </si>
  <si>
    <t>Q3-2009</t>
  </si>
  <si>
    <t>Q4-2009</t>
  </si>
  <si>
    <t>Q1-2010</t>
  </si>
  <si>
    <t>Q2-2010</t>
  </si>
  <si>
    <t>Q3-2010</t>
  </si>
  <si>
    <t>Q4-2010</t>
  </si>
  <si>
    <t>Q1-2011</t>
  </si>
  <si>
    <t>Q2-2011</t>
  </si>
  <si>
    <t>Q3-2011</t>
  </si>
  <si>
    <t>Q4-2011</t>
  </si>
  <si>
    <t>Q1-2012</t>
  </si>
  <si>
    <t>Q2-2012</t>
  </si>
  <si>
    <t>Q3-2012</t>
  </si>
  <si>
    <t>Q4-2012</t>
  </si>
  <si>
    <t>Q1-2013</t>
  </si>
  <si>
    <t>Q2-2013</t>
  </si>
  <si>
    <t>Q3-2013</t>
  </si>
  <si>
    <t>Q4-2013</t>
  </si>
  <si>
    <t>Q1-2014</t>
  </si>
  <si>
    <t>Q2-2014</t>
  </si>
  <si>
    <t>Q3-2014</t>
  </si>
  <si>
    <t>Q4-2014</t>
  </si>
  <si>
    <t>Q1-2015</t>
  </si>
  <si>
    <t>Q2-2015</t>
  </si>
  <si>
    <t>Q3-2015</t>
  </si>
  <si>
    <t>Q4-2015</t>
  </si>
  <si>
    <t>Q1-2016</t>
  </si>
  <si>
    <t>Q2-2016</t>
  </si>
  <si>
    <t>Q3-2016</t>
  </si>
  <si>
    <t>Q4-2016</t>
  </si>
  <si>
    <t>Q1-2017</t>
  </si>
  <si>
    <t>Q2-2017</t>
  </si>
  <si>
    <t>Q3-2017</t>
  </si>
  <si>
    <t>Q4-2017</t>
  </si>
  <si>
    <t>Q1-2018</t>
  </si>
  <si>
    <t>Q2-2018</t>
  </si>
  <si>
    <t>Q3-2018</t>
  </si>
  <si>
    <t>Q4-2018</t>
  </si>
  <si>
    <t>Q1-2019</t>
  </si>
  <si>
    <t>Q2-2019</t>
  </si>
  <si>
    <t>Q3-2019</t>
  </si>
  <si>
    <t>Q4-2019</t>
  </si>
  <si>
    <t>Q1-2020</t>
  </si>
  <si>
    <t>Q2-2020</t>
  </si>
  <si>
    <t>Q3-2020</t>
  </si>
  <si>
    <t>Q4-2020</t>
  </si>
  <si>
    <t>Q1-2021</t>
  </si>
  <si>
    <t>Q2-2021</t>
  </si>
  <si>
    <t>Q3-2021</t>
  </si>
  <si>
    <t>Q4-2021</t>
  </si>
  <si>
    <t>Q1-2022</t>
  </si>
  <si>
    <t>Q2-2022</t>
  </si>
  <si>
    <t>Q3-2022</t>
  </si>
  <si>
    <t>Q4-2022</t>
  </si>
  <si>
    <t>Q1-2023</t>
  </si>
  <si>
    <t>Q2-2023</t>
  </si>
  <si>
    <t>Q3-2023</t>
  </si>
  <si>
    <t>Q4-2023</t>
  </si>
  <si>
    <t>Q1-2024</t>
  </si>
  <si>
    <t>Q2-2024</t>
  </si>
  <si>
    <t>Q3-2024</t>
  </si>
  <si>
    <t>Q4-2024</t>
  </si>
  <si>
    <t>Q1-2025</t>
  </si>
  <si>
    <t>Q2-2025</t>
  </si>
  <si>
    <t>Q3-2025</t>
  </si>
  <si>
    <t>Q4-2025</t>
  </si>
  <si>
    <t>Q1-2026</t>
  </si>
  <si>
    <t>Q2-2026</t>
  </si>
  <si>
    <t>Q3-2026</t>
  </si>
  <si>
    <t>Q4-2026</t>
  </si>
  <si>
    <t>1. Pengeluaran Konsumsi Rumah Tangga (1.a. s/d 1.g.)</t>
  </si>
  <si>
    <t xml:space="preserve">  1.a.   Makanan, Minuman, dan Rokok</t>
  </si>
  <si>
    <t xml:space="preserve">  1.b.  Pakaian dan Alas Kaki</t>
  </si>
  <si>
    <t xml:space="preserve">  1.c.  Perumahan, Perkakas, Perlengkapan &amp; Penyelenggaraan RT</t>
  </si>
  <si>
    <t xml:space="preserve">  1.d.  Kesehatan dan Pendidikan</t>
  </si>
  <si>
    <t xml:space="preserve">  1.e.  Transportasi, Komunikasi, Rekreasi, dan Budaya</t>
  </si>
  <si>
    <t xml:space="preserve">  1.f.  Hotel dan Restoran</t>
  </si>
  <si>
    <t xml:space="preserve">  1.g.  Lainnya</t>
  </si>
  <si>
    <t>2. Pengeluaran Konsumsi LNPRT</t>
  </si>
  <si>
    <t>3. Pengeluaran Konsumsi Pemerintah</t>
  </si>
  <si>
    <t>4. Pembentukan Modal Tetap Bruto</t>
  </si>
  <si>
    <t xml:space="preserve">  4.a. Bangunan</t>
  </si>
  <si>
    <t xml:space="preserve">  4.b. Non-Bangunan</t>
  </si>
  <si>
    <t>5. Perubahan Inventori</t>
  </si>
  <si>
    <t xml:space="preserve">6. Ekspor </t>
  </si>
  <si>
    <t>7. Impor</t>
  </si>
  <si>
    <t>P D R B</t>
  </si>
  <si>
    <r>
      <t>Produk Domestik Regional Bruto (PDRB) ADHK Menurut Pengeluaran, (Dalam Juta Rupiah)</t>
    </r>
    <r>
      <rPr>
        <b/>
        <sz val="16"/>
        <color rgb="FFFF0000"/>
        <rFont val="Franklin Gothic Medium Cond"/>
        <family val="2"/>
      </rPr>
      <t xml:space="preserve"> </t>
    </r>
  </si>
  <si>
    <t>Laju Pertumbuhan Q-to-Q (Persen)</t>
  </si>
  <si>
    <t>Laju Pertumbuhan Y-on-Y (Persen)</t>
  </si>
  <si>
    <t>Laju Pertumbuhan C-to-C (Persen)</t>
  </si>
  <si>
    <t>Indeks Implisit</t>
  </si>
  <si>
    <t>Laju Indeks Implisit Q-to-Q (Persen)</t>
  </si>
  <si>
    <t>Laju Indeks Implisig Y-on-Y (Persen)</t>
  </si>
  <si>
    <t>Distribusi Persentase ADHB (Persen)</t>
  </si>
  <si>
    <t>Distribusi Persentase ADHK (Persen)</t>
  </si>
  <si>
    <t xml:space="preserve">Produk Domestik Regional Bruto (PDRB) ADHB Menurut 4 Komponen, (Dalam Juta Rupiah) </t>
  </si>
  <si>
    <t>1. Konsumsi Akhir Non Publik</t>
  </si>
  <si>
    <t>2. Konsumsi Akhir Publik</t>
  </si>
  <si>
    <t>3. Konsumsi Akhir Institusi</t>
  </si>
  <si>
    <t>4. Lainnya</t>
  </si>
  <si>
    <t xml:space="preserve">Produk Domestik Regional Bruto (PDRB) ADHK Menurut 4 Komponen, (Dalam Juta Rupiah) </t>
  </si>
  <si>
    <t>Laju Pertumbuhan Q-to-Q Menurut 4 Komponen (Persen)</t>
  </si>
  <si>
    <t>Laju Pertumbuhan Y-on-Y Menurut 4 Komponen (Persen)</t>
  </si>
  <si>
    <t>Laju Pertumbuhan C-to-C Menurut 4 Komponen (Persen)</t>
  </si>
  <si>
    <t>Laju Indeks Implisit Q-to-Q Menurut 4 Komponen (Persen)</t>
  </si>
  <si>
    <t>Laju Indeks Implisit Y-on-Y Menurut 4 Komponen (Persen)</t>
  </si>
  <si>
    <t>Distribusi Persentasi PDRB ADHB Menurut 4 Komponen (Persen)</t>
  </si>
  <si>
    <t>Kepuluauan Tanimbar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</si>
</sst>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_);\(0\)"/>
    <numFmt numFmtId="166" formatCode="0.00_);[Red]\(0.00\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6"/>
      <name val="Franklin Gothic Medium Cond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16"/>
      <color rgb="FFFF0000"/>
      <name val="Franklin Gothic Medium Cond"/>
      <family val="2"/>
    </font>
    <font>
      <sz val="10"/>
      <color rgb="FFFF0000"/>
      <name val="Calibri"/>
      <family val="2"/>
      <scheme val="minor"/>
    </font>
    <font>
      <sz val="14"/>
      <color theme="0"/>
      <name val="Franklin Gothic Medium Cond"/>
      <family val="2"/>
    </font>
    <font>
      <b/>
      <sz val="12"/>
      <color theme="0"/>
      <name val="Franklin Gothic Medium Cond"/>
      <family val="2"/>
    </font>
    <font>
      <b/>
      <sz val="10"/>
      <color rgb="FFFF0000"/>
      <name val="Arial"/>
      <family val="2"/>
    </font>
    <font>
      <i/>
      <sz val="9"/>
      <name val="Trebuchet MS"/>
      <family val="2"/>
    </font>
    <font>
      <b/>
      <sz val="12"/>
      <name val="Franklin Gothic Medium Cond"/>
      <family val="2"/>
    </font>
    <font>
      <sz val="11"/>
      <name val="Franklin Gothic Medium Cond"/>
      <family val="2"/>
    </font>
    <font>
      <b/>
      <sz val="11"/>
      <color theme="0"/>
      <name val="Franklin Gothic Medium Cond"/>
      <family val="2"/>
    </font>
    <font>
      <b/>
      <sz val="10"/>
      <color theme="0"/>
      <name val="Arial"/>
      <family val="2"/>
    </font>
    <font>
      <sz val="11"/>
      <color theme="0"/>
      <name val="Franklin Gothic Medium Cond"/>
      <family val="2"/>
    </font>
    <font>
      <sz val="11"/>
      <color indexed="8"/>
      <name val="Franklin Gothic Medium Cond"/>
      <family val="2"/>
    </font>
    <font>
      <b/>
      <sz val="11"/>
      <color rgb="FFFF0000"/>
      <name val="Franklin Gothic Medium Cond"/>
      <family val="2"/>
    </font>
    <font>
      <b/>
      <sz val="16"/>
      <color rgb="FFFF0000"/>
      <name val="Franklin Gothic Book"/>
      <family val="2"/>
    </font>
    <font>
      <b/>
      <sz val="12"/>
      <color rgb="FFFF0000"/>
      <name val="Arial Narrow"/>
      <family val="2"/>
    </font>
    <font>
      <b/>
      <sz val="11"/>
      <name val="Franklin Gothic Medium Cond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42"/>
      </patternFill>
    </fill>
    <fill>
      <patternFill patternType="solid">
        <fgColor theme="8" tint="-0.249977111117893"/>
        <bgColor indexed="42"/>
      </patternFill>
    </fill>
    <fill>
      <patternFill patternType="solid">
        <fgColor theme="8" tint="-0.499984740745262"/>
        <bgColor indexed="42"/>
      </patternFill>
    </fill>
    <fill>
      <patternFill patternType="solid">
        <fgColor theme="0"/>
        <bgColor indexed="3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499984740745262"/>
        <bgColor theme="6" tint="0.79998168889431442"/>
      </patternFill>
    </fill>
    <fill>
      <patternFill patternType="solid">
        <fgColor theme="0"/>
        <bgColor theme="6" tint="0.79998168889431442"/>
      </patternFill>
    </fill>
    <fill>
      <patternFill patternType="solid">
        <fgColor rgb="FF00206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499984740745262"/>
        <bgColor theme="6" tint="0.79998168889431442"/>
      </patternFill>
    </fill>
    <fill>
      <patternFill patternType="solid">
        <fgColor theme="8" tint="0.79998168889431442"/>
        <bgColor theme="6" tint="0.79998168889431442"/>
      </patternFill>
    </fill>
    <fill>
      <patternFill patternType="solid">
        <fgColor rgb="FF002060"/>
        <bgColor theme="6" tint="0.79998168889431442"/>
      </patternFill>
    </fill>
    <fill>
      <patternFill patternType="solid">
        <fgColor theme="4" tint="-0.499984740745262"/>
        <bgColor theme="6" tint="0.79998168889431442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4" fillId="0" borderId="0"/>
    <xf numFmtId="0" fontId="1" fillId="0" borderId="0"/>
  </cellStyleXfs>
  <cellXfs count="62">
    <xf numFmtId="0" fontId="0" fillId="0" borderId="0" xfId="0"/>
    <xf numFmtId="0" fontId="3" fillId="2" borderId="0" xfId="2" applyFont="1" applyFill="1" applyProtection="1">
      <protection locked="0"/>
    </xf>
    <xf numFmtId="0" fontId="5" fillId="2" borderId="0" xfId="3" applyFont="1" applyFill="1" applyProtection="1">
      <protection locked="0"/>
    </xf>
    <xf numFmtId="0" fontId="6" fillId="2" borderId="0" xfId="3" applyFont="1" applyFill="1" applyProtection="1">
      <protection locked="0"/>
    </xf>
    <xf numFmtId="0" fontId="7" fillId="2" borderId="0" xfId="3" applyFont="1" applyFill="1" applyProtection="1">
      <protection locked="0"/>
    </xf>
    <xf numFmtId="0" fontId="8" fillId="3" borderId="1" xfId="2" applyFont="1" applyFill="1" applyBorder="1" applyAlignment="1" applyProtection="1">
      <alignment horizontal="center" vertical="center"/>
      <protection locked="0"/>
    </xf>
    <xf numFmtId="0" fontId="9" fillId="4" borderId="2" xfId="2" applyFont="1" applyFill="1" applyBorder="1" applyAlignment="1" applyProtection="1">
      <alignment horizontal="center" vertical="center" wrapText="1"/>
      <protection locked="0"/>
    </xf>
    <xf numFmtId="0" fontId="9" fillId="5" borderId="2" xfId="2" applyFont="1" applyFill="1" applyBorder="1" applyAlignment="1" applyProtection="1">
      <alignment horizontal="center" vertical="center" wrapText="1"/>
      <protection locked="0"/>
    </xf>
    <xf numFmtId="0" fontId="9" fillId="6" borderId="2" xfId="2" applyFont="1" applyFill="1" applyBorder="1" applyAlignment="1" applyProtection="1">
      <alignment horizontal="center" vertical="center" wrapText="1"/>
      <protection locked="0"/>
    </xf>
    <xf numFmtId="0" fontId="10" fillId="2" borderId="0" xfId="3" applyFont="1" applyFill="1"/>
    <xf numFmtId="165" fontId="11" fillId="7" borderId="3" xfId="3" applyNumberFormat="1" applyFont="1" applyFill="1" applyBorder="1" applyAlignment="1">
      <alignment horizontal="center" vertical="center"/>
    </xf>
    <xf numFmtId="165" fontId="11" fillId="2" borderId="4" xfId="3" applyNumberFormat="1" applyFont="1" applyFill="1" applyBorder="1" applyAlignment="1">
      <alignment horizontal="center" vertical="center"/>
    </xf>
    <xf numFmtId="0" fontId="12" fillId="2" borderId="5" xfId="2" applyFont="1" applyFill="1" applyBorder="1" applyAlignment="1" applyProtection="1">
      <alignment horizontal="center" vertical="center"/>
      <protection locked="0"/>
    </xf>
    <xf numFmtId="0" fontId="13" fillId="2" borderId="6" xfId="2" applyFont="1" applyFill="1" applyBorder="1" applyAlignment="1" applyProtection="1">
      <alignment horizontal="left"/>
      <protection locked="0"/>
    </xf>
    <xf numFmtId="0" fontId="13" fillId="8" borderId="6" xfId="2" applyFont="1" applyFill="1" applyBorder="1" applyAlignment="1" applyProtection="1">
      <alignment horizontal="left"/>
      <protection locked="0"/>
    </xf>
    <xf numFmtId="0" fontId="14" fillId="9" borderId="7" xfId="2" applyFont="1" applyFill="1" applyBorder="1" applyAlignment="1" applyProtection="1">
      <alignment horizontal="left"/>
      <protection locked="0"/>
    </xf>
    <xf numFmtId="40" fontId="14" fillId="10" borderId="8" xfId="2" applyNumberFormat="1" applyFont="1" applyFill="1" applyBorder="1" applyAlignment="1">
      <alignment horizontal="right" vertical="center"/>
    </xf>
    <xf numFmtId="0" fontId="15" fillId="2" borderId="0" xfId="3" applyFont="1" applyFill="1"/>
    <xf numFmtId="0" fontId="13" fillId="2" borderId="7" xfId="2" applyFont="1" applyFill="1" applyBorder="1" applyAlignment="1" applyProtection="1">
      <alignment horizontal="left" indent="1"/>
      <protection locked="0"/>
    </xf>
    <xf numFmtId="40" fontId="13" fillId="2" borderId="8" xfId="2" applyNumberFormat="1" applyFont="1" applyFill="1" applyBorder="1" applyAlignment="1">
      <alignment horizontal="right" vertical="center" indent="1"/>
    </xf>
    <xf numFmtId="40" fontId="13" fillId="8" borderId="8" xfId="2" applyNumberFormat="1" applyFont="1" applyFill="1" applyBorder="1" applyAlignment="1">
      <alignment horizontal="right" vertical="center" indent="1"/>
    </xf>
    <xf numFmtId="40" fontId="13" fillId="11" borderId="8" xfId="2" applyNumberFormat="1" applyFont="1" applyFill="1" applyBorder="1" applyAlignment="1">
      <alignment horizontal="right" vertical="center" indent="1"/>
    </xf>
    <xf numFmtId="40" fontId="13" fillId="2" borderId="8" xfId="2" applyNumberFormat="1" applyFont="1" applyFill="1" applyBorder="1" applyAlignment="1">
      <alignment horizontal="right" vertical="center"/>
    </xf>
    <xf numFmtId="40" fontId="16" fillId="2" borderId="8" xfId="2" applyNumberFormat="1" applyFont="1" applyFill="1" applyBorder="1" applyAlignment="1">
      <alignment horizontal="right" vertical="center"/>
    </xf>
    <xf numFmtId="40" fontId="13" fillId="8" borderId="8" xfId="2" applyNumberFormat="1" applyFont="1" applyFill="1" applyBorder="1" applyAlignment="1">
      <alignment horizontal="right" vertical="center"/>
    </xf>
    <xf numFmtId="0" fontId="13" fillId="2" borderId="7" xfId="2" applyFont="1" applyFill="1" applyBorder="1" applyAlignment="1" applyProtection="1">
      <alignment horizontal="left"/>
      <protection locked="0"/>
    </xf>
    <xf numFmtId="0" fontId="9" fillId="12" borderId="9" xfId="2" applyFont="1" applyFill="1" applyBorder="1" applyAlignment="1" applyProtection="1">
      <alignment horizontal="center" vertical="center"/>
      <protection locked="0"/>
    </xf>
    <xf numFmtId="40" fontId="9" fillId="12" borderId="10" xfId="4" applyNumberFormat="1" applyFont="1" applyFill="1" applyBorder="1" applyAlignment="1">
      <alignment horizontal="right" vertical="center"/>
    </xf>
    <xf numFmtId="0" fontId="17" fillId="2" borderId="0" xfId="2" applyFont="1" applyFill="1" applyProtection="1">
      <protection locked="0"/>
    </xf>
    <xf numFmtId="164" fontId="17" fillId="2" borderId="0" xfId="2" applyNumberFormat="1" applyFont="1" applyFill="1" applyProtection="1">
      <protection locked="0"/>
    </xf>
    <xf numFmtId="4" fontId="17" fillId="2" borderId="0" xfId="2" applyNumberFormat="1" applyFont="1" applyFill="1" applyProtection="1">
      <protection locked="0"/>
    </xf>
    <xf numFmtId="0" fontId="4" fillId="2" borderId="0" xfId="3" applyFill="1"/>
    <xf numFmtId="0" fontId="18" fillId="2" borderId="0" xfId="2" applyFont="1" applyFill="1"/>
    <xf numFmtId="166" fontId="18" fillId="2" borderId="0" xfId="2" applyNumberFormat="1" applyFont="1" applyFill="1"/>
    <xf numFmtId="0" fontId="19" fillId="2" borderId="0" xfId="3" applyFont="1" applyFill="1" applyProtection="1">
      <protection locked="0"/>
    </xf>
    <xf numFmtId="0" fontId="20" fillId="2" borderId="0" xfId="3" applyFont="1" applyFill="1" applyProtection="1">
      <protection locked="0"/>
    </xf>
    <xf numFmtId="0" fontId="13" fillId="13" borderId="6" xfId="2" applyFont="1" applyFill="1" applyBorder="1" applyAlignment="1" applyProtection="1">
      <alignment horizontal="left"/>
      <protection locked="0"/>
    </xf>
    <xf numFmtId="40" fontId="14" fillId="14" borderId="8" xfId="2" applyNumberFormat="1" applyFont="1" applyFill="1" applyBorder="1" applyAlignment="1">
      <alignment horizontal="right" vertical="center"/>
    </xf>
    <xf numFmtId="40" fontId="13" fillId="13" borderId="8" xfId="2" applyNumberFormat="1" applyFont="1" applyFill="1" applyBorder="1" applyAlignment="1">
      <alignment horizontal="right" vertical="center" indent="1"/>
    </xf>
    <xf numFmtId="40" fontId="21" fillId="11" borderId="8" xfId="2" applyNumberFormat="1" applyFont="1" applyFill="1" applyBorder="1" applyAlignment="1">
      <alignment horizontal="right" vertical="center"/>
    </xf>
    <xf numFmtId="40" fontId="21" fillId="15" borderId="8" xfId="2" applyNumberFormat="1" applyFont="1" applyFill="1" applyBorder="1" applyAlignment="1">
      <alignment horizontal="right" vertical="center"/>
    </xf>
    <xf numFmtId="40" fontId="13" fillId="14" borderId="8" xfId="2" applyNumberFormat="1" applyFont="1" applyFill="1" applyBorder="1" applyAlignment="1">
      <alignment horizontal="right" vertical="center" indent="1"/>
    </xf>
    <xf numFmtId="40" fontId="13" fillId="13" borderId="8" xfId="2" applyNumberFormat="1" applyFont="1" applyFill="1" applyBorder="1" applyAlignment="1">
      <alignment horizontal="right" vertical="center"/>
    </xf>
    <xf numFmtId="0" fontId="13" fillId="2" borderId="11" xfId="2" applyFont="1" applyFill="1" applyBorder="1" applyAlignment="1" applyProtection="1">
      <alignment horizontal="left"/>
      <protection locked="0"/>
    </xf>
    <xf numFmtId="40" fontId="13" fillId="13" borderId="12" xfId="2" applyNumberFormat="1" applyFont="1" applyFill="1" applyBorder="1" applyAlignment="1">
      <alignment horizontal="right" vertical="center"/>
    </xf>
    <xf numFmtId="40" fontId="13" fillId="2" borderId="12" xfId="2" applyNumberFormat="1" applyFont="1" applyFill="1" applyBorder="1" applyAlignment="1">
      <alignment horizontal="right" vertical="center"/>
    </xf>
    <xf numFmtId="40" fontId="13" fillId="8" borderId="12" xfId="2" applyNumberFormat="1" applyFont="1" applyFill="1" applyBorder="1" applyAlignment="1">
      <alignment horizontal="right" vertical="center"/>
    </xf>
    <xf numFmtId="0" fontId="9" fillId="12" borderId="13" xfId="2" applyFont="1" applyFill="1" applyBorder="1" applyAlignment="1" applyProtection="1">
      <alignment horizontal="center" vertical="center"/>
      <protection locked="0"/>
    </xf>
    <xf numFmtId="40" fontId="9" fillId="13" borderId="14" xfId="4" applyNumberFormat="1" applyFont="1" applyFill="1" applyBorder="1" applyAlignment="1">
      <alignment horizontal="right" vertical="center"/>
    </xf>
    <xf numFmtId="40" fontId="14" fillId="16" borderId="14" xfId="2" applyNumberFormat="1" applyFont="1" applyFill="1" applyBorder="1" applyAlignment="1">
      <alignment horizontal="right" vertical="center"/>
    </xf>
    <xf numFmtId="40" fontId="14" fillId="9" borderId="8" xfId="2" applyNumberFormat="1" applyFont="1" applyFill="1" applyBorder="1" applyAlignment="1">
      <alignment horizontal="right" vertical="center" indent="1"/>
    </xf>
    <xf numFmtId="40" fontId="14" fillId="12" borderId="14" xfId="2" applyNumberFormat="1" applyFont="1" applyFill="1" applyBorder="1" applyAlignment="1">
      <alignment horizontal="right" vertical="center" indent="1"/>
    </xf>
    <xf numFmtId="0" fontId="13" fillId="0" borderId="7" xfId="2" applyFont="1" applyBorder="1" applyAlignment="1" applyProtection="1">
      <alignment horizontal="left"/>
      <protection locked="0"/>
    </xf>
    <xf numFmtId="40" fontId="13" fillId="0" borderId="8" xfId="2" applyNumberFormat="1" applyFont="1" applyBorder="1" applyAlignment="1">
      <alignment horizontal="right" vertical="center" indent="1"/>
    </xf>
    <xf numFmtId="0" fontId="4" fillId="0" borderId="0" xfId="3"/>
    <xf numFmtId="40" fontId="16" fillId="12" borderId="14" xfId="2" applyNumberFormat="1" applyFont="1" applyFill="1" applyBorder="1" applyAlignment="1">
      <alignment horizontal="right" vertical="center" indent="1"/>
    </xf>
    <xf numFmtId="164" fontId="5" fillId="2" borderId="0" xfId="1" applyFont="1" applyFill="1" applyProtection="1">
      <protection locked="0"/>
    </xf>
    <xf numFmtId="40" fontId="13" fillId="11" borderId="8" xfId="2" applyNumberFormat="1" applyFont="1" applyFill="1" applyBorder="1" applyAlignment="1">
      <alignment horizontal="right" vertical="center"/>
    </xf>
    <xf numFmtId="40" fontId="13" fillId="11" borderId="12" xfId="2" applyNumberFormat="1" applyFont="1" applyFill="1" applyBorder="1" applyAlignment="1">
      <alignment horizontal="right" vertical="center"/>
    </xf>
    <xf numFmtId="40" fontId="14" fillId="17" borderId="14" xfId="2" applyNumberFormat="1" applyFont="1" applyFill="1" applyBorder="1" applyAlignment="1">
      <alignment horizontal="right" vertical="center"/>
    </xf>
    <xf numFmtId="40" fontId="16" fillId="17" borderId="8" xfId="2" applyNumberFormat="1" applyFont="1" applyFill="1" applyBorder="1" applyAlignment="1">
      <alignment horizontal="right" vertical="center"/>
    </xf>
    <xf numFmtId="40" fontId="14" fillId="17" borderId="8" xfId="2" applyNumberFormat="1" applyFont="1" applyFill="1" applyBorder="1" applyAlignment="1">
      <alignment horizontal="right" vertical="center"/>
    </xf>
  </cellXfs>
  <cellStyles count="5">
    <cellStyle name="Comma" xfId="1" builtinId="3"/>
    <cellStyle name="Normal" xfId="0" builtinId="0"/>
    <cellStyle name="Normal 12 2 2" xfId="2" xr:uid="{00000000-0005-0000-0000-000002000000}"/>
    <cellStyle name="Normal 12 2 3" xfId="4" xr:uid="{00000000-0005-0000-0000-000003000000}"/>
    <cellStyle name="Normal 2" xfId="3" xr:uid="{00000000-0005-0000-0000-000004000000}"/>
  </cellStyles>
  <dxfs count="88"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</font>
      <fill>
        <patternFill>
          <bgColor rgb="FFCCCCFF"/>
        </patternFill>
      </fill>
    </dxf>
    <dxf>
      <font>
        <b/>
        <i val="0"/>
      </font>
      <fill>
        <patternFill>
          <bgColor rgb="FFCCCCFF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/>
        <i val="0"/>
        <color theme="1"/>
      </font>
      <fill>
        <patternFill>
          <bgColor rgb="FFFF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border outline="0">
        <top style="thick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Franklin Gothic Medium Cond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border outline="0">
        <top style="thick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Franklin Gothic Medium Cond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border outline="0">
        <top style="thick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Franklin Gothic Medium Cond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border outline="0">
        <top style="thick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Franklin Gothic Medium Cond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border outline="0">
        <top style="thick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Franklin Gothic Medium Cond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border outline="0">
        <top style="thick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Franklin Gothic Medium Cond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border outline="0">
        <top style="thick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Franklin Gothic Medium Cond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border outline="0">
        <top style="thick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Franklin Gothic Medium Cond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border outline="0">
        <top style="thick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Franklin Gothic Medium Cond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hair">
          <color indexed="64"/>
        </top>
        <bottom style="hair">
          <color indexed="64"/>
        </bottom>
        <vertical style="thin">
          <color indexed="64"/>
        </vertical>
        <horizontal style="hair">
          <color indexed="64"/>
        </horizontal>
      </border>
      <protection locked="0" hidden="0"/>
    </dxf>
    <dxf>
      <border outline="0">
        <top style="thick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Franklin Gothic Medium Cond"/>
        <scheme val="none"/>
      </font>
      <fill>
        <patternFill patternType="none">
          <fgColor rgb="FF000000"/>
          <bgColor rgb="FFFFFFFF"/>
        </patternFill>
      </fill>
      <alignment horizontal="left" vertical="bottom" textRotation="0" wrapText="0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Franklin Gothic Medium Cond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yu%20Poenya\Rekonsiliasi%20PDRB\Rekon%20Seri%202010\2014\03%20Triwulan%20III%202014\Put%200\100%20Rekonsiliasi%2058%20Gabu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D%202010%20Maluku\100%20Rekonsiliasi%20Put%201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yu%20Poenya\Lembar%20Rekonsiliasi%202010\Lembar%20Rekonsiliasi%20Tahun%20Dasar%202010%20117%20kirim%20pak%20ari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yu%20Poenya\Rekonsiliasi%20PDRB\Rekon%20Seri%202010\2014\03%20Triwulan%20III%202014\Put%200\Rekonsiliasi%202010=100%20Konser%20Januari%20Punyanya%20Oyu\Put%200%20(Awal)\100%20Rekonsiliasi%20Put%200%20Gabungan%20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PDRB"/>
      <sheetName val="Sheet1"/>
      <sheetName val="Prod"/>
      <sheetName val="Prod54"/>
      <sheetName val="Prod53"/>
      <sheetName val="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2">
          <cell r="A2" t="str">
            <v xml:space="preserve">1. Tanaman Pangan </v>
          </cell>
          <cell r="R2" t="str">
            <v>A. Pertanian</v>
          </cell>
        </row>
        <row r="3">
          <cell r="A3" t="str">
            <v>2. Tanaman Hortikultura Semusim</v>
          </cell>
          <cell r="R3" t="str">
            <v>B. Pertambangan &amp; Penggalian</v>
          </cell>
        </row>
        <row r="4">
          <cell r="A4" t="str">
            <v>3. Perkebunan Semusim</v>
          </cell>
          <cell r="R4" t="str">
            <v>C. Industri Pengolahan</v>
          </cell>
        </row>
        <row r="5">
          <cell r="A5" t="str">
            <v>4. Tanaman Hortikultura Tahunan dan Lainnya</v>
          </cell>
          <cell r="R5" t="str">
            <v>D. Pengadaan Listrik, Gas</v>
          </cell>
        </row>
        <row r="6">
          <cell r="A6" t="str">
            <v>5. Perkebunan Tahunan</v>
          </cell>
          <cell r="R6" t="str">
            <v>E. Pengadaan Air</v>
          </cell>
        </row>
        <row r="7">
          <cell r="A7" t="str">
            <v xml:space="preserve">6. Peternakan </v>
          </cell>
          <cell r="R7" t="str">
            <v>F. Kontruksi</v>
          </cell>
        </row>
        <row r="8">
          <cell r="A8" t="str">
            <v xml:space="preserve">7. Jasa Pertanian dan Perburuan  </v>
          </cell>
          <cell r="R8" t="str">
            <v>G. Perdagangan, Hotel &amp; Restoran</v>
          </cell>
        </row>
        <row r="9">
          <cell r="A9" t="str">
            <v>8. Kehutanan dan Penebangan Kayu</v>
          </cell>
          <cell r="R9" t="str">
            <v>H. Transportasi &amp; Pergudangan</v>
          </cell>
        </row>
        <row r="10">
          <cell r="A10" t="str">
            <v xml:space="preserve">9. Perikanan </v>
          </cell>
          <cell r="R10" t="str">
            <v>I. Penyediaan Akomodasi &amp; Makan Minum</v>
          </cell>
        </row>
        <row r="11">
          <cell r="A11" t="str">
            <v>10. Pertambangan Minyak dan Gas Bumi</v>
          </cell>
          <cell r="R11" t="str">
            <v>J. Informasi dan Komunikasi</v>
          </cell>
        </row>
        <row r="12">
          <cell r="A12" t="str">
            <v>11. Pertambangan Batubara dan Lignit</v>
          </cell>
          <cell r="R12" t="str">
            <v xml:space="preserve">K. Jasa Keuangan </v>
          </cell>
        </row>
        <row r="13">
          <cell r="A13" t="str">
            <v>12. Pertambangan Bijih Logam</v>
          </cell>
          <cell r="R13" t="str">
            <v>L. Real Estate</v>
          </cell>
        </row>
        <row r="14">
          <cell r="A14" t="str">
            <v>13. Pertambangan dan Penggalian Lainnya</v>
          </cell>
          <cell r="R14" t="str">
            <v>M,N. Jasa Perusahaan</v>
          </cell>
        </row>
        <row r="15">
          <cell r="A15" t="str">
            <v>14. Industri Batubara dan Pengilangan Migas</v>
          </cell>
          <cell r="R15" t="str">
            <v>O. Administrasi Pemerintahan, Pertahanan dan Jaminan Sosial Wajib</v>
          </cell>
        </row>
        <row r="16">
          <cell r="A16" t="str">
            <v xml:space="preserve">15. Industri Makanan dan Minuman </v>
          </cell>
          <cell r="R16" t="str">
            <v>P. Jasa Pendidikan</v>
          </cell>
        </row>
        <row r="17">
          <cell r="A17" t="str">
            <v>16. Pengolahan Tembakau</v>
          </cell>
          <cell r="R17" t="str">
            <v>Q. Jasa Kesehatan dan Kegiatan Sosial</v>
          </cell>
        </row>
        <row r="18">
          <cell r="A18" t="str">
            <v>17. Industri Tekstil dan Pakaian Jadi</v>
          </cell>
          <cell r="R18" t="str">
            <v>R,S,T,U. Jasa lainnya</v>
          </cell>
        </row>
        <row r="19">
          <cell r="A19" t="str">
            <v xml:space="preserve">18. Industri Kulit, Barang dari Kulit dan Alas Kaki </v>
          </cell>
          <cell r="R19" t="str">
            <v>PDRB</v>
          </cell>
        </row>
        <row r="20">
          <cell r="A20" t="str">
            <v xml:space="preserve">19. Industri Kayu, Barang dari Kayu dan Gabus dan Barang Anyaman dari Bambu, Rotan dan Sejenisnya </v>
          </cell>
        </row>
        <row r="21">
          <cell r="A21" t="str">
            <v xml:space="preserve">20. Industri Kertas dan Barang dari Kertas, Percetakan dan Reproduksi Media Rekaman </v>
          </cell>
        </row>
        <row r="22">
          <cell r="A22" t="str">
            <v>21. Industri Kimia, Farmasi dan Obat Tradisional</v>
          </cell>
        </row>
        <row r="23">
          <cell r="A23" t="str">
            <v>22. Industri Karet, Barang dari Karet dan Plastik</v>
          </cell>
        </row>
        <row r="24">
          <cell r="A24" t="str">
            <v>23. Industri Barang Galian bukan Logam</v>
          </cell>
        </row>
        <row r="25">
          <cell r="A25" t="str">
            <v xml:space="preserve">24. Industri Logam Dasar </v>
          </cell>
        </row>
        <row r="26">
          <cell r="A26" t="str">
            <v>25. Industri Barang dari Logam, Komputer, Barang Elektronik, Optik dan Peralatan Listrik</v>
          </cell>
        </row>
        <row r="27">
          <cell r="A27" t="str">
            <v>26. Industri Mesin dan Perlengkapan YTDL</v>
          </cell>
        </row>
        <row r="28">
          <cell r="A28" t="str">
            <v>27. Industri Alat Angkutan</v>
          </cell>
        </row>
        <row r="29">
          <cell r="A29" t="str">
            <v>28. Industri Furnitur</v>
          </cell>
        </row>
        <row r="30">
          <cell r="A30" t="str">
            <v>29. Industri pengolahan lainnya, jasa reparasi dan pemasangan mesin dan peralatan</v>
          </cell>
        </row>
        <row r="31">
          <cell r="A31" t="str">
            <v xml:space="preserve">30. Ketenagalistrikan </v>
          </cell>
        </row>
        <row r="32">
          <cell r="A32" t="str">
            <v>31. Gas</v>
          </cell>
        </row>
        <row r="33">
          <cell r="A33" t="str">
            <v>32. Pengadaan Air</v>
          </cell>
        </row>
        <row r="34">
          <cell r="A34" t="str">
            <v>33. Konstruksi</v>
          </cell>
        </row>
        <row r="35">
          <cell r="A35" t="str">
            <v>34. Perdagangan Mobil, Sepeda Motor dan Reparasinya</v>
          </cell>
        </row>
        <row r="36">
          <cell r="A36" t="str">
            <v>35. Perdagangan Besar dan Eceran</v>
          </cell>
        </row>
        <row r="37">
          <cell r="A37" t="str">
            <v xml:space="preserve">36. Angkutan Rel </v>
          </cell>
        </row>
        <row r="38">
          <cell r="A38" t="str">
            <v>37. Angkutan Darat</v>
          </cell>
        </row>
        <row r="39">
          <cell r="A39" t="str">
            <v xml:space="preserve">38. Angkutan Laut </v>
          </cell>
        </row>
        <row r="40">
          <cell r="A40" t="str">
            <v>39. Angkutan Sungai Danau dan Penyeberangan</v>
          </cell>
        </row>
        <row r="41">
          <cell r="A41" t="str">
            <v>40. Angkutan Udara</v>
          </cell>
        </row>
        <row r="42">
          <cell r="A42" t="str">
            <v>41. Pergudangan dan Jasa Penunjang Angkutan, Pos dan Kurir</v>
          </cell>
        </row>
        <row r="43">
          <cell r="A43" t="str">
            <v xml:space="preserve">42. Penyediaan Akomodasi </v>
          </cell>
        </row>
        <row r="44">
          <cell r="A44" t="str">
            <v>43. Penyediaan Makan Minum</v>
          </cell>
        </row>
        <row r="45">
          <cell r="A45" t="str">
            <v>44. Informasi dan Komunikasi</v>
          </cell>
        </row>
        <row r="46">
          <cell r="A46" t="str">
            <v>45. Bank</v>
          </cell>
        </row>
        <row r="47">
          <cell r="A47" t="str">
            <v>46. Asuransi dan Dana Pensiun</v>
          </cell>
        </row>
        <row r="48">
          <cell r="A48" t="str">
            <v>47. Jasa Keuangan Lainnya</v>
          </cell>
        </row>
        <row r="49">
          <cell r="A49" t="str">
            <v>48. Jasa Penunjang Keuangan</v>
          </cell>
        </row>
        <row r="50">
          <cell r="A50" t="str">
            <v>49. Real Estate</v>
          </cell>
        </row>
        <row r="51">
          <cell r="A51" t="str">
            <v>50. Jasa Perusahaan</v>
          </cell>
        </row>
        <row r="52">
          <cell r="A52" t="str">
            <v>51. Administrasi Pemerintahan, Pertahanan dan Jaminan Sosial Wajib</v>
          </cell>
        </row>
        <row r="53">
          <cell r="A53" t="str">
            <v>52. Jasa Pendidikan</v>
          </cell>
        </row>
        <row r="54">
          <cell r="A54" t="str">
            <v>53. Jasa Kesehatan dan Kegiatan Sosial</v>
          </cell>
        </row>
        <row r="55">
          <cell r="A55" t="str">
            <v>54. Jasa lainnya</v>
          </cell>
        </row>
      </sheetData>
      <sheetData sheetId="56"/>
      <sheetData sheetId="57"/>
      <sheetData sheetId="58"/>
      <sheetData sheetId="5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PDRB"/>
      <sheetName val="Sheet1"/>
      <sheetName val="Prod"/>
      <sheetName val="Prod54"/>
      <sheetName val="Prod53"/>
      <sheetName val="0"/>
      <sheetName val="30_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>
        <row r="2">
          <cell r="A2" t="str">
            <v xml:space="preserve">1. Tanaman Pangan </v>
          </cell>
          <cell r="E2" t="str">
            <v>11 Aceh Data</v>
          </cell>
          <cell r="R2" t="str">
            <v>A. Pertanian</v>
          </cell>
        </row>
        <row r="3">
          <cell r="A3" t="str">
            <v>2. Tanaman Hortikultura Semusim</v>
          </cell>
          <cell r="E3" t="str">
            <v>12 Sumut Data</v>
          </cell>
          <cell r="R3" t="str">
            <v>B. Pertambangan &amp; Penggalian</v>
          </cell>
        </row>
        <row r="4">
          <cell r="A4" t="str">
            <v>3. Perkebunan Semusim</v>
          </cell>
          <cell r="E4" t="str">
            <v>13 Sumbar Data</v>
          </cell>
          <cell r="R4" t="str">
            <v>C. Industri Pengolahan</v>
          </cell>
        </row>
        <row r="5">
          <cell r="A5" t="str">
            <v>4. Tanaman Hortikultura Tahunan dan Lainnya</v>
          </cell>
          <cell r="E5" t="str">
            <v>14 Riau Data</v>
          </cell>
          <cell r="R5" t="str">
            <v>D. Pengadaan Listrik, Gas</v>
          </cell>
        </row>
        <row r="6">
          <cell r="A6" t="str">
            <v>5. Perkebunan Tahunan</v>
          </cell>
          <cell r="E6" t="str">
            <v>15 Jambi Data</v>
          </cell>
          <cell r="R6" t="str">
            <v>E. Pengadaan Air</v>
          </cell>
        </row>
        <row r="7">
          <cell r="A7" t="str">
            <v xml:space="preserve">6. Peternakan </v>
          </cell>
          <cell r="E7" t="str">
            <v>16 Sumsel Data</v>
          </cell>
          <cell r="R7" t="str">
            <v>F. Kontruksi</v>
          </cell>
        </row>
        <row r="8">
          <cell r="A8" t="str">
            <v xml:space="preserve">7. Jasa Pertanian dan Perburuan  </v>
          </cell>
          <cell r="E8" t="str">
            <v>17 Bengkulu Data</v>
          </cell>
          <cell r="R8" t="str">
            <v>G. Perdagangan, Hotel &amp; Restoran</v>
          </cell>
        </row>
        <row r="9">
          <cell r="A9" t="str">
            <v>8. Kehutanan dan Penebangan Kayu</v>
          </cell>
          <cell r="E9" t="str">
            <v>18 Lampung Data</v>
          </cell>
          <cell r="R9" t="str">
            <v>H. Transportasi &amp; Pergudangan</v>
          </cell>
        </row>
        <row r="10">
          <cell r="A10" t="str">
            <v xml:space="preserve">9. Perikanan </v>
          </cell>
          <cell r="E10" t="str">
            <v>19 Babel Data</v>
          </cell>
          <cell r="R10" t="str">
            <v>I. Penyediaan Akomodasi &amp; Makan Minum</v>
          </cell>
        </row>
        <row r="11">
          <cell r="A11" t="str">
            <v>10. Pertambangan Minyak dan Gas Bumi</v>
          </cell>
          <cell r="E11" t="str">
            <v>21 Kepri Data</v>
          </cell>
          <cell r="R11" t="str">
            <v>J. Informasi dan Komunikasi</v>
          </cell>
        </row>
        <row r="12">
          <cell r="A12" t="str">
            <v>11. Pertambangan Batubara dan Lignit</v>
          </cell>
          <cell r="E12" t="str">
            <v>31 DKI Data</v>
          </cell>
          <cell r="R12" t="str">
            <v xml:space="preserve">K. Jasa Keuangan </v>
          </cell>
        </row>
        <row r="13">
          <cell r="A13" t="str">
            <v>12. Pertambangan Bijih Logam</v>
          </cell>
          <cell r="E13" t="str">
            <v>32 Jabar Data</v>
          </cell>
          <cell r="R13" t="str">
            <v>L. Real Estate</v>
          </cell>
        </row>
        <row r="14">
          <cell r="A14" t="str">
            <v>13. Pertambangan dan Penggalian Lainnya</v>
          </cell>
          <cell r="E14" t="str">
            <v>33 Jateng Data</v>
          </cell>
          <cell r="R14" t="str">
            <v>M,N. Jasa Perusahaan</v>
          </cell>
        </row>
        <row r="15">
          <cell r="A15" t="str">
            <v>14. Industri Batubara dan Pengilangan Migas</v>
          </cell>
          <cell r="E15" t="str">
            <v>34 DIY Data</v>
          </cell>
          <cell r="R15" t="str">
            <v>O. Administrasi Pemerintahan, Pertahanan dan Jaminan Sosial Wajib</v>
          </cell>
        </row>
        <row r="16">
          <cell r="A16" t="str">
            <v xml:space="preserve">15. Industri Makanan dan Minuman </v>
          </cell>
          <cell r="E16" t="str">
            <v>35 Jatim Data</v>
          </cell>
          <cell r="R16" t="str">
            <v>P. Jasa Pendidikan</v>
          </cell>
        </row>
        <row r="17">
          <cell r="A17" t="str">
            <v>16. Pengolahan Tembakau</v>
          </cell>
          <cell r="E17" t="str">
            <v>36 Banten Data</v>
          </cell>
          <cell r="R17" t="str">
            <v>Q. Jasa Kesehatan dan Kegiatan Sosial</v>
          </cell>
        </row>
        <row r="18">
          <cell r="A18" t="str">
            <v>17. Industri Tekstil dan Pakaian Jadi</v>
          </cell>
          <cell r="E18" t="str">
            <v>51 Bali Data</v>
          </cell>
          <cell r="R18" t="str">
            <v>R,S,T,U. Jasa lainnya</v>
          </cell>
        </row>
        <row r="19">
          <cell r="A19" t="str">
            <v xml:space="preserve">18. Industri Kulit, Barang dari Kulit dan Alas Kaki </v>
          </cell>
          <cell r="E19" t="str">
            <v>61 Kalbar Data</v>
          </cell>
          <cell r="R19" t="str">
            <v>PDRB</v>
          </cell>
        </row>
        <row r="20">
          <cell r="A20" t="str">
            <v xml:space="preserve">19. Industri Kayu, Barang dari Kayu dan Gabus dan Barang Anyaman dari Bambu, Rotan dan Sejenisnya </v>
          </cell>
          <cell r="E20" t="str">
            <v>62 Kalteng Data</v>
          </cell>
        </row>
        <row r="21">
          <cell r="A21" t="str">
            <v xml:space="preserve">20. Industri Kertas dan Barang dari Kertas, Percetakan dan Reproduksi Media Rekaman </v>
          </cell>
          <cell r="E21" t="str">
            <v>63 Kalsel Data</v>
          </cell>
        </row>
        <row r="22">
          <cell r="A22" t="str">
            <v>21. Industri Kimia, Farmasi dan Obat Tradisional</v>
          </cell>
          <cell r="E22" t="str">
            <v>64 Kaltim Data</v>
          </cell>
        </row>
        <row r="23">
          <cell r="A23" t="str">
            <v>22. Industri Karet, Barang dari Karet dan Plastik</v>
          </cell>
          <cell r="E23" t="str">
            <v>71 Sulut Data</v>
          </cell>
        </row>
        <row r="24">
          <cell r="A24" t="str">
            <v>23. Industri Barang Galian bukan Logam</v>
          </cell>
          <cell r="E24" t="str">
            <v>72 Sulteng Data</v>
          </cell>
        </row>
        <row r="25">
          <cell r="A25" t="str">
            <v xml:space="preserve">24. Industri Logam Dasar </v>
          </cell>
          <cell r="E25" t="str">
            <v>73 Sulsel Data</v>
          </cell>
        </row>
        <row r="26">
          <cell r="A26" t="str">
            <v>25. Industri Barang dari Logam, Komputer, Barang Elektronik, Optik dan Peralatan Listrik</v>
          </cell>
          <cell r="E26" t="str">
            <v>74 Sultra Data</v>
          </cell>
        </row>
        <row r="27">
          <cell r="A27" t="str">
            <v>26. Industri Mesin dan Perlengkapan YTDL</v>
          </cell>
          <cell r="E27" t="str">
            <v>75 Gorontalo Data</v>
          </cell>
        </row>
        <row r="28">
          <cell r="A28" t="str">
            <v>27. Industri Alat Angkutan</v>
          </cell>
          <cell r="E28" t="str">
            <v>76 Sulbar Data</v>
          </cell>
        </row>
        <row r="29">
          <cell r="A29" t="str">
            <v>28. Industri Furnitur</v>
          </cell>
          <cell r="E29" t="str">
            <v>52 NTB Data</v>
          </cell>
        </row>
        <row r="30">
          <cell r="A30" t="str">
            <v>29. Industri pengolahan lainnya, jasa reparasi dan pemasangan mesin dan peralatan</v>
          </cell>
          <cell r="E30" t="str">
            <v>53 NTT Data</v>
          </cell>
        </row>
        <row r="31">
          <cell r="A31" t="str">
            <v xml:space="preserve">30. Ketenagalistrikan </v>
          </cell>
          <cell r="E31" t="str">
            <v>81 Maluku Data</v>
          </cell>
        </row>
        <row r="32">
          <cell r="A32" t="str">
            <v>31. Gas</v>
          </cell>
          <cell r="E32" t="str">
            <v>82 Malut Data</v>
          </cell>
        </row>
        <row r="33">
          <cell r="A33" t="str">
            <v>32. Pengadaan Air</v>
          </cell>
          <cell r="E33" t="str">
            <v>91 Pabar Data</v>
          </cell>
        </row>
        <row r="34">
          <cell r="A34" t="str">
            <v>33. Konstruksi</v>
          </cell>
          <cell r="E34" t="str">
            <v>94 Papua Data</v>
          </cell>
        </row>
        <row r="35">
          <cell r="A35" t="str">
            <v>34. Perdagangan Mobil, Sepeda Motor dan Reparasinya</v>
          </cell>
        </row>
        <row r="36">
          <cell r="A36" t="str">
            <v>35. Perdagangan Besar dan Eceran</v>
          </cell>
        </row>
        <row r="37">
          <cell r="A37" t="str">
            <v xml:space="preserve">36. Angkutan Rel </v>
          </cell>
        </row>
        <row r="38">
          <cell r="A38" t="str">
            <v>37. Angkutan Darat</v>
          </cell>
        </row>
        <row r="39">
          <cell r="A39" t="str">
            <v xml:space="preserve">38. Angkutan Laut </v>
          </cell>
        </row>
        <row r="40">
          <cell r="A40" t="str">
            <v>39. Angkutan Sungai Danau dan Penyeberangan</v>
          </cell>
        </row>
        <row r="41">
          <cell r="A41" t="str">
            <v>40. Angkutan Udara</v>
          </cell>
        </row>
        <row r="42">
          <cell r="A42" t="str">
            <v>41. Pergudangan dan Jasa Penunjang Angkutan, Pos dan Kurir</v>
          </cell>
        </row>
        <row r="43">
          <cell r="A43" t="str">
            <v xml:space="preserve">42. Penyediaan Akomodasi </v>
          </cell>
        </row>
        <row r="44">
          <cell r="A44" t="str">
            <v>43. Penyediaan Makan Minum</v>
          </cell>
        </row>
        <row r="45">
          <cell r="A45" t="str">
            <v>44. Informasi dan Komunikasi</v>
          </cell>
        </row>
        <row r="46">
          <cell r="A46" t="str">
            <v>45. Bank</v>
          </cell>
        </row>
        <row r="47">
          <cell r="A47" t="str">
            <v>46. Asuransi dan Dana Pensiun</v>
          </cell>
        </row>
        <row r="48">
          <cell r="A48" t="str">
            <v>47. Jasa Keuangan Lainnya</v>
          </cell>
        </row>
        <row r="49">
          <cell r="A49" t="str">
            <v>48. Jasa Penunjang Keuangan</v>
          </cell>
        </row>
        <row r="50">
          <cell r="A50" t="str">
            <v>49. Real Estate</v>
          </cell>
        </row>
        <row r="51">
          <cell r="A51" t="str">
            <v>50. Jasa Perusahaan</v>
          </cell>
        </row>
        <row r="52">
          <cell r="A52" t="str">
            <v>51. Administrasi Pemerintahan, Pertahanan dan Jaminan Sosial Wajib</v>
          </cell>
        </row>
        <row r="53">
          <cell r="A53" t="str">
            <v>52. Jasa Pendidikan</v>
          </cell>
        </row>
        <row r="54">
          <cell r="A54" t="str">
            <v>53. Jasa Kesehatan dan Kegiatan Sosial</v>
          </cell>
        </row>
        <row r="55">
          <cell r="A55" t="str">
            <v>54. Jasa lainnya</v>
          </cell>
        </row>
      </sheetData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S0.P"/>
      <sheetName val="S1.PDRB"/>
      <sheetName val="S1.D"/>
      <sheetName val="S1.P"/>
      <sheetName val="S1.I"/>
      <sheetName val="S1.S"/>
      <sheetName val="S2LP"/>
      <sheetName val="S2LI"/>
      <sheetName val="S3R"/>
      <sheetName val="7400"/>
      <sheetName val="7401"/>
      <sheetName val="7402"/>
      <sheetName val="7403"/>
      <sheetName val="7404"/>
      <sheetName val="7405"/>
      <sheetName val="7406"/>
      <sheetName val="7407"/>
      <sheetName val="7408"/>
      <sheetName val="7409"/>
      <sheetName val="7410"/>
      <sheetName val="7411"/>
      <sheetName val="7412"/>
      <sheetName val="7471"/>
      <sheetName val="7472"/>
      <sheetName val="9999"/>
      <sheetName val="Sheet1"/>
      <sheetName val="Sheet2"/>
      <sheetName val="Te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G1">
            <v>7</v>
          </cell>
          <cell r="H1">
            <v>135</v>
          </cell>
        </row>
        <row r="2">
          <cell r="G2" t="str">
            <v>C</v>
          </cell>
          <cell r="H2">
            <v>136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2">
          <cell r="A2">
            <v>2008</v>
          </cell>
        </row>
        <row r="3">
          <cell r="A3">
            <v>2009</v>
          </cell>
        </row>
        <row r="4">
          <cell r="A4">
            <v>2010</v>
          </cell>
        </row>
        <row r="5">
          <cell r="A5">
            <v>2011</v>
          </cell>
        </row>
        <row r="6">
          <cell r="A6">
            <v>2012</v>
          </cell>
        </row>
        <row r="7">
          <cell r="A7">
            <v>2013</v>
          </cell>
        </row>
        <row r="8">
          <cell r="A8">
            <v>2014</v>
          </cell>
        </row>
        <row r="9">
          <cell r="A9">
            <v>2015</v>
          </cell>
        </row>
        <row r="10">
          <cell r="A10">
            <v>2016</v>
          </cell>
        </row>
        <row r="11">
          <cell r="A11">
            <v>2017</v>
          </cell>
        </row>
        <row r="12">
          <cell r="A12">
            <v>2018</v>
          </cell>
        </row>
        <row r="13">
          <cell r="A13">
            <v>2019</v>
          </cell>
        </row>
        <row r="14">
          <cell r="A14">
            <v>2020</v>
          </cell>
        </row>
        <row r="15">
          <cell r="A15" t="str">
            <v>2021</v>
          </cell>
        </row>
        <row r="16">
          <cell r="A16" t="str">
            <v>2022</v>
          </cell>
        </row>
        <row r="17">
          <cell r="A17" t="str">
            <v>2023</v>
          </cell>
        </row>
        <row r="18">
          <cell r="A18" t="str">
            <v>2024</v>
          </cell>
        </row>
      </sheetData>
      <sheetData sheetId="27">
        <row r="2">
          <cell r="A2" t="str">
            <v>Aceh</v>
          </cell>
          <cell r="F2" t="str">
            <v>Kab. Buton</v>
          </cell>
        </row>
        <row r="3">
          <cell r="A3" t="str">
            <v>Sumatera Utara</v>
          </cell>
          <cell r="F3" t="str">
            <v>Kab. Muna</v>
          </cell>
        </row>
        <row r="4">
          <cell r="A4" t="str">
            <v>Sumatera Barat</v>
          </cell>
          <cell r="F4" t="str">
            <v>Kab. Konawe</v>
          </cell>
        </row>
        <row r="5">
          <cell r="A5" t="str">
            <v>Riau</v>
          </cell>
          <cell r="F5" t="str">
            <v>Kab. Kolaka</v>
          </cell>
        </row>
        <row r="6">
          <cell r="A6" t="str">
            <v>Jambi</v>
          </cell>
          <cell r="F6" t="str">
            <v>Kab. Konawe Selatan</v>
          </cell>
        </row>
        <row r="7">
          <cell r="A7" t="str">
            <v>Sumatera Selatan</v>
          </cell>
          <cell r="F7" t="str">
            <v>Kab. Bombana</v>
          </cell>
        </row>
        <row r="8">
          <cell r="A8" t="str">
            <v>Bengkulu</v>
          </cell>
          <cell r="F8" t="str">
            <v>Kab. Wakatobi</v>
          </cell>
        </row>
        <row r="9">
          <cell r="A9" t="str">
            <v>Lampung</v>
          </cell>
          <cell r="F9" t="str">
            <v>Kab. Kolaka Timur</v>
          </cell>
        </row>
        <row r="10">
          <cell r="A10" t="str">
            <v>Kep. Bangka Belitung</v>
          </cell>
          <cell r="F10" t="str">
            <v>Kab. Buton Utara</v>
          </cell>
        </row>
        <row r="11">
          <cell r="A11" t="str">
            <v>Kep. Riau</v>
          </cell>
          <cell r="F11" t="str">
            <v>Kab. Konawe Utara</v>
          </cell>
        </row>
        <row r="12">
          <cell r="A12" t="str">
            <v>DKI Jakarta</v>
          </cell>
          <cell r="F12" t="str">
            <v>Kab. Kolaka Timur</v>
          </cell>
        </row>
        <row r="13">
          <cell r="A13" t="str">
            <v>Jawa Barat</v>
          </cell>
          <cell r="F13" t="str">
            <v>Kab. Konawe Kepulauan</v>
          </cell>
        </row>
        <row r="14">
          <cell r="A14" t="str">
            <v>Jawa Tengah</v>
          </cell>
          <cell r="F14" t="str">
            <v>Kota Kendari</v>
          </cell>
        </row>
        <row r="15">
          <cell r="A15" t="str">
            <v>DI Yogyakarta</v>
          </cell>
          <cell r="F15" t="str">
            <v>Kota Baubau</v>
          </cell>
        </row>
        <row r="16">
          <cell r="A16" t="str">
            <v>Jawa Timur</v>
          </cell>
          <cell r="F16" t="str">
            <v/>
          </cell>
        </row>
        <row r="17">
          <cell r="A17" t="str">
            <v>Banten</v>
          </cell>
          <cell r="F17" t="str">
            <v/>
          </cell>
        </row>
        <row r="18">
          <cell r="A18" t="str">
            <v>Bali</v>
          </cell>
          <cell r="F18" t="str">
            <v/>
          </cell>
        </row>
        <row r="19">
          <cell r="A19" t="str">
            <v>Nusa Tenggara Barat</v>
          </cell>
          <cell r="F19" t="str">
            <v/>
          </cell>
        </row>
        <row r="20">
          <cell r="A20" t="str">
            <v>Nusa Tenggara Timur</v>
          </cell>
          <cell r="F20" t="str">
            <v/>
          </cell>
        </row>
        <row r="21">
          <cell r="A21" t="str">
            <v>Kalimantan Barat</v>
          </cell>
          <cell r="F21" t="str">
            <v/>
          </cell>
        </row>
        <row r="22">
          <cell r="A22" t="str">
            <v>Kalimantan Tengah</v>
          </cell>
          <cell r="F22" t="str">
            <v/>
          </cell>
        </row>
        <row r="23">
          <cell r="A23" t="str">
            <v>Kalimantan Selatan</v>
          </cell>
          <cell r="F23" t="str">
            <v/>
          </cell>
        </row>
        <row r="24">
          <cell r="A24" t="str">
            <v>Kalimantan Timur</v>
          </cell>
          <cell r="F24" t="str">
            <v/>
          </cell>
        </row>
        <row r="25">
          <cell r="A25" t="str">
            <v>Kalimantan Utara</v>
          </cell>
          <cell r="F25" t="str">
            <v/>
          </cell>
        </row>
        <row r="26">
          <cell r="A26" t="str">
            <v>Sulawesi Utara</v>
          </cell>
          <cell r="F26" t="str">
            <v/>
          </cell>
        </row>
        <row r="27">
          <cell r="A27" t="str">
            <v>Sulawesi Tengah</v>
          </cell>
          <cell r="F27" t="str">
            <v/>
          </cell>
        </row>
        <row r="28">
          <cell r="A28" t="str">
            <v>Sulawesi Selatan</v>
          </cell>
          <cell r="F28" t="str">
            <v/>
          </cell>
        </row>
        <row r="29">
          <cell r="A29" t="str">
            <v>Sulawesi Tenggara</v>
          </cell>
          <cell r="F29" t="str">
            <v/>
          </cell>
        </row>
        <row r="30">
          <cell r="A30" t="str">
            <v>Gorontalo</v>
          </cell>
          <cell r="F30" t="str">
            <v/>
          </cell>
        </row>
        <row r="31">
          <cell r="A31" t="str">
            <v>Sulawesi Barat</v>
          </cell>
          <cell r="F31" t="str">
            <v/>
          </cell>
        </row>
        <row r="32">
          <cell r="A32" t="str">
            <v>Maluku</v>
          </cell>
          <cell r="F32" t="str">
            <v/>
          </cell>
        </row>
        <row r="33">
          <cell r="A33" t="str">
            <v>Maluku Utara</v>
          </cell>
          <cell r="F33" t="str">
            <v/>
          </cell>
        </row>
        <row r="34">
          <cell r="A34" t="str">
            <v>Papua Barat</v>
          </cell>
          <cell r="F34" t="str">
            <v/>
          </cell>
        </row>
        <row r="35">
          <cell r="A35" t="str">
            <v>Papua</v>
          </cell>
          <cell r="F35" t="str">
            <v/>
          </cell>
        </row>
        <row r="36">
          <cell r="F36" t="str">
            <v/>
          </cell>
        </row>
        <row r="37">
          <cell r="F37" t="str">
            <v/>
          </cell>
        </row>
        <row r="38">
          <cell r="F38" t="str">
            <v/>
          </cell>
        </row>
      </sheetData>
      <sheetData sheetId="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PDRB"/>
      <sheetName val="Sheet1"/>
      <sheetName val="Prod"/>
      <sheetName val="Prod54"/>
      <sheetName val="Prod53"/>
      <sheetName val="0"/>
      <sheetName val="30_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2">
          <cell r="A2" t="str">
            <v xml:space="preserve">1. Tanaman Pangan </v>
          </cell>
          <cell r="E2" t="str">
            <v>11 Aceh Data</v>
          </cell>
        </row>
        <row r="3">
          <cell r="E3" t="str">
            <v>12 Sumut Data</v>
          </cell>
        </row>
        <row r="4">
          <cell r="E4" t="str">
            <v>13 Sumbar Data</v>
          </cell>
        </row>
        <row r="5">
          <cell r="E5" t="str">
            <v>14 Riau Data</v>
          </cell>
        </row>
        <row r="6">
          <cell r="E6" t="str">
            <v>15 Jambi Data</v>
          </cell>
        </row>
        <row r="7">
          <cell r="E7" t="str">
            <v>16 Sumsel Data</v>
          </cell>
        </row>
        <row r="8">
          <cell r="E8" t="str">
            <v>17 Bengkulu Data</v>
          </cell>
        </row>
        <row r="9">
          <cell r="E9" t="str">
            <v>18 Lampung Data</v>
          </cell>
        </row>
        <row r="10">
          <cell r="E10" t="str">
            <v>19 Babel Data</v>
          </cell>
        </row>
        <row r="11">
          <cell r="E11" t="str">
            <v>21 Kepri Data</v>
          </cell>
        </row>
        <row r="12">
          <cell r="E12" t="str">
            <v>31 DKI Data</v>
          </cell>
        </row>
        <row r="13">
          <cell r="E13" t="str">
            <v>32 Jabar Data</v>
          </cell>
        </row>
        <row r="14">
          <cell r="E14" t="str">
            <v>33 Jateng Data</v>
          </cell>
        </row>
        <row r="15">
          <cell r="E15" t="str">
            <v>34 DIY Data</v>
          </cell>
        </row>
        <row r="16">
          <cell r="E16" t="str">
            <v>35 Jatim Data</v>
          </cell>
        </row>
        <row r="17">
          <cell r="E17" t="str">
            <v>36 Banten Data</v>
          </cell>
        </row>
        <row r="18">
          <cell r="E18" t="str">
            <v>51 Bali Data</v>
          </cell>
        </row>
        <row r="19">
          <cell r="E19" t="str">
            <v>61 Kalbar Data</v>
          </cell>
        </row>
        <row r="20">
          <cell r="E20" t="str">
            <v>62 Kalteng Data</v>
          </cell>
        </row>
        <row r="21">
          <cell r="E21" t="str">
            <v>63 Kalsel Data</v>
          </cell>
        </row>
        <row r="22">
          <cell r="E22" t="str">
            <v>64 Kaltim Data</v>
          </cell>
        </row>
        <row r="23">
          <cell r="E23" t="str">
            <v>71 Sulut Data</v>
          </cell>
        </row>
        <row r="24">
          <cell r="E24" t="str">
            <v>72 Sulteng Data</v>
          </cell>
        </row>
        <row r="25">
          <cell r="E25" t="str">
            <v>73 Sulsel Data</v>
          </cell>
        </row>
        <row r="26">
          <cell r="E26" t="str">
            <v>74 Sultra Data</v>
          </cell>
        </row>
        <row r="27">
          <cell r="E27" t="str">
            <v>75 Gorontalo Data</v>
          </cell>
        </row>
        <row r="28">
          <cell r="E28" t="str">
            <v>76 Sulbar Data</v>
          </cell>
        </row>
        <row r="29">
          <cell r="E29" t="str">
            <v>52 NTB Data</v>
          </cell>
        </row>
        <row r="30">
          <cell r="E30" t="str">
            <v>53 NTT Data</v>
          </cell>
        </row>
        <row r="31">
          <cell r="E31" t="str">
            <v>81 Maluku Data</v>
          </cell>
        </row>
        <row r="32">
          <cell r="E32" t="str">
            <v>82 Malut Data</v>
          </cell>
        </row>
        <row r="33">
          <cell r="E33" t="str">
            <v>91 Pabar Data</v>
          </cell>
        </row>
        <row r="34">
          <cell r="E34" t="str">
            <v>94 Papua Data</v>
          </cell>
        </row>
      </sheetData>
      <sheetData sheetId="56"/>
      <sheetData sheetId="57"/>
      <sheetData sheetId="58"/>
      <sheetData sheetId="59"/>
      <sheetData sheetId="6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36101918" displayName="Table336101918" ref="A3:A29" totalsRowShown="0" headerRowDxfId="87" dataDxfId="85" headerRowBorderDxfId="86" tableBorderDxfId="84">
  <tableColumns count="1">
    <tableColumn id="1" xr3:uid="{00000000-0010-0000-0000-000001000000}" name="Komponen Pengeluaran" dataDxfId="83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3610191810" displayName="Table33610191810" ref="A35:A61" totalsRowShown="0" headerRowDxfId="82" dataDxfId="80" headerRowBorderDxfId="81" tableBorderDxfId="79">
  <tableColumns count="1">
    <tableColumn id="1" xr3:uid="{00000000-0010-0000-0100-000001000000}" name="Komponen Pengeluaran" dataDxfId="78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36101918101131415161718191101111121" displayName="Table336101918101131415161718191101111121" ref="A67:A93" totalsRowShown="0" headerRowDxfId="77" dataDxfId="75" headerRowBorderDxfId="76" tableBorderDxfId="74">
  <tableColumns count="1">
    <tableColumn id="1" xr3:uid="{00000000-0010-0000-0200-000001000000}" name="Komponen Pengeluaran" dataDxfId="73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33610191810111232425262728292102112122" displayName="Table33610191810111232425262728292102112122" ref="A99:A125" totalsRowShown="0" headerRowDxfId="72" dataDxfId="70" headerRowBorderDxfId="71" tableBorderDxfId="69">
  <tableColumns count="1">
    <tableColumn id="1" xr3:uid="{00000000-0010-0000-0300-000001000000}" name="Komponen Pengeluaran" dataDxfId="68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3361019181011121333435363738393103113123" displayName="Table3361019181011121333435363738393103113123" ref="A131:A157" totalsRowShown="0" headerRowDxfId="67" dataDxfId="65" headerRowBorderDxfId="66" tableBorderDxfId="64">
  <tableColumns count="1">
    <tableColumn id="1" xr3:uid="{00000000-0010-0000-0400-000001000000}" name="Komponen Pengeluaran" dataDxfId="63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336101918101434445464748494104114124" displayName="Table336101918101434445464748494104114124" ref="A163:A189" totalsRowShown="0" headerRowDxfId="62" dataDxfId="60" headerRowBorderDxfId="61" tableBorderDxfId="59">
  <tableColumns count="1">
    <tableColumn id="1" xr3:uid="{00000000-0010-0000-0500-000001000000}" name="Komponen Pengeluaran" dataDxfId="58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33610191810111535455565758595105115125" displayName="Table33610191810111535455565758595105115125" ref="A195:A221" totalsRowShown="0" headerRowDxfId="57" dataDxfId="55" headerRowBorderDxfId="56" tableBorderDxfId="54">
  <tableColumns count="1">
    <tableColumn id="1" xr3:uid="{00000000-0010-0000-0600-000001000000}" name="Komponen Pengeluaran" dataDxfId="53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3361019181011121636465666768696106116126" displayName="Table3361019181011121636465666768696106116126" ref="A227:A253" totalsRowShown="0" headerRowDxfId="52" dataDxfId="50" headerRowBorderDxfId="51" tableBorderDxfId="49">
  <tableColumns count="1">
    <tableColumn id="1" xr3:uid="{00000000-0010-0000-0700-000001000000}" name="Komponen Pengeluaran" dataDxfId="48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33610191810141737475767778797107117127" displayName="Table33610191810141737475767778797107117127" ref="A259:A285" totalsRowShown="0" headerRowDxfId="47" dataDxfId="45" headerRowBorderDxfId="46" tableBorderDxfId="44">
  <tableColumns count="1">
    <tableColumn id="1" xr3:uid="{00000000-0010-0000-0800-000001000000}" name="Komponen Pengeluaran" dataDxfId="43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3361019181014171838485868788898108118128" displayName="Table3361019181014171838485868788898108118128" ref="A291:A317" totalsRowShown="0" headerRowDxfId="42" dataDxfId="40" headerRowBorderDxfId="41" tableBorderDxfId="39">
  <tableColumns count="1">
    <tableColumn id="1" xr3:uid="{00000000-0010-0000-0900-000001000000}" name="Komponen Pengeluaran" dataDxfId="38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C000"/>
  </sheetPr>
  <dimension ref="A1:CR425"/>
  <sheetViews>
    <sheetView tabSelected="1" zoomScale="53" zoomScaleNormal="53" workbookViewId="0">
      <selection activeCell="CI419" sqref="CI419:CM419"/>
    </sheetView>
  </sheetViews>
  <sheetFormatPr defaultColWidth="9.1796875" defaultRowHeight="13" x14ac:dyDescent="0.3"/>
  <cols>
    <col min="1" max="1" width="52.453125" style="2" customWidth="1"/>
    <col min="2" max="2" width="20" style="2" hidden="1" customWidth="1"/>
    <col min="3" max="7" width="18.54296875" style="2" hidden="1" customWidth="1"/>
    <col min="8" max="11" width="19.7265625" style="2" hidden="1" customWidth="1"/>
    <col min="12" max="12" width="20" style="2" hidden="1" customWidth="1"/>
    <col min="13" max="17" width="18.54296875" style="2" hidden="1" customWidth="1"/>
    <col min="18" max="21" width="19.7265625" style="2" hidden="1" customWidth="1"/>
    <col min="22" max="22" width="20" style="2" hidden="1" customWidth="1"/>
    <col min="23" max="27" width="18.54296875" style="2" hidden="1" customWidth="1"/>
    <col min="28" max="31" width="19.7265625" style="2" hidden="1" customWidth="1"/>
    <col min="32" max="32" width="20" style="2" hidden="1" customWidth="1"/>
    <col min="33" max="37" width="18.54296875" style="2" hidden="1" customWidth="1"/>
    <col min="38" max="41" width="19.7265625" style="2" hidden="1" customWidth="1"/>
    <col min="42" max="42" width="20" style="2" hidden="1" customWidth="1"/>
    <col min="43" max="47" width="18.54296875" style="2" hidden="1" customWidth="1"/>
    <col min="48" max="51" width="19.7265625" style="2" hidden="1" customWidth="1"/>
    <col min="52" max="52" width="20" style="2" hidden="1" customWidth="1"/>
    <col min="53" max="57" width="18.54296875" style="2" hidden="1" customWidth="1"/>
    <col min="58" max="61" width="19.7265625" style="2" hidden="1" customWidth="1"/>
    <col min="62" max="62" width="20" style="2" hidden="1" customWidth="1"/>
    <col min="63" max="67" width="18.54296875" style="2" hidden="1" customWidth="1"/>
    <col min="68" max="71" width="19.7265625" style="2" hidden="1" customWidth="1"/>
    <col min="72" max="72" width="20" style="2" hidden="1" customWidth="1"/>
    <col min="73" max="76" width="18.54296875" style="2" hidden="1" customWidth="1"/>
    <col min="77" max="77" width="24.7265625" style="2" hidden="1" customWidth="1"/>
    <col min="78" max="78" width="34.26953125" style="2" hidden="1" customWidth="1"/>
    <col min="79" max="79" width="24.90625" style="2" hidden="1" customWidth="1"/>
    <col min="80" max="80" width="36.36328125" style="2" hidden="1" customWidth="1"/>
    <col min="81" max="81" width="28.26953125" style="2" hidden="1" customWidth="1"/>
    <col min="82" max="82" width="33.453125" style="2" hidden="1" customWidth="1"/>
    <col min="83" max="83" width="21.6328125" style="2" hidden="1" customWidth="1"/>
    <col min="84" max="84" width="27.6328125" style="2" hidden="1" customWidth="1"/>
    <col min="85" max="85" width="28.81640625" style="2" hidden="1" customWidth="1"/>
    <col min="86" max="86" width="32.08984375" style="2" hidden="1" customWidth="1"/>
    <col min="87" max="87" width="18.54296875" style="2" customWidth="1"/>
    <col min="88" max="91" width="19.7265625" style="2" customWidth="1"/>
    <col min="92" max="92" width="18.54296875" style="2" customWidth="1"/>
    <col min="93" max="96" width="19.7265625" style="2" customWidth="1"/>
    <col min="97" max="16384" width="9.1796875" style="2"/>
  </cols>
  <sheetData>
    <row r="1" spans="1:96" ht="27" customHeight="1" x14ac:dyDescent="0.4">
      <c r="A1" s="1" t="s">
        <v>0</v>
      </c>
    </row>
    <row r="2" spans="1:96" ht="20.5" thickBot="1" x14ac:dyDescent="0.45">
      <c r="A2" s="1" t="s">
        <v>1</v>
      </c>
      <c r="B2" s="3" t="s">
        <v>117</v>
      </c>
      <c r="C2" s="4"/>
      <c r="D2" s="3"/>
      <c r="E2" s="4"/>
      <c r="F2" s="3"/>
      <c r="G2" s="4"/>
      <c r="H2" s="3"/>
      <c r="I2" s="4"/>
      <c r="J2" s="3"/>
      <c r="K2" s="4"/>
      <c r="L2" s="3"/>
      <c r="M2" s="4"/>
      <c r="N2" s="3"/>
      <c r="O2" s="4"/>
      <c r="P2" s="3"/>
      <c r="Q2" s="4"/>
      <c r="R2" s="3"/>
      <c r="S2" s="4"/>
      <c r="T2" s="3"/>
      <c r="U2" s="4"/>
      <c r="V2" s="3"/>
      <c r="W2" s="4"/>
      <c r="X2" s="3"/>
      <c r="Y2" s="4"/>
      <c r="Z2" s="3"/>
      <c r="AA2" s="4"/>
      <c r="AB2" s="3"/>
      <c r="AC2" s="4"/>
      <c r="AD2" s="3"/>
      <c r="AE2" s="4"/>
      <c r="AF2" s="3"/>
      <c r="AG2" s="4"/>
      <c r="AH2" s="3"/>
      <c r="AI2" s="4"/>
      <c r="AJ2" s="3"/>
      <c r="AK2" s="4"/>
      <c r="AL2" s="3"/>
      <c r="AM2" s="4"/>
      <c r="AN2" s="3"/>
      <c r="AO2" s="4"/>
      <c r="AP2" s="3"/>
      <c r="AQ2" s="4"/>
      <c r="AR2" s="3"/>
      <c r="AS2" s="4"/>
      <c r="AT2" s="3"/>
      <c r="AU2" s="4"/>
      <c r="AV2" s="3"/>
      <c r="AW2" s="4"/>
      <c r="AX2" s="3"/>
      <c r="AY2" s="4"/>
      <c r="AZ2" s="3"/>
      <c r="BA2" s="4"/>
      <c r="BB2" s="3"/>
      <c r="BC2" s="4"/>
      <c r="BD2" s="3"/>
      <c r="BE2" s="4"/>
      <c r="BF2" s="3"/>
      <c r="BG2" s="4"/>
      <c r="BH2" s="3"/>
      <c r="BI2" s="4"/>
      <c r="BJ2" s="3"/>
      <c r="BK2" s="4"/>
      <c r="BL2" s="3"/>
      <c r="BM2" s="4"/>
      <c r="BN2" s="3"/>
      <c r="BO2" s="4"/>
      <c r="BP2" s="3"/>
      <c r="BQ2" s="4"/>
      <c r="BR2" s="3"/>
      <c r="BS2" s="4"/>
      <c r="BT2" s="3"/>
      <c r="BU2" s="4"/>
      <c r="BV2" s="3"/>
      <c r="BW2" s="4"/>
      <c r="BX2" s="3"/>
      <c r="BY2" s="4"/>
      <c r="BZ2" s="3"/>
      <c r="CA2" s="4"/>
      <c r="CB2" s="3"/>
      <c r="CC2" s="4"/>
      <c r="CD2" s="3"/>
      <c r="CE2" s="4"/>
      <c r="CF2" s="3"/>
      <c r="CG2" s="4"/>
      <c r="CH2" s="3"/>
      <c r="CI2" s="4"/>
      <c r="CJ2" s="3"/>
      <c r="CK2" s="4"/>
      <c r="CL2" s="3"/>
    </row>
    <row r="3" spans="1:96" s="9" customFormat="1" ht="24" customHeight="1" thickBot="1" x14ac:dyDescent="0.3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>
        <v>2008</v>
      </c>
      <c r="G3" s="7" t="s">
        <v>7</v>
      </c>
      <c r="H3" s="7" t="s">
        <v>8</v>
      </c>
      <c r="I3" s="7" t="s">
        <v>9</v>
      </c>
      <c r="J3" s="7" t="s">
        <v>10</v>
      </c>
      <c r="K3" s="7">
        <v>2009</v>
      </c>
      <c r="L3" s="6" t="s">
        <v>11</v>
      </c>
      <c r="M3" s="6" t="s">
        <v>12</v>
      </c>
      <c r="N3" s="6" t="s">
        <v>13</v>
      </c>
      <c r="O3" s="6" t="s">
        <v>14</v>
      </c>
      <c r="P3" s="6">
        <v>2010</v>
      </c>
      <c r="Q3" s="7" t="s">
        <v>15</v>
      </c>
      <c r="R3" s="7" t="s">
        <v>16</v>
      </c>
      <c r="S3" s="7" t="s">
        <v>17</v>
      </c>
      <c r="T3" s="7" t="s">
        <v>18</v>
      </c>
      <c r="U3" s="7">
        <v>2011</v>
      </c>
      <c r="V3" s="6" t="s">
        <v>19</v>
      </c>
      <c r="W3" s="6" t="s">
        <v>20</v>
      </c>
      <c r="X3" s="6" t="s">
        <v>21</v>
      </c>
      <c r="Y3" s="6" t="s">
        <v>22</v>
      </c>
      <c r="Z3" s="6">
        <v>2012</v>
      </c>
      <c r="AA3" s="7" t="s">
        <v>23</v>
      </c>
      <c r="AB3" s="7" t="s">
        <v>24</v>
      </c>
      <c r="AC3" s="7" t="s">
        <v>25</v>
      </c>
      <c r="AD3" s="7" t="s">
        <v>26</v>
      </c>
      <c r="AE3" s="7">
        <v>2013</v>
      </c>
      <c r="AF3" s="6" t="s">
        <v>27</v>
      </c>
      <c r="AG3" s="6" t="s">
        <v>28</v>
      </c>
      <c r="AH3" s="6" t="s">
        <v>29</v>
      </c>
      <c r="AI3" s="6" t="s">
        <v>30</v>
      </c>
      <c r="AJ3" s="6">
        <v>2014</v>
      </c>
      <c r="AK3" s="7" t="s">
        <v>31</v>
      </c>
      <c r="AL3" s="7" t="s">
        <v>32</v>
      </c>
      <c r="AM3" s="7" t="s">
        <v>33</v>
      </c>
      <c r="AN3" s="7" t="s">
        <v>34</v>
      </c>
      <c r="AO3" s="7">
        <v>2015</v>
      </c>
      <c r="AP3" s="6" t="s">
        <v>35</v>
      </c>
      <c r="AQ3" s="6" t="s">
        <v>36</v>
      </c>
      <c r="AR3" s="6" t="s">
        <v>37</v>
      </c>
      <c r="AS3" s="6" t="s">
        <v>38</v>
      </c>
      <c r="AT3" s="6">
        <v>2016</v>
      </c>
      <c r="AU3" s="7" t="s">
        <v>39</v>
      </c>
      <c r="AV3" s="7" t="s">
        <v>40</v>
      </c>
      <c r="AW3" s="7" t="s">
        <v>41</v>
      </c>
      <c r="AX3" s="7" t="s">
        <v>42</v>
      </c>
      <c r="AY3" s="7">
        <v>2017</v>
      </c>
      <c r="AZ3" s="6" t="s">
        <v>43</v>
      </c>
      <c r="BA3" s="6" t="s">
        <v>44</v>
      </c>
      <c r="BB3" s="6" t="s">
        <v>45</v>
      </c>
      <c r="BC3" s="6" t="s">
        <v>46</v>
      </c>
      <c r="BD3" s="6">
        <v>2018</v>
      </c>
      <c r="BE3" s="7" t="s">
        <v>47</v>
      </c>
      <c r="BF3" s="7" t="s">
        <v>48</v>
      </c>
      <c r="BG3" s="7" t="s">
        <v>49</v>
      </c>
      <c r="BH3" s="7" t="s">
        <v>50</v>
      </c>
      <c r="BI3" s="7">
        <v>2019</v>
      </c>
      <c r="BJ3" s="6" t="s">
        <v>51</v>
      </c>
      <c r="BK3" s="6" t="s">
        <v>52</v>
      </c>
      <c r="BL3" s="6" t="s">
        <v>53</v>
      </c>
      <c r="BM3" s="6" t="s">
        <v>54</v>
      </c>
      <c r="BN3" s="6">
        <v>2020</v>
      </c>
      <c r="BO3" s="7" t="s">
        <v>55</v>
      </c>
      <c r="BP3" s="7" t="s">
        <v>56</v>
      </c>
      <c r="BQ3" s="7" t="s">
        <v>57</v>
      </c>
      <c r="BR3" s="7" t="s">
        <v>58</v>
      </c>
      <c r="BS3" s="7">
        <v>2021</v>
      </c>
      <c r="BT3" s="6" t="s">
        <v>59</v>
      </c>
      <c r="BU3" s="6" t="s">
        <v>60</v>
      </c>
      <c r="BV3" s="6" t="s">
        <v>61</v>
      </c>
      <c r="BW3" s="6" t="s">
        <v>62</v>
      </c>
      <c r="BX3" s="6">
        <v>2022</v>
      </c>
      <c r="BY3" s="7" t="s">
        <v>63</v>
      </c>
      <c r="BZ3" s="7" t="s">
        <v>64</v>
      </c>
      <c r="CA3" s="7" t="s">
        <v>65</v>
      </c>
      <c r="CB3" s="7" t="s">
        <v>66</v>
      </c>
      <c r="CC3" s="7">
        <v>2023</v>
      </c>
      <c r="CD3" s="8" t="s">
        <v>67</v>
      </c>
      <c r="CE3" s="8" t="s">
        <v>68</v>
      </c>
      <c r="CF3" s="8" t="s">
        <v>69</v>
      </c>
      <c r="CG3" s="8" t="s">
        <v>70</v>
      </c>
      <c r="CH3" s="8">
        <v>2024</v>
      </c>
      <c r="CI3" s="7" t="s">
        <v>71</v>
      </c>
      <c r="CJ3" s="7" t="s">
        <v>72</v>
      </c>
      <c r="CK3" s="7" t="s">
        <v>73</v>
      </c>
      <c r="CL3" s="7" t="s">
        <v>74</v>
      </c>
      <c r="CM3" s="7">
        <v>2025</v>
      </c>
      <c r="CN3" s="8" t="s">
        <v>75</v>
      </c>
      <c r="CO3" s="8" t="s">
        <v>76</v>
      </c>
      <c r="CP3" s="8" t="s">
        <v>77</v>
      </c>
      <c r="CQ3" s="8" t="s">
        <v>78</v>
      </c>
      <c r="CR3" s="8">
        <v>2026</v>
      </c>
    </row>
    <row r="4" spans="1:96" s="9" customFormat="1" ht="13.5" thickBot="1" x14ac:dyDescent="0.35">
      <c r="A4" s="10">
        <v>-1</v>
      </c>
      <c r="B4" s="11">
        <f>Table336101918[[#This Row],[Komponen Pengeluaran]]-1</f>
        <v>-2</v>
      </c>
      <c r="C4" s="11">
        <f>B4-1</f>
        <v>-3</v>
      </c>
      <c r="D4" s="11">
        <f t="shared" ref="D4:BO4" si="0">C4-1</f>
        <v>-4</v>
      </c>
      <c r="E4" s="11">
        <f t="shared" si="0"/>
        <v>-5</v>
      </c>
      <c r="F4" s="11">
        <f t="shared" si="0"/>
        <v>-6</v>
      </c>
      <c r="G4" s="11">
        <f t="shared" si="0"/>
        <v>-7</v>
      </c>
      <c r="H4" s="11">
        <f t="shared" si="0"/>
        <v>-8</v>
      </c>
      <c r="I4" s="11">
        <f t="shared" si="0"/>
        <v>-9</v>
      </c>
      <c r="J4" s="11">
        <f t="shared" si="0"/>
        <v>-10</v>
      </c>
      <c r="K4" s="11">
        <f t="shared" si="0"/>
        <v>-11</v>
      </c>
      <c r="L4" s="11">
        <f t="shared" si="0"/>
        <v>-12</v>
      </c>
      <c r="M4" s="11">
        <f t="shared" si="0"/>
        <v>-13</v>
      </c>
      <c r="N4" s="11">
        <f t="shared" si="0"/>
        <v>-14</v>
      </c>
      <c r="O4" s="11">
        <f t="shared" si="0"/>
        <v>-15</v>
      </c>
      <c r="P4" s="11">
        <f t="shared" si="0"/>
        <v>-16</v>
      </c>
      <c r="Q4" s="11">
        <f t="shared" si="0"/>
        <v>-17</v>
      </c>
      <c r="R4" s="11">
        <f t="shared" si="0"/>
        <v>-18</v>
      </c>
      <c r="S4" s="11">
        <f t="shared" si="0"/>
        <v>-19</v>
      </c>
      <c r="T4" s="11">
        <f t="shared" si="0"/>
        <v>-20</v>
      </c>
      <c r="U4" s="11">
        <f t="shared" si="0"/>
        <v>-21</v>
      </c>
      <c r="V4" s="11">
        <f t="shared" si="0"/>
        <v>-22</v>
      </c>
      <c r="W4" s="11">
        <f t="shared" si="0"/>
        <v>-23</v>
      </c>
      <c r="X4" s="11">
        <f t="shared" si="0"/>
        <v>-24</v>
      </c>
      <c r="Y4" s="11">
        <f t="shared" si="0"/>
        <v>-25</v>
      </c>
      <c r="Z4" s="11">
        <f t="shared" si="0"/>
        <v>-26</v>
      </c>
      <c r="AA4" s="11">
        <f t="shared" si="0"/>
        <v>-27</v>
      </c>
      <c r="AB4" s="11">
        <f t="shared" si="0"/>
        <v>-28</v>
      </c>
      <c r="AC4" s="11">
        <f t="shared" si="0"/>
        <v>-29</v>
      </c>
      <c r="AD4" s="11">
        <f t="shared" si="0"/>
        <v>-30</v>
      </c>
      <c r="AE4" s="11">
        <f t="shared" si="0"/>
        <v>-31</v>
      </c>
      <c r="AF4" s="11">
        <f t="shared" si="0"/>
        <v>-32</v>
      </c>
      <c r="AG4" s="11">
        <f t="shared" si="0"/>
        <v>-33</v>
      </c>
      <c r="AH4" s="11">
        <f t="shared" si="0"/>
        <v>-34</v>
      </c>
      <c r="AI4" s="11">
        <f t="shared" si="0"/>
        <v>-35</v>
      </c>
      <c r="AJ4" s="11">
        <f t="shared" si="0"/>
        <v>-36</v>
      </c>
      <c r="AK4" s="11">
        <f t="shared" si="0"/>
        <v>-37</v>
      </c>
      <c r="AL4" s="11">
        <f t="shared" si="0"/>
        <v>-38</v>
      </c>
      <c r="AM4" s="11">
        <f t="shared" si="0"/>
        <v>-39</v>
      </c>
      <c r="AN4" s="11">
        <f t="shared" si="0"/>
        <v>-40</v>
      </c>
      <c r="AO4" s="11">
        <f t="shared" si="0"/>
        <v>-41</v>
      </c>
      <c r="AP4" s="11">
        <f t="shared" si="0"/>
        <v>-42</v>
      </c>
      <c r="AQ4" s="11">
        <f t="shared" si="0"/>
        <v>-43</v>
      </c>
      <c r="AR4" s="11">
        <f t="shared" si="0"/>
        <v>-44</v>
      </c>
      <c r="AS4" s="11">
        <f t="shared" si="0"/>
        <v>-45</v>
      </c>
      <c r="AT4" s="11">
        <f t="shared" si="0"/>
        <v>-46</v>
      </c>
      <c r="AU4" s="11">
        <f t="shared" si="0"/>
        <v>-47</v>
      </c>
      <c r="AV4" s="11">
        <f t="shared" si="0"/>
        <v>-48</v>
      </c>
      <c r="AW4" s="11">
        <f t="shared" si="0"/>
        <v>-49</v>
      </c>
      <c r="AX4" s="11">
        <f t="shared" si="0"/>
        <v>-50</v>
      </c>
      <c r="AY4" s="11">
        <f t="shared" si="0"/>
        <v>-51</v>
      </c>
      <c r="AZ4" s="11">
        <f t="shared" si="0"/>
        <v>-52</v>
      </c>
      <c r="BA4" s="11">
        <f t="shared" si="0"/>
        <v>-53</v>
      </c>
      <c r="BB4" s="11">
        <f t="shared" si="0"/>
        <v>-54</v>
      </c>
      <c r="BC4" s="11">
        <f t="shared" si="0"/>
        <v>-55</v>
      </c>
      <c r="BD4" s="11">
        <f t="shared" si="0"/>
        <v>-56</v>
      </c>
      <c r="BE4" s="11">
        <f t="shared" si="0"/>
        <v>-57</v>
      </c>
      <c r="BF4" s="11">
        <f t="shared" si="0"/>
        <v>-58</v>
      </c>
      <c r="BG4" s="11">
        <f t="shared" si="0"/>
        <v>-59</v>
      </c>
      <c r="BH4" s="11">
        <f t="shared" si="0"/>
        <v>-60</v>
      </c>
      <c r="BI4" s="11">
        <f t="shared" si="0"/>
        <v>-61</v>
      </c>
      <c r="BJ4" s="11">
        <f t="shared" si="0"/>
        <v>-62</v>
      </c>
      <c r="BK4" s="11">
        <f t="shared" si="0"/>
        <v>-63</v>
      </c>
      <c r="BL4" s="11">
        <f t="shared" si="0"/>
        <v>-64</v>
      </c>
      <c r="BM4" s="11">
        <f t="shared" si="0"/>
        <v>-65</v>
      </c>
      <c r="BN4" s="11">
        <f t="shared" si="0"/>
        <v>-66</v>
      </c>
      <c r="BO4" s="11">
        <f t="shared" si="0"/>
        <v>-67</v>
      </c>
      <c r="BP4" s="11">
        <f t="shared" ref="BP4:CR4" si="1">BO4-1</f>
        <v>-68</v>
      </c>
      <c r="BQ4" s="11">
        <f t="shared" si="1"/>
        <v>-69</v>
      </c>
      <c r="BR4" s="11">
        <f t="shared" si="1"/>
        <v>-70</v>
      </c>
      <c r="BS4" s="11">
        <f t="shared" si="1"/>
        <v>-71</v>
      </c>
      <c r="BT4" s="11">
        <f t="shared" si="1"/>
        <v>-72</v>
      </c>
      <c r="BU4" s="11">
        <f t="shared" si="1"/>
        <v>-73</v>
      </c>
      <c r="BV4" s="11">
        <f t="shared" si="1"/>
        <v>-74</v>
      </c>
      <c r="BW4" s="11">
        <f t="shared" si="1"/>
        <v>-75</v>
      </c>
      <c r="BX4" s="11">
        <f t="shared" si="1"/>
        <v>-76</v>
      </c>
      <c r="BY4" s="11">
        <f t="shared" si="1"/>
        <v>-77</v>
      </c>
      <c r="BZ4" s="11">
        <f t="shared" si="1"/>
        <v>-78</v>
      </c>
      <c r="CA4" s="11">
        <f t="shared" si="1"/>
        <v>-79</v>
      </c>
      <c r="CB4" s="11">
        <f t="shared" si="1"/>
        <v>-80</v>
      </c>
      <c r="CC4" s="11">
        <f t="shared" si="1"/>
        <v>-81</v>
      </c>
      <c r="CD4" s="11">
        <f t="shared" si="1"/>
        <v>-82</v>
      </c>
      <c r="CE4" s="11">
        <f t="shared" si="1"/>
        <v>-83</v>
      </c>
      <c r="CF4" s="11">
        <f t="shared" si="1"/>
        <v>-84</v>
      </c>
      <c r="CG4" s="11">
        <f t="shared" si="1"/>
        <v>-85</v>
      </c>
      <c r="CH4" s="11">
        <f t="shared" si="1"/>
        <v>-86</v>
      </c>
      <c r="CI4" s="11">
        <f t="shared" si="1"/>
        <v>-87</v>
      </c>
      <c r="CJ4" s="11">
        <f t="shared" si="1"/>
        <v>-88</v>
      </c>
      <c r="CK4" s="11">
        <f t="shared" si="1"/>
        <v>-89</v>
      </c>
      <c r="CL4" s="11">
        <f t="shared" si="1"/>
        <v>-90</v>
      </c>
      <c r="CM4" s="11">
        <f t="shared" si="1"/>
        <v>-91</v>
      </c>
      <c r="CN4" s="11">
        <f t="shared" si="1"/>
        <v>-92</v>
      </c>
      <c r="CO4" s="11">
        <f t="shared" si="1"/>
        <v>-93</v>
      </c>
      <c r="CP4" s="11">
        <f t="shared" si="1"/>
        <v>-94</v>
      </c>
      <c r="CQ4" s="11">
        <f t="shared" si="1"/>
        <v>-95</v>
      </c>
      <c r="CR4" s="11">
        <f t="shared" si="1"/>
        <v>-96</v>
      </c>
    </row>
    <row r="5" spans="1:96" s="9" customFormat="1" ht="16.5" thickTop="1" x14ac:dyDescent="0.4">
      <c r="A5" s="12"/>
      <c r="B5" s="13"/>
      <c r="C5" s="13"/>
      <c r="D5" s="13"/>
      <c r="E5" s="13"/>
      <c r="F5" s="14"/>
      <c r="G5" s="13"/>
      <c r="H5" s="13"/>
      <c r="I5" s="13"/>
      <c r="J5" s="13"/>
      <c r="K5" s="14"/>
      <c r="L5" s="13"/>
      <c r="M5" s="13"/>
      <c r="N5" s="13"/>
      <c r="O5" s="13"/>
      <c r="P5" s="14"/>
      <c r="Q5" s="13"/>
      <c r="R5" s="13"/>
      <c r="S5" s="13"/>
      <c r="T5" s="13"/>
      <c r="U5" s="14"/>
      <c r="V5" s="13"/>
      <c r="W5" s="13"/>
      <c r="X5" s="13"/>
      <c r="Y5" s="13"/>
      <c r="Z5" s="14"/>
      <c r="AA5" s="13"/>
      <c r="AB5" s="13"/>
      <c r="AC5" s="13"/>
      <c r="AD5" s="13"/>
      <c r="AE5" s="14"/>
      <c r="AF5" s="13"/>
      <c r="AG5" s="13"/>
      <c r="AH5" s="13"/>
      <c r="AI5" s="13"/>
      <c r="AJ5" s="14"/>
      <c r="AK5" s="13"/>
      <c r="AL5" s="13"/>
      <c r="AM5" s="13"/>
      <c r="AN5" s="13"/>
      <c r="AO5" s="14"/>
      <c r="AP5" s="13"/>
      <c r="AQ5" s="13"/>
      <c r="AR5" s="13"/>
      <c r="AS5" s="13"/>
      <c r="AT5" s="14"/>
      <c r="AU5" s="13"/>
      <c r="AV5" s="13"/>
      <c r="AW5" s="13"/>
      <c r="AX5" s="13"/>
      <c r="AY5" s="14"/>
      <c r="AZ5" s="13"/>
      <c r="BA5" s="13"/>
      <c r="BB5" s="13"/>
      <c r="BC5" s="13"/>
      <c r="BD5" s="14"/>
      <c r="BE5" s="13"/>
      <c r="BF5" s="13"/>
      <c r="BG5" s="13"/>
      <c r="BH5" s="13"/>
      <c r="BI5" s="14"/>
      <c r="BJ5" s="13"/>
      <c r="BK5" s="13"/>
      <c r="BL5" s="13"/>
      <c r="BM5" s="13"/>
      <c r="BN5" s="14"/>
      <c r="BO5" s="13"/>
      <c r="BP5" s="13"/>
      <c r="BQ5" s="13"/>
      <c r="BR5" s="13"/>
      <c r="BS5" s="14"/>
      <c r="BT5" s="13"/>
      <c r="BU5" s="13"/>
      <c r="BV5" s="13"/>
      <c r="BW5" s="13"/>
      <c r="BX5" s="14"/>
      <c r="BY5" s="13"/>
      <c r="BZ5" s="13"/>
      <c r="CA5" s="13"/>
      <c r="CB5" s="13"/>
      <c r="CC5" s="14"/>
      <c r="CD5" s="13"/>
      <c r="CE5" s="13"/>
      <c r="CF5" s="13"/>
      <c r="CG5" s="13"/>
      <c r="CH5" s="14"/>
      <c r="CI5" s="13"/>
      <c r="CJ5" s="13"/>
      <c r="CK5" s="13"/>
      <c r="CL5" s="13"/>
      <c r="CM5" s="14"/>
      <c r="CN5" s="13"/>
      <c r="CO5" s="13"/>
      <c r="CP5" s="13"/>
      <c r="CQ5" s="13"/>
      <c r="CR5" s="14"/>
    </row>
    <row r="6" spans="1:96" s="17" customFormat="1" ht="15" x14ac:dyDescent="0.4">
      <c r="A6" s="15" t="s">
        <v>79</v>
      </c>
      <c r="B6" s="16">
        <f>SUM(B7:B13)</f>
        <v>147774.36101540306</v>
      </c>
      <c r="C6" s="16">
        <f t="shared" ref="C6:E6" si="2">SUM(C7:C13)</f>
        <v>149647.59283390304</v>
      </c>
      <c r="D6" s="16">
        <f t="shared" si="2"/>
        <v>160001.07368210444</v>
      </c>
      <c r="E6" s="16">
        <f t="shared" si="2"/>
        <v>167846.43716391237</v>
      </c>
      <c r="F6" s="16">
        <f>SUM(B6:E6)</f>
        <v>625269.46469532291</v>
      </c>
      <c r="G6" s="16">
        <f>SUM(G7:G13)</f>
        <v>163381.45342825114</v>
      </c>
      <c r="H6" s="16">
        <f t="shared" ref="H6:J6" si="3">SUM(H7:H13)</f>
        <v>167283.46847030759</v>
      </c>
      <c r="I6" s="16">
        <f t="shared" si="3"/>
        <v>179580.35058904788</v>
      </c>
      <c r="J6" s="16">
        <f t="shared" si="3"/>
        <v>188097.37042037927</v>
      </c>
      <c r="K6" s="16">
        <f>SUM(G6:J6)</f>
        <v>698342.64290798595</v>
      </c>
      <c r="L6" s="16">
        <f>SUM(L7:L13)</f>
        <v>180966.53381031973</v>
      </c>
      <c r="M6" s="16">
        <f t="shared" ref="M6:O6" si="4">SUM(M7:M13)</f>
        <v>189768.91062690876</v>
      </c>
      <c r="N6" s="16">
        <f t="shared" si="4"/>
        <v>199212.34774641524</v>
      </c>
      <c r="O6" s="16">
        <f t="shared" si="4"/>
        <v>206611.9557143478</v>
      </c>
      <c r="P6" s="16">
        <f>SUM(L6:O6)</f>
        <v>776559.74789799144</v>
      </c>
      <c r="Q6" s="16">
        <f>SUM(Q7:Q13)</f>
        <v>180917.54610041567</v>
      </c>
      <c r="R6" s="16">
        <f t="shared" ref="R6:T6" si="5">SUM(R7:R13)</f>
        <v>220716.05180599992</v>
      </c>
      <c r="S6" s="16">
        <f t="shared" si="5"/>
        <v>227135.31327319177</v>
      </c>
      <c r="T6" s="16">
        <f t="shared" si="5"/>
        <v>224475.67694719645</v>
      </c>
      <c r="U6" s="16">
        <f>SUM(Q6:T6)</f>
        <v>853244.58812680386</v>
      </c>
      <c r="V6" s="16">
        <f>SUM(V7:V13)</f>
        <v>229696.7921659319</v>
      </c>
      <c r="W6" s="16">
        <f t="shared" ref="W6:Y6" si="6">SUM(W7:W13)</f>
        <v>240715.12957438533</v>
      </c>
      <c r="X6" s="16">
        <f t="shared" si="6"/>
        <v>251998.59732177365</v>
      </c>
      <c r="Y6" s="16">
        <f t="shared" si="6"/>
        <v>260021.29122521545</v>
      </c>
      <c r="Z6" s="16">
        <f>SUM(V6:Y6)</f>
        <v>982431.81028730632</v>
      </c>
      <c r="AA6" s="16">
        <f>SUM(AA7:AA13)</f>
        <v>247853.18251877913</v>
      </c>
      <c r="AB6" s="16">
        <f t="shared" ref="AB6:AD6" si="7">SUM(AB7:AB13)</f>
        <v>265086.81770427013</v>
      </c>
      <c r="AC6" s="16">
        <f t="shared" si="7"/>
        <v>293118.89975707757</v>
      </c>
      <c r="AD6" s="16">
        <f t="shared" si="7"/>
        <v>313706.62140004628</v>
      </c>
      <c r="AE6" s="16">
        <f>SUM(AA6:AD6)</f>
        <v>1119765.521380173</v>
      </c>
      <c r="AF6" s="16">
        <f>SUM(AF7:AF13)</f>
        <v>296087.55939965835</v>
      </c>
      <c r="AG6" s="16">
        <f t="shared" ref="AG6:AI6" si="8">SUM(AG7:AG13)</f>
        <v>307882.79385737894</v>
      </c>
      <c r="AH6" s="16">
        <f t="shared" si="8"/>
        <v>326573.94950908271</v>
      </c>
      <c r="AI6" s="16">
        <f t="shared" si="8"/>
        <v>353954.6846993824</v>
      </c>
      <c r="AJ6" s="16">
        <f>SUM(AF6:AI6)</f>
        <v>1284498.9874655022</v>
      </c>
      <c r="AK6" s="16">
        <f>SUM(AK7:AK13)</f>
        <v>338144.78855289321</v>
      </c>
      <c r="AL6" s="16">
        <f t="shared" ref="AL6:AN6" si="9">SUM(AL7:AL13)</f>
        <v>357984.50105904782</v>
      </c>
      <c r="AM6" s="16">
        <f t="shared" si="9"/>
        <v>379286.04968308535</v>
      </c>
      <c r="AN6" s="16">
        <f t="shared" si="9"/>
        <v>413229.33270497376</v>
      </c>
      <c r="AO6" s="16">
        <f>SUM(AK6:AN6)</f>
        <v>1488644.6720000003</v>
      </c>
      <c r="AP6" s="16">
        <f>SUM(AP7:AP13)</f>
        <v>395549.9176639716</v>
      </c>
      <c r="AQ6" s="16">
        <f t="shared" ref="AQ6:AS6" si="10">SUM(AQ7:AQ13)</f>
        <v>406381.43967400357</v>
      </c>
      <c r="AR6" s="16">
        <f t="shared" si="10"/>
        <v>417699.9795578125</v>
      </c>
      <c r="AS6" s="16">
        <f t="shared" si="10"/>
        <v>439022.28410421615</v>
      </c>
      <c r="AT6" s="16">
        <f>SUM(AP6:AS6)</f>
        <v>1658653.6210000038</v>
      </c>
      <c r="AU6" s="16">
        <f>SUM(AU7:AU13)</f>
        <v>421240.4330813656</v>
      </c>
      <c r="AV6" s="16">
        <f t="shared" ref="AV6:AX6" si="11">SUM(AV7:AV13)</f>
        <v>440265.88459809544</v>
      </c>
      <c r="AW6" s="16">
        <f t="shared" si="11"/>
        <v>462210.92805081717</v>
      </c>
      <c r="AX6" s="16">
        <f t="shared" si="11"/>
        <v>484505.62608953385</v>
      </c>
      <c r="AY6" s="16">
        <f>SUM(AU6:AX6)</f>
        <v>1808222.8718198121</v>
      </c>
      <c r="AZ6" s="16">
        <f>SUM(AZ7:AZ13)</f>
        <v>451058.39577973116</v>
      </c>
      <c r="BA6" s="16">
        <f t="shared" ref="BA6:BC6" si="12">SUM(BA7:BA13)</f>
        <v>470070.60283597553</v>
      </c>
      <c r="BB6" s="16">
        <f t="shared" si="12"/>
        <v>490861.19778953493</v>
      </c>
      <c r="BC6" s="16">
        <f t="shared" si="12"/>
        <v>520348.64029475808</v>
      </c>
      <c r="BD6" s="16">
        <f>SUM(AZ6:BC6)</f>
        <v>1932338.8366999999</v>
      </c>
      <c r="BE6" s="16">
        <f>SUM(BE7:BE13)</f>
        <v>499125.23114536802</v>
      </c>
      <c r="BF6" s="16">
        <f t="shared" ref="BF6:BH6" si="13">SUM(BF7:BF13)</f>
        <v>523742.16454445099</v>
      </c>
      <c r="BG6" s="16">
        <f t="shared" si="13"/>
        <v>558606.33225489582</v>
      </c>
      <c r="BH6" s="16">
        <f t="shared" si="13"/>
        <v>561013.52605527663</v>
      </c>
      <c r="BI6" s="16">
        <f>SUM(BE6:BH6)</f>
        <v>2142487.2539999913</v>
      </c>
      <c r="BJ6" s="16">
        <f>SUM(BJ7:BJ13)</f>
        <v>537095.67307931627</v>
      </c>
      <c r="BK6" s="16">
        <f t="shared" ref="BK6:BM6" si="14">SUM(BK7:BK13)</f>
        <v>539774.42178430757</v>
      </c>
      <c r="BL6" s="16">
        <f t="shared" si="14"/>
        <v>560318.37747037318</v>
      </c>
      <c r="BM6" s="16">
        <f t="shared" si="14"/>
        <v>567093.76067791705</v>
      </c>
      <c r="BN6" s="16">
        <f>SUM(BJ6:BM6)</f>
        <v>2204282.233011914</v>
      </c>
      <c r="BO6" s="16">
        <f>SUM(BO7:BO13)</f>
        <v>563619.96780634788</v>
      </c>
      <c r="BP6" s="16">
        <f t="shared" ref="BP6:BR6" si="15">SUM(BP7:BP13)</f>
        <v>578152.51455583377</v>
      </c>
      <c r="BQ6" s="16">
        <f t="shared" si="15"/>
        <v>565044.03886484541</v>
      </c>
      <c r="BR6" s="16">
        <f t="shared" si="15"/>
        <v>609137.538772973</v>
      </c>
      <c r="BS6" s="16">
        <f>SUM(BO6:BR6)</f>
        <v>2315954.06</v>
      </c>
      <c r="BT6" s="16">
        <f>SUM(BT7:BT13)</f>
        <v>614309.17091332108</v>
      </c>
      <c r="BU6" s="16">
        <f t="shared" ref="BU6:BW6" si="16">SUM(BU7:BU13)</f>
        <v>629441.78129110264</v>
      </c>
      <c r="BV6" s="16">
        <f t="shared" si="16"/>
        <v>642641.36102238554</v>
      </c>
      <c r="BW6" s="16">
        <f t="shared" si="16"/>
        <v>658948.67009973561</v>
      </c>
      <c r="BX6" s="16">
        <f>SUM(BT6:BW6)</f>
        <v>2545340.983326545</v>
      </c>
      <c r="BY6" s="16">
        <f>SUM(BY7:BY13)</f>
        <v>651856.91467178264</v>
      </c>
      <c r="BZ6" s="16">
        <f t="shared" ref="BZ6:CB6" si="17">SUM(BZ7:BZ13)</f>
        <v>667789.52951330948</v>
      </c>
      <c r="CA6" s="16">
        <f t="shared" si="17"/>
        <v>676127.29931234475</v>
      </c>
      <c r="CB6" s="16">
        <f t="shared" si="17"/>
        <v>695869.86</v>
      </c>
      <c r="CC6" s="16">
        <f>SUM(BY6:CB6)</f>
        <v>2691643.6034974367</v>
      </c>
      <c r="CD6" s="16">
        <f>SUM(CD7:CD13)</f>
        <v>695622.96643613989</v>
      </c>
      <c r="CE6" s="16">
        <f t="shared" ref="CE6:CG6" si="18">SUM(CE7:CE13)</f>
        <v>710127.28720766969</v>
      </c>
      <c r="CF6" s="16">
        <f t="shared" si="18"/>
        <v>713996.06120949343</v>
      </c>
      <c r="CG6" s="16">
        <f t="shared" si="18"/>
        <v>731698.80163659132</v>
      </c>
      <c r="CH6" s="16">
        <f>SUM(CD6:CG6)</f>
        <v>2851445.1164898947</v>
      </c>
      <c r="CI6" s="16">
        <f>SUM(CI7:CI13)</f>
        <v>735048.26310165192</v>
      </c>
      <c r="CJ6" s="16">
        <f t="shared" ref="CJ6:CL6" si="19">SUM(CJ7:CJ13)</f>
        <v>759828.59480459662</v>
      </c>
      <c r="CK6" s="16">
        <f t="shared" si="19"/>
        <v>780010.19990367827</v>
      </c>
      <c r="CL6" s="16">
        <f t="shared" si="19"/>
        <v>805456.80163659179</v>
      </c>
      <c r="CM6" s="16">
        <f>SUM(CI6:CL6)</f>
        <v>3080343.8594465181</v>
      </c>
      <c r="CN6" s="16">
        <f>SUM(CN7:CN13)</f>
        <v>0</v>
      </c>
      <c r="CO6" s="16">
        <f t="shared" ref="CO6:CQ6" si="20">SUM(CO7:CO13)</f>
        <v>0</v>
      </c>
      <c r="CP6" s="16">
        <f t="shared" si="20"/>
        <v>0</v>
      </c>
      <c r="CQ6" s="16">
        <f t="shared" si="20"/>
        <v>0</v>
      </c>
      <c r="CR6" s="16">
        <f>SUM(CN6:CQ6)</f>
        <v>0</v>
      </c>
    </row>
    <row r="7" spans="1:96" s="9" customFormat="1" ht="15" x14ac:dyDescent="0.4">
      <c r="A7" s="18" t="s">
        <v>80</v>
      </c>
      <c r="B7" s="19">
        <v>101663.33676896304</v>
      </c>
      <c r="C7" s="19">
        <v>102280.87789522717</v>
      </c>
      <c r="D7" s="19">
        <v>108563.59896029778</v>
      </c>
      <c r="E7" s="19">
        <v>112592.38545266204</v>
      </c>
      <c r="F7" s="20">
        <f>SUM(B7:E7)</f>
        <v>425100.19907714997</v>
      </c>
      <c r="G7" s="19">
        <v>111710.25855811685</v>
      </c>
      <c r="H7" s="19">
        <v>114787.76274401764</v>
      </c>
      <c r="I7" s="19">
        <v>120763.38199820321</v>
      </c>
      <c r="J7" s="19">
        <v>125543.5624507083</v>
      </c>
      <c r="K7" s="20">
        <f>SUM(G7:J7)</f>
        <v>472804.96575104602</v>
      </c>
      <c r="L7" s="19">
        <v>123111.88528106622</v>
      </c>
      <c r="M7" s="19">
        <v>130608.15485326992</v>
      </c>
      <c r="N7" s="19">
        <v>134797.48258931181</v>
      </c>
      <c r="O7" s="19">
        <v>137545.65415460846</v>
      </c>
      <c r="P7" s="20">
        <f>SUM(L7:O7)</f>
        <v>526063.17687825649</v>
      </c>
      <c r="Q7" s="19">
        <v>120293.73671866438</v>
      </c>
      <c r="R7" s="19">
        <v>158198.51766541542</v>
      </c>
      <c r="S7" s="19">
        <v>156919.94425378405</v>
      </c>
      <c r="T7" s="19">
        <v>144956.15769438556</v>
      </c>
      <c r="U7" s="20">
        <f>SUM(Q7:T7)</f>
        <v>580368.35633224947</v>
      </c>
      <c r="V7" s="19">
        <v>162584.82073136012</v>
      </c>
      <c r="W7" s="19">
        <v>168384.34062047355</v>
      </c>
      <c r="X7" s="19">
        <v>168728.98036874714</v>
      </c>
      <c r="Y7" s="19">
        <v>171416.88928760865</v>
      </c>
      <c r="Z7" s="20">
        <f>SUM(V7:Y7)</f>
        <v>671115.03100818943</v>
      </c>
      <c r="AA7" s="19">
        <v>166170.23082279894</v>
      </c>
      <c r="AB7" s="19">
        <v>181177.12657459214</v>
      </c>
      <c r="AC7" s="19">
        <v>202057.95255607518</v>
      </c>
      <c r="AD7" s="19">
        <v>215334.9076439208</v>
      </c>
      <c r="AE7" s="20">
        <f>SUM(AA7:AD7)</f>
        <v>764740.21759738703</v>
      </c>
      <c r="AF7" s="19">
        <v>203561.64085238395</v>
      </c>
      <c r="AG7" s="19">
        <v>212007.26615516521</v>
      </c>
      <c r="AH7" s="19">
        <v>223949.2545794406</v>
      </c>
      <c r="AI7" s="19">
        <v>243127.60189562142</v>
      </c>
      <c r="AJ7" s="20">
        <f>SUM(AF7:AI7)</f>
        <v>882645.76348261116</v>
      </c>
      <c r="AK7" s="19">
        <v>234406.52048524687</v>
      </c>
      <c r="AL7" s="19">
        <v>249972.68425762255</v>
      </c>
      <c r="AM7" s="19">
        <v>264814.14019523846</v>
      </c>
      <c r="AN7" s="19">
        <v>290367.05506189226</v>
      </c>
      <c r="AO7" s="20">
        <f>SUM(AK7:AN7)</f>
        <v>1039560.4000000001</v>
      </c>
      <c r="AP7" s="19">
        <v>278201.34774440638</v>
      </c>
      <c r="AQ7" s="19">
        <v>285961.12600819994</v>
      </c>
      <c r="AR7" s="19">
        <v>293027.65563291009</v>
      </c>
      <c r="AS7" s="19">
        <v>306138.14916105807</v>
      </c>
      <c r="AT7" s="20">
        <f>SUM(AP7:AS7)</f>
        <v>1163328.2785465745</v>
      </c>
      <c r="AU7" s="19">
        <v>293259.90108267183</v>
      </c>
      <c r="AV7" s="19">
        <v>307295.61308005895</v>
      </c>
      <c r="AW7" s="19">
        <v>325206.53988226573</v>
      </c>
      <c r="AX7" s="19">
        <v>342588.28827620344</v>
      </c>
      <c r="AY7" s="20">
        <f>SUM(AU7:AX7)</f>
        <v>1268350.3423211998</v>
      </c>
      <c r="AZ7" s="19">
        <v>315690.89614499407</v>
      </c>
      <c r="BA7" s="19">
        <v>328279.28646220791</v>
      </c>
      <c r="BB7" s="19">
        <v>343568.07322286512</v>
      </c>
      <c r="BC7" s="19">
        <v>366174.84916993254</v>
      </c>
      <c r="BD7" s="20">
        <f>SUM(AZ7:BC7)</f>
        <v>1353713.1049999995</v>
      </c>
      <c r="BE7" s="19">
        <v>350528.19489909348</v>
      </c>
      <c r="BF7" s="19">
        <v>367631.8540071692</v>
      </c>
      <c r="BG7" s="19">
        <v>397490.91186040785</v>
      </c>
      <c r="BH7" s="19">
        <v>394505.66923331714</v>
      </c>
      <c r="BI7" s="20">
        <f>SUM(BE7:BH7)</f>
        <v>1510156.6299999878</v>
      </c>
      <c r="BJ7" s="19">
        <v>377291.43485814915</v>
      </c>
      <c r="BK7" s="19">
        <v>387887.19496230478</v>
      </c>
      <c r="BL7" s="19">
        <v>406283.74843443773</v>
      </c>
      <c r="BM7" s="19">
        <v>407528.16046357836</v>
      </c>
      <c r="BN7" s="20">
        <f>SUM(BJ7:BM7)</f>
        <v>1578990.5387184699</v>
      </c>
      <c r="BO7" s="19">
        <v>408771.8754755393</v>
      </c>
      <c r="BP7" s="19">
        <v>414415.27287038427</v>
      </c>
      <c r="BQ7" s="19">
        <v>399802.07004858775</v>
      </c>
      <c r="BR7" s="19">
        <v>439110.89160548884</v>
      </c>
      <c r="BS7" s="20">
        <f>SUM(BO7:BR7)</f>
        <v>1662100.1100000003</v>
      </c>
      <c r="BT7" s="19">
        <v>445365.65509649698</v>
      </c>
      <c r="BU7" s="19">
        <v>451273.01013449219</v>
      </c>
      <c r="BV7" s="19">
        <v>458066.01585795841</v>
      </c>
      <c r="BW7" s="19">
        <v>471023.79750330257</v>
      </c>
      <c r="BX7" s="20">
        <f>SUM(BT7:BW7)</f>
        <v>1825728.4785922503</v>
      </c>
      <c r="BY7" s="19">
        <v>468279.14298499923</v>
      </c>
      <c r="BZ7" s="19">
        <v>481427.86709069094</v>
      </c>
      <c r="CA7" s="19">
        <v>485930.00602567708</v>
      </c>
      <c r="CB7" s="19">
        <v>501705.56</v>
      </c>
      <c r="CC7" s="20">
        <f>SUM(BY7:CB7)</f>
        <v>1937342.5761013674</v>
      </c>
      <c r="CD7" s="19">
        <v>501688.95278267399</v>
      </c>
      <c r="CE7" s="19">
        <v>513857.76873905113</v>
      </c>
      <c r="CF7" s="19">
        <v>515157.57074777997</v>
      </c>
      <c r="CG7" s="19">
        <v>526885.87911441154</v>
      </c>
      <c r="CH7" s="20">
        <f>SUM(CD7:CG7)</f>
        <v>2057590.1713839166</v>
      </c>
      <c r="CI7" s="19">
        <v>535483.06963163498</v>
      </c>
      <c r="CJ7" s="19">
        <v>552075.56530165486</v>
      </c>
      <c r="CK7" s="19">
        <v>570218.76268795901</v>
      </c>
      <c r="CL7" s="19">
        <v>587885.879114412</v>
      </c>
      <c r="CM7" s="20">
        <f>SUM(CI7:CL7)</f>
        <v>2245663.2767356606</v>
      </c>
      <c r="CN7" s="19"/>
      <c r="CO7" s="19"/>
      <c r="CP7" s="19"/>
      <c r="CQ7" s="19"/>
      <c r="CR7" s="20">
        <f>SUM(CN7:CQ7)</f>
        <v>0</v>
      </c>
    </row>
    <row r="8" spans="1:96" s="9" customFormat="1" ht="15" x14ac:dyDescent="0.4">
      <c r="A8" s="18" t="s">
        <v>81</v>
      </c>
      <c r="B8" s="21">
        <v>3406.0609506262058</v>
      </c>
      <c r="C8" s="21">
        <v>3858.6317244382481</v>
      </c>
      <c r="D8" s="21">
        <v>4686.2924067356316</v>
      </c>
      <c r="E8" s="21">
        <v>5896.877804952338</v>
      </c>
      <c r="F8" s="20">
        <f t="shared" ref="F8:F13" si="21">SUM(B8:E8)</f>
        <v>17847.862886752424</v>
      </c>
      <c r="G8" s="21">
        <v>5494.2147506563806</v>
      </c>
      <c r="H8" s="21">
        <v>6356.0700453192194</v>
      </c>
      <c r="I8" s="21">
        <v>8332.8681740863012</v>
      </c>
      <c r="J8" s="21">
        <v>9177.6191453938973</v>
      </c>
      <c r="K8" s="20">
        <f t="shared" ref="K8:K13" si="22">SUM(G8:J8)</f>
        <v>29360.772115455795</v>
      </c>
      <c r="L8" s="21">
        <v>7030.1928048488098</v>
      </c>
      <c r="M8" s="21">
        <v>7537.7602736822219</v>
      </c>
      <c r="N8" s="21">
        <v>8832.5448036539838</v>
      </c>
      <c r="O8" s="21">
        <v>9495.2830152600018</v>
      </c>
      <c r="P8" s="20">
        <f t="shared" ref="P8:P13" si="23">SUM(L8:O8)</f>
        <v>32895.780897445016</v>
      </c>
      <c r="Q8" s="21">
        <v>7159.117776750124</v>
      </c>
      <c r="R8" s="21">
        <v>8249.874975036113</v>
      </c>
      <c r="S8" s="21">
        <v>9741.126979957211</v>
      </c>
      <c r="T8" s="21">
        <v>11421.272450393861</v>
      </c>
      <c r="U8" s="20">
        <f t="shared" ref="U8:U13" si="24">SUM(Q8:T8)</f>
        <v>36571.392182137308</v>
      </c>
      <c r="V8" s="21">
        <v>8115.855136672084</v>
      </c>
      <c r="W8" s="21">
        <v>9490.4848714716081</v>
      </c>
      <c r="X8" s="21">
        <v>11261.124729267853</v>
      </c>
      <c r="Y8" s="21">
        <v>12206.613488402265</v>
      </c>
      <c r="Z8" s="20">
        <f t="shared" ref="Z8:Z13" si="25">SUM(V8:Y8)</f>
        <v>41074.078225813806</v>
      </c>
      <c r="AA8" s="21">
        <v>10674.200440676041</v>
      </c>
      <c r="AB8" s="21">
        <v>10991.079365620906</v>
      </c>
      <c r="AC8" s="21">
        <v>12055.575372074567</v>
      </c>
      <c r="AD8" s="21">
        <v>13205.600522249886</v>
      </c>
      <c r="AE8" s="20">
        <f t="shared" ref="AE8:AE13" si="26">SUM(AA8:AD8)</f>
        <v>46926.455700621394</v>
      </c>
      <c r="AF8" s="21">
        <v>12122.810841340484</v>
      </c>
      <c r="AG8" s="21">
        <v>13069.729167882526</v>
      </c>
      <c r="AH8" s="21">
        <v>13946.12738028899</v>
      </c>
      <c r="AI8" s="21">
        <v>15290.469884132002</v>
      </c>
      <c r="AJ8" s="20">
        <f t="shared" ref="AJ8:AJ13" si="27">SUM(AF8:AI8)</f>
        <v>54429.13727364401</v>
      </c>
      <c r="AK8" s="21">
        <v>13112.478733812521</v>
      </c>
      <c r="AL8" s="21">
        <v>13971.73688476473</v>
      </c>
      <c r="AM8" s="21">
        <v>15207.763736859073</v>
      </c>
      <c r="AN8" s="21">
        <v>16743.540644563673</v>
      </c>
      <c r="AO8" s="20">
        <f t="shared" ref="AO8:AO13" si="28">SUM(AK8:AN8)</f>
        <v>59035.520000000004</v>
      </c>
      <c r="AP8" s="21">
        <v>15658.415847237311</v>
      </c>
      <c r="AQ8" s="21">
        <v>16279.01065275626</v>
      </c>
      <c r="AR8" s="21">
        <v>17013.228460642917</v>
      </c>
      <c r="AS8" s="21">
        <v>18497.663492792937</v>
      </c>
      <c r="AT8" s="20">
        <f t="shared" ref="AT8:AT13" si="29">SUM(AP8:AS8)</f>
        <v>67448.318453429427</v>
      </c>
      <c r="AU8" s="21">
        <v>16832.062470998131</v>
      </c>
      <c r="AV8" s="21">
        <v>17449.081884460953</v>
      </c>
      <c r="AW8" s="21">
        <v>17993.776316986037</v>
      </c>
      <c r="AX8" s="21">
        <v>19085.603560004882</v>
      </c>
      <c r="AY8" s="20">
        <f t="shared" ref="AY8:AY13" si="30">SUM(AU8:AX8)</f>
        <v>71360.52423245</v>
      </c>
      <c r="AZ8" s="21">
        <v>18068.104351088823</v>
      </c>
      <c r="BA8" s="21">
        <v>18884.383041698995</v>
      </c>
      <c r="BB8" s="21">
        <v>19907.39022913641</v>
      </c>
      <c r="BC8" s="21">
        <v>21339.413378075766</v>
      </c>
      <c r="BD8" s="20">
        <f t="shared" ref="BD8:BD13" si="31">SUM(AZ8:BC8)</f>
        <v>78199.290999999997</v>
      </c>
      <c r="BE8" s="21">
        <v>20185.059580202411</v>
      </c>
      <c r="BF8" s="21">
        <v>22416.588552098481</v>
      </c>
      <c r="BG8" s="21">
        <v>22320.180332187403</v>
      </c>
      <c r="BH8" s="21">
        <v>23719.844535512588</v>
      </c>
      <c r="BI8" s="20">
        <f t="shared" ref="BI8:BI13" si="32">SUM(BE8:BH8)</f>
        <v>88641.673000000883</v>
      </c>
      <c r="BJ8" s="21">
        <v>21882.48850447726</v>
      </c>
      <c r="BK8" s="21">
        <v>18286.239995451248</v>
      </c>
      <c r="BL8" s="21">
        <v>16823.696331203264</v>
      </c>
      <c r="BM8" s="21">
        <v>17192.02979557724</v>
      </c>
      <c r="BN8" s="20">
        <f t="shared" ref="BN8:BN13" si="33">SUM(BJ8:BM8)</f>
        <v>74184.454626709005</v>
      </c>
      <c r="BO8" s="21">
        <v>16066.2344305515</v>
      </c>
      <c r="BP8" s="21">
        <v>17649.717871345678</v>
      </c>
      <c r="BQ8" s="21">
        <v>17252.563972150081</v>
      </c>
      <c r="BR8" s="21">
        <v>17831.803725952745</v>
      </c>
      <c r="BS8" s="20">
        <f t="shared" ref="BS8:BS13" si="34">SUM(BO8:BR8)</f>
        <v>68800.320000000007</v>
      </c>
      <c r="BT8" s="21">
        <v>16820.852095377268</v>
      </c>
      <c r="BU8" s="21">
        <v>18772.004931744206</v>
      </c>
      <c r="BV8" s="21">
        <v>19216.165030518641</v>
      </c>
      <c r="BW8" s="21">
        <v>19890.325831373881</v>
      </c>
      <c r="BX8" s="20">
        <f t="shared" ref="BX8:BX13" si="35">SUM(BT8:BW8)</f>
        <v>74699.347889013996</v>
      </c>
      <c r="BY8" s="21">
        <v>18945.171505027338</v>
      </c>
      <c r="BZ8" s="21">
        <v>19241.346057723076</v>
      </c>
      <c r="CA8" s="21">
        <v>19221.501873954312</v>
      </c>
      <c r="CB8" s="21">
        <v>19835.64</v>
      </c>
      <c r="CC8" s="20">
        <f t="shared" ref="CC8:CC13" si="36">SUM(BY8:CB8)</f>
        <v>77243.659436704722</v>
      </c>
      <c r="CD8" s="21">
        <v>19887.927854776608</v>
      </c>
      <c r="CE8" s="21">
        <v>20111.80449524874</v>
      </c>
      <c r="CF8" s="21">
        <v>20112.234066466757</v>
      </c>
      <c r="CG8" s="21">
        <v>21031.09680815801</v>
      </c>
      <c r="CH8" s="20">
        <f t="shared" ref="CH8:CH13" si="37">SUM(CD8:CG8)</f>
        <v>81143.063224650119</v>
      </c>
      <c r="CI8" s="21">
        <v>20965.263481432699</v>
      </c>
      <c r="CJ8" s="21">
        <v>20908.977528484898</v>
      </c>
      <c r="CK8" s="21">
        <v>20861.031461147999</v>
      </c>
      <c r="CL8" s="21">
        <v>22181.096808157999</v>
      </c>
      <c r="CM8" s="20">
        <f t="shared" ref="CM8:CM13" si="38">SUM(CI8:CL8)</f>
        <v>84916.369279223596</v>
      </c>
      <c r="CN8" s="21"/>
      <c r="CO8" s="21"/>
      <c r="CP8" s="21"/>
      <c r="CQ8" s="21"/>
      <c r="CR8" s="20">
        <f t="shared" ref="CR8:CR13" si="39">SUM(CN8:CQ8)</f>
        <v>0</v>
      </c>
    </row>
    <row r="9" spans="1:96" s="9" customFormat="1" ht="15" x14ac:dyDescent="0.4">
      <c r="A9" s="18" t="s">
        <v>82</v>
      </c>
      <c r="B9" s="19">
        <v>11988.062869559471</v>
      </c>
      <c r="C9" s="19">
        <v>12431.282303081261</v>
      </c>
      <c r="D9" s="19">
        <v>13363.789918724773</v>
      </c>
      <c r="E9" s="19">
        <v>13956.334349286124</v>
      </c>
      <c r="F9" s="20">
        <f t="shared" si="21"/>
        <v>51739.469440651628</v>
      </c>
      <c r="G9" s="19">
        <v>13337.376634587001</v>
      </c>
      <c r="H9" s="19">
        <v>13482.660727110449</v>
      </c>
      <c r="I9" s="19">
        <v>14102.041582102564</v>
      </c>
      <c r="J9" s="19">
        <v>14492.100002119489</v>
      </c>
      <c r="K9" s="20">
        <f t="shared" si="22"/>
        <v>55414.178945919499</v>
      </c>
      <c r="L9" s="19">
        <v>13778.82059116197</v>
      </c>
      <c r="M9" s="19">
        <v>13840.635265529618</v>
      </c>
      <c r="N9" s="19">
        <v>14715.09420674108</v>
      </c>
      <c r="O9" s="19">
        <v>15500.887853616932</v>
      </c>
      <c r="P9" s="20">
        <f t="shared" si="23"/>
        <v>57835.437917049596</v>
      </c>
      <c r="Q9" s="19">
        <v>14299.884323577015</v>
      </c>
      <c r="R9" s="19">
        <v>15075.902986751122</v>
      </c>
      <c r="S9" s="19">
        <v>16690.38389097551</v>
      </c>
      <c r="T9" s="19">
        <v>17576.553984457922</v>
      </c>
      <c r="U9" s="20">
        <f t="shared" si="24"/>
        <v>63642.725185761563</v>
      </c>
      <c r="V9" s="19">
        <v>15435.471047245035</v>
      </c>
      <c r="W9" s="19">
        <v>17495.614399520706</v>
      </c>
      <c r="X9" s="19">
        <v>19978.97806630273</v>
      </c>
      <c r="Y9" s="19">
        <v>20985.305003315352</v>
      </c>
      <c r="Z9" s="20">
        <f t="shared" si="25"/>
        <v>73895.368516383824</v>
      </c>
      <c r="AA9" s="19">
        <v>19671.556406245578</v>
      </c>
      <c r="AB9" s="19">
        <v>20527.149457274692</v>
      </c>
      <c r="AC9" s="19">
        <v>21689.413905379468</v>
      </c>
      <c r="AD9" s="19">
        <v>22869.831571711558</v>
      </c>
      <c r="AE9" s="20">
        <f t="shared" si="26"/>
        <v>84757.951340611296</v>
      </c>
      <c r="AF9" s="19">
        <v>21306.344862177903</v>
      </c>
      <c r="AG9" s="19">
        <v>22513.021090458733</v>
      </c>
      <c r="AH9" s="19">
        <v>24290.597354177949</v>
      </c>
      <c r="AI9" s="19">
        <v>25820.800203530212</v>
      </c>
      <c r="AJ9" s="20">
        <f t="shared" si="27"/>
        <v>93930.763510344812</v>
      </c>
      <c r="AK9" s="19">
        <v>24113.469824277203</v>
      </c>
      <c r="AL9" s="19">
        <v>25175.204999896458</v>
      </c>
      <c r="AM9" s="19">
        <v>26191.504668374153</v>
      </c>
      <c r="AN9" s="19">
        <v>27966.820507452183</v>
      </c>
      <c r="AO9" s="20">
        <f t="shared" si="28"/>
        <v>103447</v>
      </c>
      <c r="AP9" s="19">
        <v>26763.525335895501</v>
      </c>
      <c r="AQ9" s="19">
        <v>27363.039081216761</v>
      </c>
      <c r="AR9" s="19">
        <v>28160.113585634797</v>
      </c>
      <c r="AS9" s="19">
        <v>29842.051997252929</v>
      </c>
      <c r="AT9" s="20">
        <f t="shared" si="29"/>
        <v>112128.73</v>
      </c>
      <c r="AU9" s="19">
        <v>28298.557631015112</v>
      </c>
      <c r="AV9" s="19">
        <v>29102.021910120671</v>
      </c>
      <c r="AW9" s="19">
        <v>29856.830352429952</v>
      </c>
      <c r="AX9" s="19">
        <v>31132.804356434259</v>
      </c>
      <c r="AY9" s="20">
        <f t="shared" si="30"/>
        <v>118390.21424999999</v>
      </c>
      <c r="AZ9" s="19">
        <v>29040.912662479706</v>
      </c>
      <c r="BA9" s="19">
        <v>30055.246457492332</v>
      </c>
      <c r="BB9" s="19">
        <v>30492.766846037037</v>
      </c>
      <c r="BC9" s="19">
        <v>31819.822033990902</v>
      </c>
      <c r="BD9" s="20">
        <f t="shared" si="31"/>
        <v>121408.74799999998</v>
      </c>
      <c r="BE9" s="19">
        <v>30599.641931558461</v>
      </c>
      <c r="BF9" s="19">
        <v>31656.504608800697</v>
      </c>
      <c r="BG9" s="19">
        <v>32432.646607040377</v>
      </c>
      <c r="BH9" s="19">
        <v>33187.130852602473</v>
      </c>
      <c r="BI9" s="20">
        <f t="shared" si="32"/>
        <v>127875.92400000201</v>
      </c>
      <c r="BJ9" s="19">
        <v>32450.122943271959</v>
      </c>
      <c r="BK9" s="19">
        <v>31471.148378873466</v>
      </c>
      <c r="BL9" s="19">
        <v>31851.04892557647</v>
      </c>
      <c r="BM9" s="19">
        <v>33259.97419808212</v>
      </c>
      <c r="BN9" s="20">
        <f t="shared" si="33"/>
        <v>129032.294445804</v>
      </c>
      <c r="BO9" s="19">
        <v>34004.027560985582</v>
      </c>
      <c r="BP9" s="19">
        <v>34408.898776232782</v>
      </c>
      <c r="BQ9" s="19">
        <v>34340.924859373867</v>
      </c>
      <c r="BR9" s="19">
        <v>35186.488803407789</v>
      </c>
      <c r="BS9" s="20">
        <f t="shared" si="34"/>
        <v>137940.34000000003</v>
      </c>
      <c r="BT9" s="19">
        <v>34327.217287428182</v>
      </c>
      <c r="BU9" s="19">
        <v>36059.931939464506</v>
      </c>
      <c r="BV9" s="19">
        <v>37588.774522533226</v>
      </c>
      <c r="BW9" s="19">
        <v>38526.292024474104</v>
      </c>
      <c r="BX9" s="20">
        <f t="shared" si="35"/>
        <v>146502.21577390001</v>
      </c>
      <c r="BY9" s="19">
        <v>37316.494248619427</v>
      </c>
      <c r="BZ9" s="19">
        <v>37557.434965609711</v>
      </c>
      <c r="CA9" s="19">
        <v>38537.575780126128</v>
      </c>
      <c r="CB9" s="19">
        <v>39363.82</v>
      </c>
      <c r="CC9" s="20">
        <f t="shared" si="36"/>
        <v>152775.32499435527</v>
      </c>
      <c r="CD9" s="19">
        <v>39126.019936745797</v>
      </c>
      <c r="CE9" s="19">
        <v>39063.989750215384</v>
      </c>
      <c r="CF9" s="19">
        <v>39415.71210734042</v>
      </c>
      <c r="CG9" s="19">
        <v>40200.65647625133</v>
      </c>
      <c r="CH9" s="20">
        <f t="shared" si="37"/>
        <v>157806.37827055296</v>
      </c>
      <c r="CI9" s="19">
        <v>36183.493719308797</v>
      </c>
      <c r="CJ9" s="19">
        <v>40051.870076679799</v>
      </c>
      <c r="CK9" s="19">
        <v>40522.243149545</v>
      </c>
      <c r="CL9" s="19">
        <v>41400.656476251301</v>
      </c>
      <c r="CM9" s="20">
        <f t="shared" si="38"/>
        <v>158158.26342178491</v>
      </c>
      <c r="CN9" s="19"/>
      <c r="CO9" s="19"/>
      <c r="CP9" s="19"/>
      <c r="CQ9" s="19"/>
      <c r="CR9" s="20">
        <f t="shared" si="39"/>
        <v>0</v>
      </c>
    </row>
    <row r="10" spans="1:96" s="9" customFormat="1" ht="15" x14ac:dyDescent="0.4">
      <c r="A10" s="18" t="s">
        <v>83</v>
      </c>
      <c r="B10" s="21">
        <v>9908.9218768803221</v>
      </c>
      <c r="C10" s="21">
        <v>10685.229893764319</v>
      </c>
      <c r="D10" s="21">
        <v>11804.865855179123</v>
      </c>
      <c r="E10" s="21">
        <v>12063.092649584714</v>
      </c>
      <c r="F10" s="20">
        <f t="shared" si="21"/>
        <v>44462.110275408479</v>
      </c>
      <c r="G10" s="21">
        <v>10867.313410618963</v>
      </c>
      <c r="H10" s="21">
        <v>11217.23678958112</v>
      </c>
      <c r="I10" s="21">
        <v>12849.051088677315</v>
      </c>
      <c r="J10" s="21">
        <v>13530.167113070702</v>
      </c>
      <c r="K10" s="20">
        <f t="shared" si="22"/>
        <v>48463.768401948102</v>
      </c>
      <c r="L10" s="21">
        <v>11704.097911320672</v>
      </c>
      <c r="M10" s="21">
        <v>12572.155208938388</v>
      </c>
      <c r="N10" s="21">
        <v>14166.119038314246</v>
      </c>
      <c r="O10" s="21">
        <v>14361.10615942292</v>
      </c>
      <c r="P10" s="20">
        <f t="shared" si="23"/>
        <v>52803.478317996225</v>
      </c>
      <c r="Q10" s="21">
        <v>12650.95654532048</v>
      </c>
      <c r="R10" s="21">
        <v>13884.387852421814</v>
      </c>
      <c r="S10" s="21">
        <v>16003.731358741536</v>
      </c>
      <c r="T10" s="21">
        <v>16902.06882618929</v>
      </c>
      <c r="U10" s="20">
        <f t="shared" si="24"/>
        <v>59441.144582673121</v>
      </c>
      <c r="V10" s="21">
        <v>14247.064128047396</v>
      </c>
      <c r="W10" s="21">
        <v>15848.318200299025</v>
      </c>
      <c r="X10" s="21">
        <v>18514.144175045923</v>
      </c>
      <c r="Y10" s="21">
        <v>19183.610468257553</v>
      </c>
      <c r="Z10" s="20">
        <f t="shared" si="25"/>
        <v>67793.136971649903</v>
      </c>
      <c r="AA10" s="21">
        <v>17543.724245401077</v>
      </c>
      <c r="AB10" s="21">
        <v>18249.567196606684</v>
      </c>
      <c r="AC10" s="21">
        <v>20002.397706969703</v>
      </c>
      <c r="AD10" s="21">
        <v>21283.094959827835</v>
      </c>
      <c r="AE10" s="20">
        <f t="shared" si="26"/>
        <v>77078.784108805296</v>
      </c>
      <c r="AF10" s="21">
        <v>21184.623817791431</v>
      </c>
      <c r="AG10" s="21">
        <v>21849.523362406577</v>
      </c>
      <c r="AH10" s="21">
        <v>22967.264435637462</v>
      </c>
      <c r="AI10" s="21">
        <v>24414.129093974727</v>
      </c>
      <c r="AJ10" s="20">
        <f t="shared" si="27"/>
        <v>90415.5407098102</v>
      </c>
      <c r="AK10" s="21">
        <v>23463.663189054503</v>
      </c>
      <c r="AL10" s="21">
        <v>24713.677797434153</v>
      </c>
      <c r="AM10" s="21">
        <v>26007.986085366068</v>
      </c>
      <c r="AN10" s="21">
        <v>27582.112928145281</v>
      </c>
      <c r="AO10" s="20">
        <f t="shared" si="28"/>
        <v>101767.44</v>
      </c>
      <c r="AP10" s="21">
        <v>26150.182003364054</v>
      </c>
      <c r="AQ10" s="21">
        <v>26697.311563638345</v>
      </c>
      <c r="AR10" s="21">
        <v>27313.483021127344</v>
      </c>
      <c r="AS10" s="21">
        <v>28633.193411870277</v>
      </c>
      <c r="AT10" s="20">
        <f t="shared" si="29"/>
        <v>108794.17000000001</v>
      </c>
      <c r="AU10" s="21">
        <v>28146.162540690217</v>
      </c>
      <c r="AV10" s="21">
        <v>30017.051220453905</v>
      </c>
      <c r="AW10" s="21">
        <v>30997.272288119977</v>
      </c>
      <c r="AX10" s="21">
        <v>31639.938490735916</v>
      </c>
      <c r="AY10" s="20">
        <f t="shared" si="30"/>
        <v>120800.42454000002</v>
      </c>
      <c r="AZ10" s="21">
        <v>29896.815385428967</v>
      </c>
      <c r="BA10" s="21">
        <v>31689.604088233249</v>
      </c>
      <c r="BB10" s="21">
        <v>33197.857562408237</v>
      </c>
      <c r="BC10" s="21">
        <v>34588.971963929573</v>
      </c>
      <c r="BD10" s="20">
        <f t="shared" si="31"/>
        <v>129373.24900000001</v>
      </c>
      <c r="BE10" s="21">
        <v>32788.719043165765</v>
      </c>
      <c r="BF10" s="21">
        <v>35065.378555433672</v>
      </c>
      <c r="BG10" s="21">
        <v>36992.862707536486</v>
      </c>
      <c r="BH10" s="21">
        <v>38466.899693863081</v>
      </c>
      <c r="BI10" s="20">
        <f t="shared" si="32"/>
        <v>143313.85999999903</v>
      </c>
      <c r="BJ10" s="21">
        <v>37173.162661545139</v>
      </c>
      <c r="BK10" s="21">
        <v>38917.059067638198</v>
      </c>
      <c r="BL10" s="21">
        <v>40813.865172398488</v>
      </c>
      <c r="BM10" s="21">
        <v>42647.720693230185</v>
      </c>
      <c r="BN10" s="20">
        <f t="shared" si="33"/>
        <v>159551.80759481201</v>
      </c>
      <c r="BO10" s="21">
        <v>37773.096883150596</v>
      </c>
      <c r="BP10" s="21">
        <v>40309.22523222374</v>
      </c>
      <c r="BQ10" s="21">
        <v>43288.233040938496</v>
      </c>
      <c r="BR10" s="21">
        <v>44001.414843687162</v>
      </c>
      <c r="BS10" s="20">
        <f t="shared" si="34"/>
        <v>165371.96999999997</v>
      </c>
      <c r="BT10" s="21">
        <v>43123.489502996214</v>
      </c>
      <c r="BU10" s="21">
        <v>43825.503785956833</v>
      </c>
      <c r="BV10" s="21">
        <v>46554.767861862842</v>
      </c>
      <c r="BW10" s="21">
        <v>46900.425564570076</v>
      </c>
      <c r="BX10" s="20">
        <f t="shared" si="35"/>
        <v>180404.18671538593</v>
      </c>
      <c r="BY10" s="21">
        <v>45337.794011403937</v>
      </c>
      <c r="BZ10" s="21">
        <v>46088.546139357</v>
      </c>
      <c r="CA10" s="21">
        <v>47769.227644605053</v>
      </c>
      <c r="CB10" s="21">
        <v>48634.02</v>
      </c>
      <c r="CC10" s="20">
        <f t="shared" si="36"/>
        <v>187829.58779536598</v>
      </c>
      <c r="CD10" s="21">
        <v>48773.815792950663</v>
      </c>
      <c r="CE10" s="21">
        <v>49292.780032163086</v>
      </c>
      <c r="CF10" s="21">
        <v>49787.563124941989</v>
      </c>
      <c r="CG10" s="21">
        <v>51565.827462593479</v>
      </c>
      <c r="CH10" s="20">
        <f t="shared" si="37"/>
        <v>199419.98641264922</v>
      </c>
      <c r="CI10" s="21">
        <v>51527.970164967599</v>
      </c>
      <c r="CJ10" s="21">
        <v>54316.879973909803</v>
      </c>
      <c r="CK10" s="21">
        <v>54688.766365568903</v>
      </c>
      <c r="CL10" s="21">
        <v>57090.827462593501</v>
      </c>
      <c r="CM10" s="20">
        <f t="shared" si="38"/>
        <v>217624.44396703981</v>
      </c>
      <c r="CN10" s="21"/>
      <c r="CO10" s="21"/>
      <c r="CP10" s="21"/>
      <c r="CQ10" s="21"/>
      <c r="CR10" s="20">
        <f t="shared" si="39"/>
        <v>0</v>
      </c>
    </row>
    <row r="11" spans="1:96" s="9" customFormat="1" ht="15" x14ac:dyDescent="0.4">
      <c r="A11" s="18" t="s">
        <v>84</v>
      </c>
      <c r="B11" s="19">
        <v>8009.4244952662903</v>
      </c>
      <c r="C11" s="19">
        <v>7213.8825669450716</v>
      </c>
      <c r="D11" s="19">
        <v>7788.9129069036835</v>
      </c>
      <c r="E11" s="19">
        <v>8406.3255873346516</v>
      </c>
      <c r="F11" s="20">
        <f t="shared" si="21"/>
        <v>31418.545556449695</v>
      </c>
      <c r="G11" s="19">
        <v>8458.1446404028975</v>
      </c>
      <c r="H11" s="19">
        <v>7525.5036227517257</v>
      </c>
      <c r="I11" s="19">
        <v>8281.7602174317799</v>
      </c>
      <c r="J11" s="19">
        <v>9298.2269239241868</v>
      </c>
      <c r="K11" s="20">
        <f t="shared" si="22"/>
        <v>33563.635404510591</v>
      </c>
      <c r="L11" s="19">
        <v>10633.357124294331</v>
      </c>
      <c r="M11" s="19">
        <v>10448.949515005097</v>
      </c>
      <c r="N11" s="19">
        <v>11204.259451473872</v>
      </c>
      <c r="O11" s="19">
        <v>13050.360942179337</v>
      </c>
      <c r="P11" s="20">
        <f t="shared" si="23"/>
        <v>45336.927032952641</v>
      </c>
      <c r="Q11" s="19">
        <v>12031.882912756133</v>
      </c>
      <c r="R11" s="19">
        <v>8821.3339827108612</v>
      </c>
      <c r="S11" s="19">
        <v>9379.8821028482816</v>
      </c>
      <c r="T11" s="19">
        <v>12872.780665676579</v>
      </c>
      <c r="U11" s="20">
        <f t="shared" si="24"/>
        <v>43105.879663991858</v>
      </c>
      <c r="V11" s="19">
        <v>11156.359901158808</v>
      </c>
      <c r="W11" s="19">
        <v>10522.666102376699</v>
      </c>
      <c r="X11" s="19">
        <v>12590.727057228625</v>
      </c>
      <c r="Y11" s="19">
        <v>14188.768504566049</v>
      </c>
      <c r="Z11" s="20">
        <f t="shared" si="25"/>
        <v>48458.521565330186</v>
      </c>
      <c r="AA11" s="19">
        <v>12588.775285546608</v>
      </c>
      <c r="AB11" s="19">
        <v>12718.133436647642</v>
      </c>
      <c r="AC11" s="19">
        <v>13806.234699747898</v>
      </c>
      <c r="AD11" s="19">
        <v>15665.009944296653</v>
      </c>
      <c r="AE11" s="20">
        <f t="shared" si="26"/>
        <v>54778.153366238803</v>
      </c>
      <c r="AF11" s="19">
        <v>14297.322064076003</v>
      </c>
      <c r="AG11" s="19">
        <v>14571.50902081885</v>
      </c>
      <c r="AH11" s="19">
        <v>15548.176300887222</v>
      </c>
      <c r="AI11" s="19">
        <v>17320.592774984532</v>
      </c>
      <c r="AJ11" s="20">
        <f t="shared" si="27"/>
        <v>61737.600160766611</v>
      </c>
      <c r="AK11" s="19">
        <v>16937.777299092159</v>
      </c>
      <c r="AL11" s="19">
        <v>17257.427076985918</v>
      </c>
      <c r="AM11" s="19">
        <v>18465.107775052358</v>
      </c>
      <c r="AN11" s="19">
        <v>20064.719848869583</v>
      </c>
      <c r="AO11" s="20">
        <f t="shared" si="28"/>
        <v>72725.032000000021</v>
      </c>
      <c r="AP11" s="19">
        <v>18906.482163743094</v>
      </c>
      <c r="AQ11" s="19">
        <v>19490.055329456249</v>
      </c>
      <c r="AR11" s="19">
        <v>20878.333370920951</v>
      </c>
      <c r="AS11" s="19">
        <v>22513.509135879714</v>
      </c>
      <c r="AT11" s="20">
        <f t="shared" si="29"/>
        <v>81788.38</v>
      </c>
      <c r="AU11" s="19">
        <v>21722.91399353652</v>
      </c>
      <c r="AV11" s="19">
        <v>22402.358464566838</v>
      </c>
      <c r="AW11" s="19">
        <v>23128.993463762134</v>
      </c>
      <c r="AX11" s="19">
        <v>24225.863953434524</v>
      </c>
      <c r="AY11" s="20">
        <f t="shared" si="30"/>
        <v>91480.129875300016</v>
      </c>
      <c r="AZ11" s="19">
        <v>23366.208825575846</v>
      </c>
      <c r="BA11" s="19">
        <v>24437.391327324767</v>
      </c>
      <c r="BB11" s="19">
        <v>25095.959844641704</v>
      </c>
      <c r="BC11" s="19">
        <v>26573.79600245769</v>
      </c>
      <c r="BD11" s="20">
        <f t="shared" si="31"/>
        <v>99473.356000000014</v>
      </c>
      <c r="BE11" s="19">
        <v>26036.353192286584</v>
      </c>
      <c r="BF11" s="19">
        <v>27150.372444707729</v>
      </c>
      <c r="BG11" s="19">
        <v>27833.141090419726</v>
      </c>
      <c r="BH11" s="19">
        <v>28820.298272586944</v>
      </c>
      <c r="BI11" s="20">
        <f t="shared" si="32"/>
        <v>109840.165000001</v>
      </c>
      <c r="BJ11" s="19">
        <v>27974.961143165994</v>
      </c>
      <c r="BK11" s="19">
        <v>24592.1985506032</v>
      </c>
      <c r="BL11" s="19">
        <v>26193.029627417429</v>
      </c>
      <c r="BM11" s="19">
        <v>27337.537617362377</v>
      </c>
      <c r="BN11" s="20">
        <f t="shared" si="33"/>
        <v>106097.72693854901</v>
      </c>
      <c r="BO11" s="19">
        <v>27509.846752300768</v>
      </c>
      <c r="BP11" s="19">
        <v>28690.78877099706</v>
      </c>
      <c r="BQ11" s="19">
        <v>29231.841681143964</v>
      </c>
      <c r="BR11" s="19">
        <v>31117.292795558213</v>
      </c>
      <c r="BS11" s="20">
        <f t="shared" si="34"/>
        <v>116549.77</v>
      </c>
      <c r="BT11" s="19">
        <v>30930.264081153746</v>
      </c>
      <c r="BU11" s="19">
        <v>33026.359042499818</v>
      </c>
      <c r="BV11" s="19">
        <v>33977.180749438929</v>
      </c>
      <c r="BW11" s="19">
        <v>34664.333228741503</v>
      </c>
      <c r="BX11" s="20">
        <f t="shared" si="35"/>
        <v>132598.137101834</v>
      </c>
      <c r="BY11" s="19">
        <v>33758.320053546238</v>
      </c>
      <c r="BZ11" s="19">
        <v>34031.534490681406</v>
      </c>
      <c r="CA11" s="19">
        <v>34333.256815147659</v>
      </c>
      <c r="CB11" s="19">
        <v>35114.21</v>
      </c>
      <c r="CC11" s="20">
        <f t="shared" si="36"/>
        <v>137237.32135937532</v>
      </c>
      <c r="CD11" s="19">
        <v>34717.382639863223</v>
      </c>
      <c r="CE11" s="19">
        <v>35165.881634804457</v>
      </c>
      <c r="CF11" s="19">
        <v>35540.863088359518</v>
      </c>
      <c r="CG11" s="19">
        <v>36309.261978804498</v>
      </c>
      <c r="CH11" s="20">
        <f t="shared" si="37"/>
        <v>141733.3893418317</v>
      </c>
      <c r="CI11" s="19">
        <v>35402.377790075603</v>
      </c>
      <c r="CJ11" s="19">
        <v>35824.713555082002</v>
      </c>
      <c r="CK11" s="19">
        <v>35852.1354570861</v>
      </c>
      <c r="CL11" s="19">
        <v>37509.261978804498</v>
      </c>
      <c r="CM11" s="20">
        <f t="shared" si="38"/>
        <v>144588.48878104822</v>
      </c>
      <c r="CN11" s="19"/>
      <c r="CO11" s="19"/>
      <c r="CP11" s="19"/>
      <c r="CQ11" s="19"/>
      <c r="CR11" s="20">
        <f t="shared" si="39"/>
        <v>0</v>
      </c>
    </row>
    <row r="12" spans="1:96" s="9" customFormat="1" ht="15" x14ac:dyDescent="0.4">
      <c r="A12" s="18" t="s">
        <v>85</v>
      </c>
      <c r="B12" s="21">
        <v>8217.6345584136889</v>
      </c>
      <c r="C12" s="21">
        <v>8749.308233592481</v>
      </c>
      <c r="D12" s="21">
        <v>9242.9253310156273</v>
      </c>
      <c r="E12" s="21">
        <v>10291.019521289394</v>
      </c>
      <c r="F12" s="20">
        <f t="shared" si="21"/>
        <v>36500.887644311195</v>
      </c>
      <c r="G12" s="21">
        <v>8633.9555939865077</v>
      </c>
      <c r="H12" s="21">
        <v>9279.8893731854168</v>
      </c>
      <c r="I12" s="21">
        <v>10283.803180494935</v>
      </c>
      <c r="J12" s="21">
        <v>11048.363135779242</v>
      </c>
      <c r="K12" s="20">
        <f t="shared" si="22"/>
        <v>39246.011283446103</v>
      </c>
      <c r="L12" s="21">
        <v>9674.7517884488188</v>
      </c>
      <c r="M12" s="21">
        <v>9848.5383272396248</v>
      </c>
      <c r="N12" s="21">
        <v>10449.923908617367</v>
      </c>
      <c r="O12" s="21">
        <v>11385.17266638108</v>
      </c>
      <c r="P12" s="20">
        <f t="shared" si="23"/>
        <v>41358.386690686893</v>
      </c>
      <c r="Q12" s="21">
        <v>8760.4354397921215</v>
      </c>
      <c r="R12" s="21">
        <v>10750.131375461109</v>
      </c>
      <c r="S12" s="21">
        <v>12324.097846050869</v>
      </c>
      <c r="T12" s="21">
        <v>14428.668475805542</v>
      </c>
      <c r="U12" s="20">
        <f t="shared" si="24"/>
        <v>46263.333137109643</v>
      </c>
      <c r="V12" s="21">
        <v>11465.399014323753</v>
      </c>
      <c r="W12" s="21">
        <v>12627.776906851619</v>
      </c>
      <c r="X12" s="21">
        <v>13928.708679282356</v>
      </c>
      <c r="Y12" s="21">
        <v>14868.519562883779</v>
      </c>
      <c r="Z12" s="20">
        <f t="shared" si="25"/>
        <v>52890.404163341504</v>
      </c>
      <c r="AA12" s="21">
        <v>14020.83147392466</v>
      </c>
      <c r="AB12" s="21">
        <v>14465.031612068202</v>
      </c>
      <c r="AC12" s="21">
        <v>16040.578470302411</v>
      </c>
      <c r="AD12" s="21">
        <v>17227.800685773625</v>
      </c>
      <c r="AE12" s="20">
        <f t="shared" si="26"/>
        <v>61754.242242068896</v>
      </c>
      <c r="AF12" s="21">
        <v>15516.403580554585</v>
      </c>
      <c r="AG12" s="21">
        <v>15895.221115168937</v>
      </c>
      <c r="AH12" s="21">
        <v>17490.958169978414</v>
      </c>
      <c r="AI12" s="21">
        <v>18797.983678043565</v>
      </c>
      <c r="AJ12" s="20">
        <f t="shared" si="27"/>
        <v>67700.566543745488</v>
      </c>
      <c r="AK12" s="21">
        <v>17438.892579817566</v>
      </c>
      <c r="AL12" s="21">
        <v>17848.553767112102</v>
      </c>
      <c r="AM12" s="21">
        <v>19168.332560493243</v>
      </c>
      <c r="AN12" s="21">
        <v>20411.221092577092</v>
      </c>
      <c r="AO12" s="20">
        <f t="shared" si="28"/>
        <v>74867</v>
      </c>
      <c r="AP12" s="21">
        <v>19834.50544914358</v>
      </c>
      <c r="AQ12" s="21">
        <v>20193.907924149578</v>
      </c>
      <c r="AR12" s="21">
        <v>20506.2145231676</v>
      </c>
      <c r="AS12" s="21">
        <v>21980.762103539131</v>
      </c>
      <c r="AT12" s="20">
        <f t="shared" si="29"/>
        <v>82515.389999999898</v>
      </c>
      <c r="AU12" s="21">
        <v>21765.338479719954</v>
      </c>
      <c r="AV12" s="21">
        <v>22278.820141134813</v>
      </c>
      <c r="AW12" s="21">
        <v>22910.069016190428</v>
      </c>
      <c r="AX12" s="21">
        <v>23296.363598486918</v>
      </c>
      <c r="AY12" s="20">
        <f t="shared" si="30"/>
        <v>90250.59123553212</v>
      </c>
      <c r="AZ12" s="21">
        <v>22975.227433754619</v>
      </c>
      <c r="BA12" s="21">
        <v>24158.844425250183</v>
      </c>
      <c r="BB12" s="21">
        <v>25621.289902645596</v>
      </c>
      <c r="BC12" s="21">
        <v>26502.359238349589</v>
      </c>
      <c r="BD12" s="20">
        <f t="shared" si="31"/>
        <v>99257.72099999999</v>
      </c>
      <c r="BE12" s="21">
        <v>26015.903966733127</v>
      </c>
      <c r="BF12" s="21">
        <v>26684.405176720709</v>
      </c>
      <c r="BG12" s="21">
        <v>28211.276232828743</v>
      </c>
      <c r="BH12" s="21">
        <v>28762.998623718158</v>
      </c>
      <c r="BI12" s="20">
        <f t="shared" si="32"/>
        <v>109674.58400000073</v>
      </c>
      <c r="BJ12" s="21">
        <v>26927.321163628632</v>
      </c>
      <c r="BK12" s="21">
        <v>25529.266533833113</v>
      </c>
      <c r="BL12" s="21">
        <v>24901.503747124087</v>
      </c>
      <c r="BM12" s="21">
        <v>25315.249121953177</v>
      </c>
      <c r="BN12" s="20">
        <f t="shared" si="33"/>
        <v>102673.340566539</v>
      </c>
      <c r="BO12" s="21">
        <v>25507.020293048216</v>
      </c>
      <c r="BP12" s="21">
        <v>28392.574272486298</v>
      </c>
      <c r="BQ12" s="21">
        <v>27081.057504238568</v>
      </c>
      <c r="BR12" s="21">
        <v>27710.01793022691</v>
      </c>
      <c r="BS12" s="20">
        <f t="shared" si="34"/>
        <v>108690.67</v>
      </c>
      <c r="BT12" s="21">
        <v>29242.756464154707</v>
      </c>
      <c r="BU12" s="21">
        <v>30955.700333947032</v>
      </c>
      <c r="BV12" s="21">
        <v>31379.225821862263</v>
      </c>
      <c r="BW12" s="21">
        <v>31930.444527894993</v>
      </c>
      <c r="BX12" s="20">
        <f t="shared" si="35"/>
        <v>123508.12714785899</v>
      </c>
      <c r="BY12" s="21">
        <v>31977.764591204108</v>
      </c>
      <c r="BZ12" s="21">
        <v>32738.849521689495</v>
      </c>
      <c r="CA12" s="21">
        <v>33443.137795118091</v>
      </c>
      <c r="CB12" s="21">
        <v>34108.67</v>
      </c>
      <c r="CC12" s="20">
        <f t="shared" si="36"/>
        <v>132268.42190801169</v>
      </c>
      <c r="CD12" s="21">
        <v>34154.72268377115</v>
      </c>
      <c r="CE12" s="21">
        <v>35092.5597868962</v>
      </c>
      <c r="CF12" s="21">
        <v>35921.510041444424</v>
      </c>
      <c r="CG12" s="21">
        <v>36913.143062584873</v>
      </c>
      <c r="CH12" s="20">
        <f t="shared" si="37"/>
        <v>142081.93557469663</v>
      </c>
      <c r="CI12" s="21">
        <v>36744.804769385402</v>
      </c>
      <c r="CJ12" s="21">
        <v>37163.338632650011</v>
      </c>
      <c r="CK12" s="21">
        <v>38433.864853145104</v>
      </c>
      <c r="CL12" s="21">
        <v>39043.143062584903</v>
      </c>
      <c r="CM12" s="20">
        <f t="shared" si="38"/>
        <v>151385.15131776541</v>
      </c>
      <c r="CN12" s="21"/>
      <c r="CO12" s="21"/>
      <c r="CP12" s="21"/>
      <c r="CQ12" s="21"/>
      <c r="CR12" s="20">
        <f t="shared" si="39"/>
        <v>0</v>
      </c>
    </row>
    <row r="13" spans="1:96" s="9" customFormat="1" ht="15" x14ac:dyDescent="0.4">
      <c r="A13" s="18" t="s">
        <v>86</v>
      </c>
      <c r="B13" s="19">
        <v>4580.9194956940119</v>
      </c>
      <c r="C13" s="19">
        <v>4428.3802168544808</v>
      </c>
      <c r="D13" s="19">
        <v>4550.6883032478281</v>
      </c>
      <c r="E13" s="19">
        <v>4640.4017988031073</v>
      </c>
      <c r="F13" s="20">
        <f t="shared" si="21"/>
        <v>18200.389814599428</v>
      </c>
      <c r="G13" s="19">
        <v>4880.1898398825824</v>
      </c>
      <c r="H13" s="19">
        <v>4634.345168342028</v>
      </c>
      <c r="I13" s="19">
        <v>4967.4443480518003</v>
      </c>
      <c r="J13" s="19">
        <v>5007.3316493834573</v>
      </c>
      <c r="K13" s="20">
        <f t="shared" si="22"/>
        <v>19489.311005659867</v>
      </c>
      <c r="L13" s="19">
        <v>5033.4283091789248</v>
      </c>
      <c r="M13" s="19">
        <v>4912.7171832439026</v>
      </c>
      <c r="N13" s="19">
        <v>5046.9237483028783</v>
      </c>
      <c r="O13" s="19">
        <v>5273.4909228790375</v>
      </c>
      <c r="P13" s="20">
        <f t="shared" si="23"/>
        <v>20266.560163604743</v>
      </c>
      <c r="Q13" s="19">
        <v>5721.5323835554045</v>
      </c>
      <c r="R13" s="19">
        <v>5735.9029682034852</v>
      </c>
      <c r="S13" s="19">
        <v>6076.1468408343262</v>
      </c>
      <c r="T13" s="19">
        <v>6318.1748502877144</v>
      </c>
      <c r="U13" s="20">
        <f t="shared" si="24"/>
        <v>23851.757042880934</v>
      </c>
      <c r="V13" s="19">
        <v>6691.8222071246864</v>
      </c>
      <c r="W13" s="19">
        <v>6345.9284733920986</v>
      </c>
      <c r="X13" s="19">
        <v>6995.9342458990395</v>
      </c>
      <c r="Y13" s="19">
        <v>7171.5849101817921</v>
      </c>
      <c r="Z13" s="20">
        <f t="shared" si="25"/>
        <v>27205.269836597614</v>
      </c>
      <c r="AA13" s="19">
        <v>7183.8638441862458</v>
      </c>
      <c r="AB13" s="19">
        <v>6958.7300614598498</v>
      </c>
      <c r="AC13" s="19">
        <v>7466.7470465284032</v>
      </c>
      <c r="AD13" s="19">
        <v>8120.3760722659426</v>
      </c>
      <c r="AE13" s="20">
        <f t="shared" si="26"/>
        <v>29729.717024440441</v>
      </c>
      <c r="AF13" s="19">
        <v>8098.4133813339831</v>
      </c>
      <c r="AG13" s="19">
        <v>7976.5239454780831</v>
      </c>
      <c r="AH13" s="19">
        <v>8381.5712886721176</v>
      </c>
      <c r="AI13" s="19">
        <v>9183.1071690959161</v>
      </c>
      <c r="AJ13" s="20">
        <f t="shared" si="27"/>
        <v>33639.615784580099</v>
      </c>
      <c r="AK13" s="19">
        <v>8671.9864415923948</v>
      </c>
      <c r="AL13" s="19">
        <v>9045.2162752319146</v>
      </c>
      <c r="AM13" s="19">
        <v>9431.2146617020171</v>
      </c>
      <c r="AN13" s="19">
        <v>10093.862621473672</v>
      </c>
      <c r="AO13" s="20">
        <f t="shared" si="28"/>
        <v>37242.28</v>
      </c>
      <c r="AP13" s="19">
        <v>10035.459120181657</v>
      </c>
      <c r="AQ13" s="19">
        <v>10396.989114586422</v>
      </c>
      <c r="AR13" s="19">
        <v>10800.950963408799</v>
      </c>
      <c r="AS13" s="19">
        <v>11416.954801823125</v>
      </c>
      <c r="AT13" s="20">
        <f t="shared" si="29"/>
        <v>42650.354000000007</v>
      </c>
      <c r="AU13" s="19">
        <v>11215.496882733853</v>
      </c>
      <c r="AV13" s="19">
        <v>11720.937897299278</v>
      </c>
      <c r="AW13" s="19">
        <v>12117.44673106295</v>
      </c>
      <c r="AX13" s="19">
        <v>12536.763854233915</v>
      </c>
      <c r="AY13" s="20">
        <f t="shared" si="30"/>
        <v>47590.645365329998</v>
      </c>
      <c r="AZ13" s="19">
        <v>12020.23097640917</v>
      </c>
      <c r="BA13" s="19">
        <v>12565.847033767996</v>
      </c>
      <c r="BB13" s="19">
        <v>12977.860181800837</v>
      </c>
      <c r="BC13" s="19">
        <v>13349.428508021998</v>
      </c>
      <c r="BD13" s="20">
        <f t="shared" si="31"/>
        <v>50913.366700000006</v>
      </c>
      <c r="BE13" s="19">
        <v>12971.35853232822</v>
      </c>
      <c r="BF13" s="19">
        <v>13137.061199520514</v>
      </c>
      <c r="BG13" s="19">
        <v>13325.313424475211</v>
      </c>
      <c r="BH13" s="19">
        <v>13550.684843676117</v>
      </c>
      <c r="BI13" s="20">
        <f t="shared" si="32"/>
        <v>52984.418000000063</v>
      </c>
      <c r="BJ13" s="19">
        <v>13396.181805078093</v>
      </c>
      <c r="BK13" s="19">
        <v>13091.314295603688</v>
      </c>
      <c r="BL13" s="19">
        <v>13451.485232215666</v>
      </c>
      <c r="BM13" s="19">
        <v>13813.088788133657</v>
      </c>
      <c r="BN13" s="20">
        <f t="shared" si="33"/>
        <v>53752.070121031109</v>
      </c>
      <c r="BO13" s="19">
        <v>13987.866410771956</v>
      </c>
      <c r="BP13" s="19">
        <v>14286.036762164011</v>
      </c>
      <c r="BQ13" s="19">
        <v>14047.347758412618</v>
      </c>
      <c r="BR13" s="19">
        <v>14179.629068651409</v>
      </c>
      <c r="BS13" s="20">
        <f t="shared" si="34"/>
        <v>56500.88</v>
      </c>
      <c r="BT13" s="19">
        <v>14498.936385713974</v>
      </c>
      <c r="BU13" s="19">
        <v>15529.271122998021</v>
      </c>
      <c r="BV13" s="19">
        <v>15859.231178211239</v>
      </c>
      <c r="BW13" s="19">
        <v>16013.051419378469</v>
      </c>
      <c r="BX13" s="20">
        <f t="shared" si="35"/>
        <v>61900.490106301702</v>
      </c>
      <c r="BY13" s="19">
        <v>16242.227276982443</v>
      </c>
      <c r="BZ13" s="19">
        <v>16703.951247557939</v>
      </c>
      <c r="CA13" s="19">
        <v>16892.593377716374</v>
      </c>
      <c r="CB13" s="19">
        <v>17107.939999999999</v>
      </c>
      <c r="CC13" s="20">
        <f t="shared" si="36"/>
        <v>66946.711902256749</v>
      </c>
      <c r="CD13" s="19">
        <v>17274.144745358466</v>
      </c>
      <c r="CE13" s="19">
        <v>17542.502769290546</v>
      </c>
      <c r="CF13" s="19">
        <v>18060.608033160279</v>
      </c>
      <c r="CG13" s="19">
        <v>18792.936733787679</v>
      </c>
      <c r="CH13" s="20">
        <f t="shared" si="37"/>
        <v>71670.192281596974</v>
      </c>
      <c r="CI13" s="19">
        <v>18741.283544846901</v>
      </c>
      <c r="CJ13" s="19">
        <v>19487.2497361354</v>
      </c>
      <c r="CK13" s="19">
        <v>19433.395929226099</v>
      </c>
      <c r="CL13" s="19">
        <v>20345.936733787701</v>
      </c>
      <c r="CM13" s="20">
        <f t="shared" si="38"/>
        <v>78007.865943996105</v>
      </c>
      <c r="CN13" s="19"/>
      <c r="CO13" s="19"/>
      <c r="CP13" s="19"/>
      <c r="CQ13" s="19"/>
      <c r="CR13" s="20">
        <f t="shared" si="39"/>
        <v>0</v>
      </c>
    </row>
    <row r="14" spans="1:96" s="9" customFormat="1" ht="15" x14ac:dyDescent="0.4">
      <c r="A14" s="18"/>
      <c r="B14" s="22"/>
      <c r="C14" s="22"/>
      <c r="D14" s="23"/>
      <c r="E14" s="22"/>
      <c r="F14" s="24"/>
      <c r="G14" s="22"/>
      <c r="H14" s="22"/>
      <c r="I14" s="23"/>
      <c r="J14" s="22"/>
      <c r="K14" s="24"/>
      <c r="L14" s="22"/>
      <c r="M14" s="22"/>
      <c r="N14" s="23"/>
      <c r="O14" s="22"/>
      <c r="P14" s="24"/>
      <c r="Q14" s="22"/>
      <c r="R14" s="22"/>
      <c r="S14" s="23"/>
      <c r="T14" s="22"/>
      <c r="U14" s="24"/>
      <c r="V14" s="22"/>
      <c r="W14" s="22"/>
      <c r="X14" s="23"/>
      <c r="Y14" s="22"/>
      <c r="Z14" s="24"/>
      <c r="AA14" s="22"/>
      <c r="AB14" s="22"/>
      <c r="AC14" s="23"/>
      <c r="AD14" s="22"/>
      <c r="AE14" s="24"/>
      <c r="AF14" s="22"/>
      <c r="AG14" s="22"/>
      <c r="AH14" s="23"/>
      <c r="AI14" s="22"/>
      <c r="AJ14" s="24"/>
      <c r="AK14" s="22"/>
      <c r="AL14" s="22"/>
      <c r="AM14" s="23"/>
      <c r="AN14" s="22"/>
      <c r="AO14" s="24"/>
      <c r="AP14" s="22"/>
      <c r="AQ14" s="22"/>
      <c r="AR14" s="23"/>
      <c r="AS14" s="22"/>
      <c r="AT14" s="24"/>
      <c r="AU14" s="22"/>
      <c r="AV14" s="22"/>
      <c r="AW14" s="23"/>
      <c r="AX14" s="22"/>
      <c r="AY14" s="24"/>
      <c r="AZ14" s="22"/>
      <c r="BA14" s="22"/>
      <c r="BB14" s="23"/>
      <c r="BC14" s="22"/>
      <c r="BD14" s="24"/>
      <c r="BE14" s="22"/>
      <c r="BF14" s="22"/>
      <c r="BG14" s="23"/>
      <c r="BH14" s="22"/>
      <c r="BI14" s="24"/>
      <c r="BJ14" s="22"/>
      <c r="BK14" s="22"/>
      <c r="BL14" s="23"/>
      <c r="BM14" s="22"/>
      <c r="BN14" s="24"/>
      <c r="BO14" s="22"/>
      <c r="BP14" s="22"/>
      <c r="BQ14" s="23"/>
      <c r="BR14" s="22"/>
      <c r="BS14" s="24"/>
      <c r="BT14" s="22"/>
      <c r="BU14" s="22"/>
      <c r="BV14" s="23"/>
      <c r="BW14" s="22"/>
      <c r="BX14" s="24"/>
      <c r="BY14" s="22"/>
      <c r="BZ14" s="22"/>
      <c r="CA14" s="23"/>
      <c r="CB14" s="22"/>
      <c r="CC14" s="24"/>
      <c r="CD14" s="22"/>
      <c r="CE14" s="22"/>
      <c r="CF14" s="23"/>
      <c r="CG14" s="22"/>
      <c r="CH14" s="24"/>
      <c r="CI14" s="22"/>
      <c r="CJ14" s="22"/>
      <c r="CK14" s="23"/>
      <c r="CL14" s="22"/>
      <c r="CM14" s="24"/>
      <c r="CN14" s="22"/>
      <c r="CO14" s="22"/>
      <c r="CP14" s="23"/>
      <c r="CQ14" s="22"/>
      <c r="CR14" s="24"/>
    </row>
    <row r="15" spans="1:96" s="17" customFormat="1" ht="15" x14ac:dyDescent="0.4">
      <c r="A15" s="15" t="s">
        <v>87</v>
      </c>
      <c r="B15" s="16">
        <v>6373.3522802673397</v>
      </c>
      <c r="C15" s="16">
        <v>7272.2389871049972</v>
      </c>
      <c r="D15" s="16">
        <v>8834.9516351137881</v>
      </c>
      <c r="E15" s="16">
        <v>9503.2630726394746</v>
      </c>
      <c r="F15" s="16">
        <f>SUM(B15:E15)</f>
        <v>31983.805975125597</v>
      </c>
      <c r="G15" s="16">
        <v>8619.2288595659629</v>
      </c>
      <c r="H15" s="16">
        <v>9368.7987055400608</v>
      </c>
      <c r="I15" s="16">
        <v>8414.3245730930194</v>
      </c>
      <c r="J15" s="16">
        <v>9768.9906222381614</v>
      </c>
      <c r="K15" s="16">
        <f>SUM(G15:J15)</f>
        <v>36171.342760437205</v>
      </c>
      <c r="L15" s="16">
        <v>10003.555096316835</v>
      </c>
      <c r="M15" s="16">
        <v>10135.559616238619</v>
      </c>
      <c r="N15" s="16">
        <v>10483.545768530275</v>
      </c>
      <c r="O15" s="16">
        <v>10644.819334540187</v>
      </c>
      <c r="P15" s="16">
        <f>SUM(L15:O15)</f>
        <v>41267.47981562592</v>
      </c>
      <c r="Q15" s="16">
        <v>10666.715792472105</v>
      </c>
      <c r="R15" s="16">
        <v>11146.121799745324</v>
      </c>
      <c r="S15" s="16">
        <v>11448.241774180602</v>
      </c>
      <c r="T15" s="16">
        <v>11763.578765538665</v>
      </c>
      <c r="U15" s="16">
        <f>SUM(Q15:T15)</f>
        <v>45024.658131936696</v>
      </c>
      <c r="V15" s="16">
        <v>11861.520426195153</v>
      </c>
      <c r="W15" s="16">
        <v>12218.837362151929</v>
      </c>
      <c r="X15" s="16">
        <v>12523.433986284674</v>
      </c>
      <c r="Y15" s="16">
        <v>12812.903151197868</v>
      </c>
      <c r="Z15" s="16">
        <f>SUM(V15:Y15)</f>
        <v>49416.694925829623</v>
      </c>
      <c r="AA15" s="16">
        <v>13602.01462397296</v>
      </c>
      <c r="AB15" s="16">
        <v>13565.353606181476</v>
      </c>
      <c r="AC15" s="16">
        <v>13891.51589051629</v>
      </c>
      <c r="AD15" s="16">
        <v>14062.980454638115</v>
      </c>
      <c r="AE15" s="16">
        <f>SUM(AA15:AD15)</f>
        <v>55121.864575308842</v>
      </c>
      <c r="AF15" s="16">
        <v>15127.513347194239</v>
      </c>
      <c r="AG15" s="16">
        <v>14990.110536015776</v>
      </c>
      <c r="AH15" s="16">
        <v>15385.104151655163</v>
      </c>
      <c r="AI15" s="16">
        <v>16036.003572251331</v>
      </c>
      <c r="AJ15" s="16">
        <f>SUM(AF15:AI15)</f>
        <v>61538.731607116511</v>
      </c>
      <c r="AK15" s="16">
        <v>15903.421971932949</v>
      </c>
      <c r="AL15" s="16">
        <v>16527.251061201918</v>
      </c>
      <c r="AM15" s="16">
        <v>17255.686539038175</v>
      </c>
      <c r="AN15" s="16">
        <v>19056.72042782696</v>
      </c>
      <c r="AO15" s="16">
        <f>SUM(AK15:AN15)</f>
        <v>68743.08</v>
      </c>
      <c r="AP15" s="16">
        <v>17528.837261727844</v>
      </c>
      <c r="AQ15" s="16">
        <v>18313.91539321834</v>
      </c>
      <c r="AR15" s="16">
        <v>19509.65233325179</v>
      </c>
      <c r="AS15" s="16">
        <v>21063.845011802125</v>
      </c>
      <c r="AT15" s="16">
        <f>SUM(AP15:AS15)</f>
        <v>76416.250000000102</v>
      </c>
      <c r="AU15" s="16">
        <v>20236.44685218321</v>
      </c>
      <c r="AV15" s="16">
        <v>20723.977095795319</v>
      </c>
      <c r="AW15" s="16">
        <v>21447.868111936572</v>
      </c>
      <c r="AX15" s="16">
        <v>22492.140503824907</v>
      </c>
      <c r="AY15" s="16">
        <f>SUM(AU15:AX15)</f>
        <v>84900.432563740003</v>
      </c>
      <c r="AZ15" s="16">
        <v>22497.235284866845</v>
      </c>
      <c r="BA15" s="16">
        <v>23768.911246413652</v>
      </c>
      <c r="BB15" s="16">
        <v>24305.088269936165</v>
      </c>
      <c r="BC15" s="16">
        <v>24777.146198783328</v>
      </c>
      <c r="BD15" s="16">
        <f>SUM(AZ15:BC15)</f>
        <v>95348.380999999994</v>
      </c>
      <c r="BE15" s="16">
        <v>25431.49561225027</v>
      </c>
      <c r="BF15" s="16">
        <v>26253.802108463937</v>
      </c>
      <c r="BG15" s="16">
        <v>27593.791954488624</v>
      </c>
      <c r="BH15" s="16">
        <v>29036.138324796168</v>
      </c>
      <c r="BI15" s="16">
        <f>SUM(BE15:BH15)</f>
        <v>108315.227999999</v>
      </c>
      <c r="BJ15" s="16">
        <v>29230.24905242776</v>
      </c>
      <c r="BK15" s="16">
        <v>27896.922418295424</v>
      </c>
      <c r="BL15" s="16">
        <v>28369.280931973204</v>
      </c>
      <c r="BM15" s="16">
        <v>29301.975597303612</v>
      </c>
      <c r="BN15" s="16">
        <f>SUM(BJ15:BM15)</f>
        <v>114798.428</v>
      </c>
      <c r="BO15" s="16">
        <v>29324.240447472872</v>
      </c>
      <c r="BP15" s="16">
        <v>29614.00681607646</v>
      </c>
      <c r="BQ15" s="16">
        <v>29397.644041586856</v>
      </c>
      <c r="BR15" s="16">
        <v>31254.048694863817</v>
      </c>
      <c r="BS15" s="16">
        <f>SUM(BO15:BR15)</f>
        <v>119589.94</v>
      </c>
      <c r="BT15" s="16">
        <v>31725.684567063341</v>
      </c>
      <c r="BU15" s="16">
        <v>32898.566976291426</v>
      </c>
      <c r="BV15" s="16">
        <v>33357.841668330715</v>
      </c>
      <c r="BW15" s="16">
        <v>35070.404941530534</v>
      </c>
      <c r="BX15" s="16">
        <f>SUM(BT15:BW15)</f>
        <v>133052.49815321603</v>
      </c>
      <c r="BY15" s="16">
        <v>34889.173386183073</v>
      </c>
      <c r="BZ15" s="16">
        <v>36046.872328505451</v>
      </c>
      <c r="CA15" s="16">
        <v>36744.991052630692</v>
      </c>
      <c r="CB15" s="16">
        <v>39222.870000000003</v>
      </c>
      <c r="CC15" s="16">
        <f>SUM(BY15:CB15)</f>
        <v>146903.90676731922</v>
      </c>
      <c r="CD15" s="16">
        <v>43624.112902184919</v>
      </c>
      <c r="CE15" s="16">
        <v>40585.044494875838</v>
      </c>
      <c r="CF15" s="16">
        <v>41898.517938387158</v>
      </c>
      <c r="CG15" s="16">
        <v>46052.416675608169</v>
      </c>
      <c r="CH15" s="16">
        <f>SUM(CD15:CG15)</f>
        <v>172160.09201105608</v>
      </c>
      <c r="CI15" s="16">
        <v>47150.248715106703</v>
      </c>
      <c r="CJ15" s="16">
        <v>45083.303403980048</v>
      </c>
      <c r="CK15" s="16">
        <v>44563.859468105999</v>
      </c>
      <c r="CL15" s="16">
        <v>46852.416675608198</v>
      </c>
      <c r="CM15" s="16">
        <f>SUM(CI15:CL15)</f>
        <v>183649.82826280096</v>
      </c>
      <c r="CN15" s="16"/>
      <c r="CO15" s="16"/>
      <c r="CP15" s="16"/>
      <c r="CQ15" s="16"/>
      <c r="CR15" s="16">
        <f>SUM(CN15:CQ15)</f>
        <v>0</v>
      </c>
    </row>
    <row r="16" spans="1:96" s="9" customFormat="1" ht="15" x14ac:dyDescent="0.4">
      <c r="A16" s="25"/>
      <c r="B16" s="22"/>
      <c r="C16" s="22"/>
      <c r="D16" s="22"/>
      <c r="E16" s="22"/>
      <c r="F16" s="24"/>
      <c r="G16" s="22"/>
      <c r="H16" s="22"/>
      <c r="I16" s="22"/>
      <c r="J16" s="22"/>
      <c r="K16" s="24"/>
      <c r="L16" s="22"/>
      <c r="M16" s="22"/>
      <c r="N16" s="22"/>
      <c r="O16" s="22"/>
      <c r="P16" s="24"/>
      <c r="Q16" s="22"/>
      <c r="R16" s="22"/>
      <c r="S16" s="22"/>
      <c r="T16" s="22"/>
      <c r="U16" s="24"/>
      <c r="V16" s="22"/>
      <c r="W16" s="22"/>
      <c r="X16" s="22"/>
      <c r="Y16" s="22"/>
      <c r="Z16" s="24"/>
      <c r="AA16" s="22"/>
      <c r="AB16" s="22"/>
      <c r="AC16" s="22"/>
      <c r="AD16" s="22"/>
      <c r="AE16" s="24"/>
      <c r="AF16" s="22"/>
      <c r="AG16" s="22"/>
      <c r="AH16" s="22"/>
      <c r="AI16" s="22"/>
      <c r="AJ16" s="24"/>
      <c r="AK16" s="22"/>
      <c r="AL16" s="22"/>
      <c r="AM16" s="22"/>
      <c r="AN16" s="22"/>
      <c r="AO16" s="24"/>
      <c r="AP16" s="22"/>
      <c r="AQ16" s="22"/>
      <c r="AR16" s="22"/>
      <c r="AS16" s="22"/>
      <c r="AT16" s="24"/>
      <c r="AU16" s="22"/>
      <c r="AV16" s="22"/>
      <c r="AW16" s="22"/>
      <c r="AX16" s="22"/>
      <c r="AY16" s="24"/>
      <c r="AZ16" s="22"/>
      <c r="BA16" s="22"/>
      <c r="BB16" s="22"/>
      <c r="BC16" s="22"/>
      <c r="BD16" s="24"/>
      <c r="BE16" s="22"/>
      <c r="BF16" s="22"/>
      <c r="BG16" s="22"/>
      <c r="BH16" s="22"/>
      <c r="BI16" s="24"/>
      <c r="BJ16" s="22"/>
      <c r="BK16" s="22"/>
      <c r="BL16" s="22"/>
      <c r="BM16" s="22"/>
      <c r="BN16" s="24"/>
      <c r="BO16" s="22"/>
      <c r="BP16" s="22"/>
      <c r="BQ16" s="22"/>
      <c r="BR16" s="22"/>
      <c r="BS16" s="24"/>
      <c r="BT16" s="22"/>
      <c r="BU16" s="22"/>
      <c r="BV16" s="22"/>
      <c r="BW16" s="22"/>
      <c r="BX16" s="24"/>
      <c r="BY16" s="22"/>
      <c r="BZ16" s="22"/>
      <c r="CA16" s="22"/>
      <c r="CB16" s="22"/>
      <c r="CC16" s="24"/>
      <c r="CD16" s="22"/>
      <c r="CE16" s="22"/>
      <c r="CF16" s="22"/>
      <c r="CG16" s="22"/>
      <c r="CH16" s="24"/>
      <c r="CI16" s="22"/>
      <c r="CJ16" s="22"/>
      <c r="CK16" s="22"/>
      <c r="CL16" s="22"/>
      <c r="CM16" s="24"/>
      <c r="CN16" s="22"/>
      <c r="CO16" s="22"/>
      <c r="CP16" s="22"/>
      <c r="CQ16" s="22"/>
      <c r="CR16" s="24"/>
    </row>
    <row r="17" spans="1:96" s="17" customFormat="1" ht="15" x14ac:dyDescent="0.4">
      <c r="A17" s="15" t="s">
        <v>88</v>
      </c>
      <c r="B17" s="16">
        <v>79702.146371183757</v>
      </c>
      <c r="C17" s="16">
        <v>97096.926040586302</v>
      </c>
      <c r="D17" s="16">
        <v>104085.05425503016</v>
      </c>
      <c r="E17" s="16">
        <v>110280.17637135985</v>
      </c>
      <c r="F17" s="16">
        <f>SUM(B17:E17)</f>
        <v>391164.30303816008</v>
      </c>
      <c r="G17" s="16">
        <v>107316.91190088533</v>
      </c>
      <c r="H17" s="16">
        <v>124794.71374691029</v>
      </c>
      <c r="I17" s="16">
        <v>129067.35521260388</v>
      </c>
      <c r="J17" s="16">
        <v>149343.9907682304</v>
      </c>
      <c r="K17" s="16">
        <f>SUM(G17:J17)</f>
        <v>510522.97162862989</v>
      </c>
      <c r="L17" s="16">
        <v>118820.59826934322</v>
      </c>
      <c r="M17" s="16">
        <v>134070.67478585968</v>
      </c>
      <c r="N17" s="16">
        <v>143879.98378224892</v>
      </c>
      <c r="O17" s="16">
        <v>169003.97537070015</v>
      </c>
      <c r="P17" s="16">
        <f>SUM(L17:O17)</f>
        <v>565775.23220815195</v>
      </c>
      <c r="Q17" s="16">
        <v>146993.05647181493</v>
      </c>
      <c r="R17" s="16">
        <v>176600.2794143192</v>
      </c>
      <c r="S17" s="16">
        <v>202916.91612386602</v>
      </c>
      <c r="T17" s="16">
        <v>212556.08839493099</v>
      </c>
      <c r="U17" s="16">
        <f>SUM(Q17:T17)</f>
        <v>739066.34040493122</v>
      </c>
      <c r="V17" s="16">
        <v>160714.44996811458</v>
      </c>
      <c r="W17" s="16">
        <v>202996.62061109673</v>
      </c>
      <c r="X17" s="16">
        <v>208136.67574111914</v>
      </c>
      <c r="Y17" s="16">
        <v>235412.66254857005</v>
      </c>
      <c r="Z17" s="16">
        <f>SUM(V17:Y17)</f>
        <v>807260.40886890062</v>
      </c>
      <c r="AA17" s="16">
        <v>178884.91770869854</v>
      </c>
      <c r="AB17" s="16">
        <v>217923.20016126285</v>
      </c>
      <c r="AC17" s="16">
        <v>235598.61336659841</v>
      </c>
      <c r="AD17" s="16">
        <v>256437.74586035308</v>
      </c>
      <c r="AE17" s="16">
        <f>SUM(AA17:AD17)</f>
        <v>888844.47709691292</v>
      </c>
      <c r="AF17" s="16">
        <v>205849.30463768184</v>
      </c>
      <c r="AG17" s="16">
        <v>235350.75609704811</v>
      </c>
      <c r="AH17" s="16">
        <v>258784.15156946843</v>
      </c>
      <c r="AI17" s="16">
        <v>286630.68362259172</v>
      </c>
      <c r="AJ17" s="16">
        <f>SUM(AF17:AI17)</f>
        <v>986614.89592679008</v>
      </c>
      <c r="AK17" s="16">
        <v>237140.02404687455</v>
      </c>
      <c r="AL17" s="16">
        <v>261054.74683223691</v>
      </c>
      <c r="AM17" s="16">
        <v>284732.95054968272</v>
      </c>
      <c r="AN17" s="16">
        <v>318076.39857120591</v>
      </c>
      <c r="AO17" s="16">
        <f>SUM(AK17:AN17)</f>
        <v>1101004.1200000001</v>
      </c>
      <c r="AP17" s="16">
        <v>264045.45044055267</v>
      </c>
      <c r="AQ17" s="16">
        <v>286296.79585603584</v>
      </c>
      <c r="AR17" s="16">
        <v>310093.93576893606</v>
      </c>
      <c r="AS17" s="16">
        <v>343150.00793447538</v>
      </c>
      <c r="AT17" s="16">
        <f>SUM(AP17:AS17)</f>
        <v>1203586.19</v>
      </c>
      <c r="AU17" s="16">
        <v>284907.54080325988</v>
      </c>
      <c r="AV17" s="16">
        <v>303860.80875009677</v>
      </c>
      <c r="AW17" s="16">
        <v>331483.11580834456</v>
      </c>
      <c r="AX17" s="16">
        <v>356198.77695244906</v>
      </c>
      <c r="AY17" s="16">
        <f>SUM(AU17:AX17)</f>
        <v>1276450.2423141503</v>
      </c>
      <c r="AZ17" s="16">
        <v>290490.4892348377</v>
      </c>
      <c r="BA17" s="16">
        <v>311645.93058970646</v>
      </c>
      <c r="BB17" s="16">
        <v>340944.20548754802</v>
      </c>
      <c r="BC17" s="16">
        <v>366629.69468790788</v>
      </c>
      <c r="BD17" s="16">
        <f>SUM(AZ17:BC17)</f>
        <v>1309710.32</v>
      </c>
      <c r="BE17" s="16">
        <v>303929.51662695577</v>
      </c>
      <c r="BF17" s="16">
        <v>342979.64320432662</v>
      </c>
      <c r="BG17" s="16">
        <v>389969.26315920759</v>
      </c>
      <c r="BH17" s="16">
        <v>425315.32700949983</v>
      </c>
      <c r="BI17" s="16">
        <f>SUM(BE17:BH17)</f>
        <v>1462193.7499999898</v>
      </c>
      <c r="BJ17" s="16">
        <v>216551.57604047286</v>
      </c>
      <c r="BK17" s="16">
        <v>261918.56305308983</v>
      </c>
      <c r="BL17" s="16">
        <v>282009.84380708577</v>
      </c>
      <c r="BM17" s="16">
        <v>344004.51405478147</v>
      </c>
      <c r="BN17" s="16">
        <f>SUM(BJ17:BM17)</f>
        <v>1104484.4969554299</v>
      </c>
      <c r="BO17" s="16">
        <v>159580.07292413732</v>
      </c>
      <c r="BP17" s="16">
        <v>317558.20318485319</v>
      </c>
      <c r="BQ17" s="16">
        <v>252768.00851721916</v>
      </c>
      <c r="BR17" s="16">
        <v>426179.48537379032</v>
      </c>
      <c r="BS17" s="16">
        <f>SUM(BO17:BR17)</f>
        <v>1156085.77</v>
      </c>
      <c r="BT17" s="16">
        <v>168849.25552027728</v>
      </c>
      <c r="BU17" s="16">
        <v>237641.34499808904</v>
      </c>
      <c r="BV17" s="16">
        <v>294510.35683543992</v>
      </c>
      <c r="BW17" s="16">
        <v>407259.84305597353</v>
      </c>
      <c r="BX17" s="16">
        <f>SUM(BT17:BW17)</f>
        <v>1108260.8004097799</v>
      </c>
      <c r="BY17" s="16">
        <v>171659.06279688401</v>
      </c>
      <c r="BZ17" s="16">
        <v>286703.81048368802</v>
      </c>
      <c r="CA17" s="16">
        <v>268880.47816355899</v>
      </c>
      <c r="CB17" s="16">
        <v>396536.06</v>
      </c>
      <c r="CC17" s="16">
        <f>SUM(BY17:CB17)</f>
        <v>1123779.4114441311</v>
      </c>
      <c r="CD17" s="16">
        <v>189973.45092803301</v>
      </c>
      <c r="CE17" s="16">
        <v>296050.61003543902</v>
      </c>
      <c r="CF17" s="16">
        <v>276051.269967111</v>
      </c>
      <c r="CG17" s="16">
        <v>407610.76987219299</v>
      </c>
      <c r="CH17" s="16">
        <f>SUM(CD17:CG17)</f>
        <v>1169686.1008027759</v>
      </c>
      <c r="CI17" s="16">
        <v>212651.76745183201</v>
      </c>
      <c r="CJ17" s="16">
        <v>263398.99034058698</v>
      </c>
      <c r="CK17" s="16">
        <v>267424.40168673702</v>
      </c>
      <c r="CL17" s="16">
        <v>335510.76987219299</v>
      </c>
      <c r="CM17" s="16">
        <f>SUM(CI17:CL17)</f>
        <v>1078985.9293513489</v>
      </c>
      <c r="CN17" s="16"/>
      <c r="CO17" s="16"/>
      <c r="CP17" s="16"/>
      <c r="CQ17" s="16"/>
      <c r="CR17" s="16">
        <f>SUM(CN17:CQ17)</f>
        <v>0</v>
      </c>
    </row>
    <row r="18" spans="1:96" s="9" customFormat="1" ht="15" x14ac:dyDescent="0.4">
      <c r="A18" s="25"/>
      <c r="B18" s="22"/>
      <c r="C18" s="22"/>
      <c r="D18" s="22"/>
      <c r="E18" s="22"/>
      <c r="F18" s="24"/>
      <c r="G18" s="22"/>
      <c r="H18" s="22"/>
      <c r="I18" s="22"/>
      <c r="J18" s="22"/>
      <c r="K18" s="24"/>
      <c r="L18" s="22"/>
      <c r="M18" s="22"/>
      <c r="N18" s="22"/>
      <c r="O18" s="22"/>
      <c r="P18" s="24"/>
      <c r="Q18" s="22"/>
      <c r="R18" s="22"/>
      <c r="S18" s="22"/>
      <c r="T18" s="22"/>
      <c r="U18" s="24"/>
      <c r="V18" s="22"/>
      <c r="W18" s="22"/>
      <c r="X18" s="22"/>
      <c r="Y18" s="22"/>
      <c r="Z18" s="24"/>
      <c r="AA18" s="22"/>
      <c r="AB18" s="22"/>
      <c r="AC18" s="22"/>
      <c r="AD18" s="22"/>
      <c r="AE18" s="24"/>
      <c r="AF18" s="22"/>
      <c r="AG18" s="22"/>
      <c r="AH18" s="22"/>
      <c r="AI18" s="22"/>
      <c r="AJ18" s="24"/>
      <c r="AK18" s="22"/>
      <c r="AL18" s="22"/>
      <c r="AM18" s="22"/>
      <c r="AN18" s="22"/>
      <c r="AO18" s="24"/>
      <c r="AP18" s="22"/>
      <c r="AQ18" s="22"/>
      <c r="AR18" s="22"/>
      <c r="AS18" s="22"/>
      <c r="AT18" s="24"/>
      <c r="AU18" s="22"/>
      <c r="AV18" s="22"/>
      <c r="AW18" s="22"/>
      <c r="AX18" s="22"/>
      <c r="AY18" s="24"/>
      <c r="AZ18" s="22"/>
      <c r="BA18" s="22"/>
      <c r="BB18" s="22"/>
      <c r="BC18" s="22"/>
      <c r="BD18" s="24"/>
      <c r="BE18" s="22"/>
      <c r="BF18" s="22"/>
      <c r="BG18" s="22"/>
      <c r="BH18" s="22"/>
      <c r="BI18" s="24"/>
      <c r="BJ18" s="22"/>
      <c r="BK18" s="22"/>
      <c r="BL18" s="22"/>
      <c r="BM18" s="22"/>
      <c r="BN18" s="24"/>
      <c r="BO18" s="22"/>
      <c r="BP18" s="22"/>
      <c r="BQ18" s="22"/>
      <c r="BR18" s="22"/>
      <c r="BS18" s="24"/>
      <c r="BT18" s="22"/>
      <c r="BU18" s="22"/>
      <c r="BV18" s="22"/>
      <c r="BW18" s="22"/>
      <c r="BX18" s="24"/>
      <c r="BY18" s="22"/>
      <c r="BZ18" s="22"/>
      <c r="CA18" s="22"/>
      <c r="CB18" s="22"/>
      <c r="CC18" s="24"/>
      <c r="CD18" s="22"/>
      <c r="CE18" s="22"/>
      <c r="CF18" s="22"/>
      <c r="CG18" s="22"/>
      <c r="CH18" s="24"/>
      <c r="CI18" s="22"/>
      <c r="CJ18" s="22"/>
      <c r="CK18" s="22"/>
      <c r="CL18" s="22"/>
      <c r="CM18" s="24"/>
      <c r="CN18" s="22"/>
      <c r="CO18" s="22"/>
      <c r="CP18" s="22"/>
      <c r="CQ18" s="22"/>
      <c r="CR18" s="24"/>
    </row>
    <row r="19" spans="1:96" s="17" customFormat="1" ht="15" x14ac:dyDescent="0.4">
      <c r="A19" s="15" t="s">
        <v>89</v>
      </c>
      <c r="B19" s="16">
        <f>SUM(B20:B21)</f>
        <v>77809.705984822853</v>
      </c>
      <c r="C19" s="16">
        <f t="shared" ref="C19:E19" si="40">SUM(C20:C21)</f>
        <v>79279.57916922211</v>
      </c>
      <c r="D19" s="16">
        <f t="shared" si="40"/>
        <v>80937.255129497556</v>
      </c>
      <c r="E19" s="16">
        <f t="shared" si="40"/>
        <v>84461.290595919505</v>
      </c>
      <c r="F19" s="16">
        <f>SUM(B19:E19)</f>
        <v>322487.83087946207</v>
      </c>
      <c r="G19" s="16">
        <f>SUM(G20:G21)</f>
        <v>78128.711232961563</v>
      </c>
      <c r="H19" s="16">
        <f t="shared" ref="H19:J19" si="41">SUM(H20:H21)</f>
        <v>82348.682729327673</v>
      </c>
      <c r="I19" s="16">
        <f t="shared" si="41"/>
        <v>88136.024883824022</v>
      </c>
      <c r="J19" s="16">
        <f t="shared" si="41"/>
        <v>95268.203219988703</v>
      </c>
      <c r="K19" s="16">
        <f>SUM(G19:J19)</f>
        <v>343881.62206610199</v>
      </c>
      <c r="L19" s="16">
        <f>SUM(L20:L21)</f>
        <v>92463.607457284874</v>
      </c>
      <c r="M19" s="16">
        <f t="shared" ref="M19:O19" si="42">SUM(M20:M21)</f>
        <v>106429.33662739032</v>
      </c>
      <c r="N19" s="16">
        <f t="shared" si="42"/>
        <v>107684.62873856835</v>
      </c>
      <c r="O19" s="16">
        <f t="shared" si="42"/>
        <v>108797.06231459614</v>
      </c>
      <c r="P19" s="16">
        <f>SUM(L19:O19)</f>
        <v>415374.63513783971</v>
      </c>
      <c r="Q19" s="16">
        <f>SUM(Q20:Q21)</f>
        <v>118817.95430174496</v>
      </c>
      <c r="R19" s="16">
        <f t="shared" ref="R19:T19" si="43">SUM(R20:R21)</f>
        <v>126956.02389157165</v>
      </c>
      <c r="S19" s="16">
        <f t="shared" si="43"/>
        <v>131560.4208554386</v>
      </c>
      <c r="T19" s="16">
        <f t="shared" si="43"/>
        <v>140578.9953930988</v>
      </c>
      <c r="U19" s="16">
        <f>SUM(Q19:T19)</f>
        <v>517913.39444185398</v>
      </c>
      <c r="V19" s="16">
        <f>SUM(V20:V21)</f>
        <v>152318.03549419902</v>
      </c>
      <c r="W19" s="16">
        <f t="shared" ref="W19:Y19" si="44">SUM(W20:W21)</f>
        <v>171050.31222481802</v>
      </c>
      <c r="X19" s="16">
        <f t="shared" si="44"/>
        <v>181133.47907390329</v>
      </c>
      <c r="Y19" s="16">
        <f t="shared" si="44"/>
        <v>187047.77266016876</v>
      </c>
      <c r="Z19" s="16">
        <f>SUM(V19:Y19)</f>
        <v>691549.59945308906</v>
      </c>
      <c r="AA19" s="16">
        <f>SUM(AA20:AA21)</f>
        <v>193747.5938202517</v>
      </c>
      <c r="AB19" s="16">
        <f t="shared" ref="AB19:AD19" si="45">SUM(AB20:AB21)</f>
        <v>173391.60499718826</v>
      </c>
      <c r="AC19" s="16">
        <f t="shared" si="45"/>
        <v>193018.93938467692</v>
      </c>
      <c r="AD19" s="16">
        <f t="shared" si="45"/>
        <v>207851.92824397219</v>
      </c>
      <c r="AE19" s="16">
        <f>SUM(AA19:AD19)</f>
        <v>768010.06644608895</v>
      </c>
      <c r="AF19" s="16">
        <f>SUM(AF20:AF21)</f>
        <v>215975.34067078869</v>
      </c>
      <c r="AG19" s="16">
        <f t="shared" ref="AG19:AI19" si="46">SUM(AG20:AG21)</f>
        <v>202047.89047381928</v>
      </c>
      <c r="AH19" s="16">
        <f t="shared" si="46"/>
        <v>210547.39702148916</v>
      </c>
      <c r="AI19" s="16">
        <f t="shared" si="46"/>
        <v>223142.95645473781</v>
      </c>
      <c r="AJ19" s="16">
        <f>SUM(AF19:AI19)</f>
        <v>851713.58462083503</v>
      </c>
      <c r="AK19" s="16">
        <f>SUM(AK20:AK21)</f>
        <v>211006.79065503058</v>
      </c>
      <c r="AL19" s="16">
        <f t="shared" ref="AL19:AN19" si="47">SUM(AL20:AL21)</f>
        <v>226042.29279644979</v>
      </c>
      <c r="AM19" s="16">
        <f t="shared" si="47"/>
        <v>237733.88772353216</v>
      </c>
      <c r="AN19" s="16">
        <f t="shared" si="47"/>
        <v>261060.85882498749</v>
      </c>
      <c r="AO19" s="16">
        <f>SUM(AK19:AN19)</f>
        <v>935843.83000000007</v>
      </c>
      <c r="AP19" s="16">
        <f>SUM(AP20:AP21)</f>
        <v>242184.96823826598</v>
      </c>
      <c r="AQ19" s="16">
        <f t="shared" ref="AQ19:AS19" si="48">SUM(AQ20:AQ21)</f>
        <v>254240.90803344978</v>
      </c>
      <c r="AR19" s="16">
        <f t="shared" si="48"/>
        <v>270821.34645510133</v>
      </c>
      <c r="AS19" s="16">
        <f t="shared" si="48"/>
        <v>291610.24727318296</v>
      </c>
      <c r="AT19" s="16">
        <f>SUM(AP19:AS19)</f>
        <v>1058857.47</v>
      </c>
      <c r="AU19" s="16">
        <f>SUM(AU20:AU21)</f>
        <v>273771.62151112856</v>
      </c>
      <c r="AV19" s="16">
        <f t="shared" ref="AV19:AX19" si="49">SUM(AV20:AV21)</f>
        <v>286573.11784233875</v>
      </c>
      <c r="AW19" s="16">
        <f t="shared" si="49"/>
        <v>301501.10995095538</v>
      </c>
      <c r="AX19" s="16">
        <f t="shared" si="49"/>
        <v>322494.54290066333</v>
      </c>
      <c r="AY19" s="16">
        <f>SUM(AU19:AX19)</f>
        <v>1184340.3922050861</v>
      </c>
      <c r="AZ19" s="16">
        <f>SUM(AZ20:AZ21)</f>
        <v>307209.96417821012</v>
      </c>
      <c r="BA19" s="16">
        <f t="shared" ref="BA19:BC19" si="50">SUM(BA20:BA21)</f>
        <v>315376.25446475099</v>
      </c>
      <c r="BB19" s="16">
        <f t="shared" si="50"/>
        <v>323733.55996700539</v>
      </c>
      <c r="BC19" s="16">
        <f t="shared" si="50"/>
        <v>335974.76139003329</v>
      </c>
      <c r="BD19" s="16">
        <f>SUM(AZ19:BC19)</f>
        <v>1282294.5399999998</v>
      </c>
      <c r="BE19" s="16">
        <f>SUM(BE20:BE21)</f>
        <v>328791.23576933693</v>
      </c>
      <c r="BF19" s="16">
        <f t="shared" ref="BF19:BH19" si="51">SUM(BF20:BF21)</f>
        <v>341682.33106596884</v>
      </c>
      <c r="BG19" s="16">
        <f t="shared" si="51"/>
        <v>363253.5482099342</v>
      </c>
      <c r="BH19" s="16">
        <f t="shared" si="51"/>
        <v>381335.04395476088</v>
      </c>
      <c r="BI19" s="16">
        <f>SUM(BE19:BH19)</f>
        <v>1415062.1590000009</v>
      </c>
      <c r="BJ19" s="16">
        <f>SUM(BJ20:BJ21)</f>
        <v>347545.11551816366</v>
      </c>
      <c r="BK19" s="16">
        <f t="shared" ref="BK19:BM19" si="52">SUM(BK20:BK21)</f>
        <v>355853.41276318999</v>
      </c>
      <c r="BL19" s="16">
        <f t="shared" si="52"/>
        <v>376608.12282372173</v>
      </c>
      <c r="BM19" s="16">
        <f t="shared" si="52"/>
        <v>380369.55889492447</v>
      </c>
      <c r="BN19" s="16">
        <f>SUM(BJ19:BM19)</f>
        <v>1460376.21</v>
      </c>
      <c r="BO19" s="16">
        <f>SUM(BO20:BO21)</f>
        <v>371175.27334722946</v>
      </c>
      <c r="BP19" s="16">
        <f t="shared" ref="BP19:BR19" si="53">SUM(BP20:BP21)</f>
        <v>382341.30425214558</v>
      </c>
      <c r="BQ19" s="16">
        <f t="shared" si="53"/>
        <v>407695.3120215509</v>
      </c>
      <c r="BR19" s="16">
        <f t="shared" si="53"/>
        <v>415627.64037907397</v>
      </c>
      <c r="BS19" s="16">
        <f>SUM(BO19:BR19)</f>
        <v>1576839.53</v>
      </c>
      <c r="BT19" s="16">
        <f>SUM(BT20:BT21)</f>
        <v>373684.35739321233</v>
      </c>
      <c r="BU19" s="16">
        <f t="shared" ref="BU19:BW19" si="54">SUM(BU20:BU21)</f>
        <v>409195.38360196562</v>
      </c>
      <c r="BV19" s="16">
        <f t="shared" si="54"/>
        <v>411354.51200888684</v>
      </c>
      <c r="BW19" s="16">
        <f t="shared" si="54"/>
        <v>446736.95974819304</v>
      </c>
      <c r="BX19" s="16">
        <f>SUM(BT19:BW19)</f>
        <v>1640971.2127522579</v>
      </c>
      <c r="BY19" s="16">
        <f>SUM(BY20:BY21)</f>
        <v>392526.00082043826</v>
      </c>
      <c r="BZ19" s="16">
        <f t="shared" ref="BZ19:CB19" si="55">SUM(BZ20:BZ21)</f>
        <v>406417.64133130515</v>
      </c>
      <c r="CA19" s="16">
        <f t="shared" si="55"/>
        <v>435070.35179951903</v>
      </c>
      <c r="CB19" s="16">
        <f t="shared" si="55"/>
        <v>439908.42000000004</v>
      </c>
      <c r="CC19" s="16">
        <f>SUM(BY19:CB19)</f>
        <v>1673922.4139512624</v>
      </c>
      <c r="CD19" s="16">
        <f>SUM(CD20:CD21)</f>
        <v>411479.91720644932</v>
      </c>
      <c r="CE19" s="16">
        <f t="shared" ref="CE19:CG19" si="56">SUM(CE20:CE21)</f>
        <v>425489.98086570128</v>
      </c>
      <c r="CF19" s="16">
        <f t="shared" si="56"/>
        <v>446794.85536012781</v>
      </c>
      <c r="CG19" s="16">
        <f t="shared" si="56"/>
        <v>462843.7286174749</v>
      </c>
      <c r="CH19" s="16">
        <f>SUM(CD19:CG19)</f>
        <v>1746608.4820497532</v>
      </c>
      <c r="CI19" s="16">
        <f>SUM(CI20:CI21)</f>
        <v>428455.25314915401</v>
      </c>
      <c r="CJ19" s="16">
        <f t="shared" ref="CJ19:CL19" si="57">SUM(CJ20:CJ21)</f>
        <v>438875.741471257</v>
      </c>
      <c r="CK19" s="16">
        <f t="shared" si="57"/>
        <v>458815.34588824498</v>
      </c>
      <c r="CL19" s="16">
        <f t="shared" si="57"/>
        <v>473243.72861747502</v>
      </c>
      <c r="CM19" s="16">
        <f>SUM(CI19:CL19)</f>
        <v>1799390.069126131</v>
      </c>
      <c r="CN19" s="16">
        <f>SUM(CN20:CN21)</f>
        <v>0</v>
      </c>
      <c r="CO19" s="16">
        <f t="shared" ref="CO19:CQ19" si="58">SUM(CO20:CO21)</f>
        <v>0</v>
      </c>
      <c r="CP19" s="16">
        <f t="shared" si="58"/>
        <v>0</v>
      </c>
      <c r="CQ19" s="16">
        <f t="shared" si="58"/>
        <v>0</v>
      </c>
      <c r="CR19" s="16">
        <f>SUM(CN19:CQ19)</f>
        <v>0</v>
      </c>
    </row>
    <row r="20" spans="1:96" s="9" customFormat="1" ht="15" x14ac:dyDescent="0.4">
      <c r="A20" s="18" t="s">
        <v>90</v>
      </c>
      <c r="B20" s="19">
        <v>37354.182343174645</v>
      </c>
      <c r="C20" s="19">
        <v>38785.813575679975</v>
      </c>
      <c r="D20" s="19">
        <v>40228.833888243222</v>
      </c>
      <c r="E20" s="19">
        <v>42809.770361774215</v>
      </c>
      <c r="F20" s="20">
        <f t="shared" ref="F20:F21" si="59">SUM(B20:E20)</f>
        <v>159178.60016887207</v>
      </c>
      <c r="G20" s="19">
        <v>37746.043449199082</v>
      </c>
      <c r="H20" s="19">
        <v>42178.542891631922</v>
      </c>
      <c r="I20" s="19">
        <v>47564.511522206645</v>
      </c>
      <c r="J20" s="19">
        <v>54811.146874371327</v>
      </c>
      <c r="K20" s="20">
        <f t="shared" ref="K20:K21" si="60">SUM(G20:J20)</f>
        <v>182300.244737409</v>
      </c>
      <c r="L20" s="19">
        <v>51813.18449549791</v>
      </c>
      <c r="M20" s="19">
        <v>53634.708475481944</v>
      </c>
      <c r="N20" s="19">
        <v>56300.152573405911</v>
      </c>
      <c r="O20" s="19">
        <v>61138.586903833515</v>
      </c>
      <c r="P20" s="20">
        <f t="shared" ref="P20:P21" si="61">SUM(L20:O20)</f>
        <v>222886.63244821929</v>
      </c>
      <c r="Q20" s="19">
        <v>56983.779324653391</v>
      </c>
      <c r="R20" s="19">
        <v>61500.431999743123</v>
      </c>
      <c r="S20" s="19">
        <v>69031.465945026939</v>
      </c>
      <c r="T20" s="19">
        <v>74548.237021765584</v>
      </c>
      <c r="U20" s="20">
        <f t="shared" ref="U20:U21" si="62">SUM(Q20:T20)</f>
        <v>262063.91429118902</v>
      </c>
      <c r="V20" s="19">
        <v>82316.41460132286</v>
      </c>
      <c r="W20" s="19">
        <v>89023.366234146306</v>
      </c>
      <c r="X20" s="19">
        <v>93394.455742755716</v>
      </c>
      <c r="Y20" s="19">
        <v>103365.55899145022</v>
      </c>
      <c r="Z20" s="20">
        <f t="shared" ref="Z20:Z21" si="63">SUM(V20:Y20)</f>
        <v>368099.7955696751</v>
      </c>
      <c r="AA20" s="19">
        <v>101372.87286055618</v>
      </c>
      <c r="AB20" s="19">
        <v>100830.26425774775</v>
      </c>
      <c r="AC20" s="19">
        <v>108109.66747517772</v>
      </c>
      <c r="AD20" s="19">
        <v>113186.70097516633</v>
      </c>
      <c r="AE20" s="20">
        <f t="shared" ref="AE20:AE21" si="64">SUM(AA20:AD20)</f>
        <v>423499.50556864799</v>
      </c>
      <c r="AF20" s="19">
        <v>113647.21792671295</v>
      </c>
      <c r="AG20" s="19">
        <v>118091.99568938182</v>
      </c>
      <c r="AH20" s="19">
        <v>120243.79344231547</v>
      </c>
      <c r="AI20" s="19">
        <v>121951.66865237473</v>
      </c>
      <c r="AJ20" s="20">
        <f t="shared" ref="AJ20:AJ21" si="65">SUM(AF20:AI20)</f>
        <v>473934.67571078497</v>
      </c>
      <c r="AK20" s="19">
        <v>116755.00520099355</v>
      </c>
      <c r="AL20" s="19">
        <v>127150.58806263978</v>
      </c>
      <c r="AM20" s="19">
        <v>133023.5486074108</v>
      </c>
      <c r="AN20" s="19">
        <v>143889.48812895588</v>
      </c>
      <c r="AO20" s="20">
        <f t="shared" ref="AO20:AO21" si="66">SUM(AK20:AN20)</f>
        <v>520818.63</v>
      </c>
      <c r="AP20" s="19">
        <v>135375.10887733154</v>
      </c>
      <c r="AQ20" s="19">
        <v>141554.05467502985</v>
      </c>
      <c r="AR20" s="19">
        <v>149838.93276584442</v>
      </c>
      <c r="AS20" s="19">
        <v>159457.61368179417</v>
      </c>
      <c r="AT20" s="20">
        <f t="shared" ref="AT20:AT21" si="67">SUM(AP20:AS20)</f>
        <v>586225.71</v>
      </c>
      <c r="AU20" s="19">
        <v>150833.33930021804</v>
      </c>
      <c r="AV20" s="19">
        <v>157023.16829932461</v>
      </c>
      <c r="AW20" s="19">
        <v>166318.71620746035</v>
      </c>
      <c r="AX20" s="19">
        <v>183854.92156037007</v>
      </c>
      <c r="AY20" s="20">
        <f t="shared" ref="AY20:AY21" si="68">SUM(AU20:AX20)</f>
        <v>658030.14536737301</v>
      </c>
      <c r="AZ20" s="19">
        <v>169173.17812885466</v>
      </c>
      <c r="BA20" s="19">
        <v>174588.15078741056</v>
      </c>
      <c r="BB20" s="19">
        <v>178909.61356260066</v>
      </c>
      <c r="BC20" s="19">
        <v>188635.63752113408</v>
      </c>
      <c r="BD20" s="20">
        <f t="shared" ref="BD20:BD21" si="69">SUM(AZ20:BC20)</f>
        <v>711306.58</v>
      </c>
      <c r="BE20" s="19">
        <v>183600.58400079139</v>
      </c>
      <c r="BF20" s="19">
        <v>189370.69416426221</v>
      </c>
      <c r="BG20" s="19">
        <v>200763.79062489638</v>
      </c>
      <c r="BH20" s="19">
        <v>209876.14021005292</v>
      </c>
      <c r="BI20" s="20">
        <f t="shared" ref="BI20:BI21" si="70">SUM(BE20:BH20)</f>
        <v>783611.20900000294</v>
      </c>
      <c r="BJ20" s="19">
        <v>189359.80356329976</v>
      </c>
      <c r="BK20" s="19">
        <v>199411.22504471414</v>
      </c>
      <c r="BL20" s="19">
        <v>211492.79606676282</v>
      </c>
      <c r="BM20" s="19">
        <v>207190.26532522315</v>
      </c>
      <c r="BN20" s="20">
        <f t="shared" ref="BN20:BN21" si="71">SUM(BJ20:BM20)</f>
        <v>807454.08999999985</v>
      </c>
      <c r="BO20" s="19">
        <v>197849.01661015753</v>
      </c>
      <c r="BP20" s="19">
        <v>211522.82537014416</v>
      </c>
      <c r="BQ20" s="19">
        <v>229332.03887656471</v>
      </c>
      <c r="BR20" s="19">
        <v>236526.20914313348</v>
      </c>
      <c r="BS20" s="20">
        <f t="shared" ref="BS20:BS21" si="72">SUM(BO20:BR20)</f>
        <v>875230.08999999985</v>
      </c>
      <c r="BT20" s="19">
        <v>205008.42435097208</v>
      </c>
      <c r="BU20" s="19">
        <v>222785.55884565454</v>
      </c>
      <c r="BV20" s="19">
        <v>222561.77785486673</v>
      </c>
      <c r="BW20" s="19">
        <v>247311.65922321755</v>
      </c>
      <c r="BX20" s="20">
        <f t="shared" ref="BX20:BX21" si="73">SUM(BT20:BW20)</f>
        <v>897667.42027471086</v>
      </c>
      <c r="BY20" s="19">
        <v>218338.70715149192</v>
      </c>
      <c r="BZ20" s="19">
        <v>213846.70479447299</v>
      </c>
      <c r="CA20" s="19">
        <v>234997.842174082</v>
      </c>
      <c r="CB20" s="19">
        <v>238586.76</v>
      </c>
      <c r="CC20" s="20">
        <f t="shared" ref="CC20:CC21" si="74">SUM(BY20:CB20)</f>
        <v>905770.01412004698</v>
      </c>
      <c r="CD20" s="19">
        <v>223472.50041267497</v>
      </c>
      <c r="CE20" s="19">
        <v>229394.60484278895</v>
      </c>
      <c r="CF20" s="19">
        <v>239453.6975906376</v>
      </c>
      <c r="CG20" s="19">
        <v>248197.84140834212</v>
      </c>
      <c r="CH20" s="20">
        <f t="shared" ref="CH20:CH21" si="75">SUM(CD20:CG20)</f>
        <v>940518.6442544437</v>
      </c>
      <c r="CI20" s="19">
        <v>229945.13206353001</v>
      </c>
      <c r="CJ20" s="19">
        <v>235157.48035335299</v>
      </c>
      <c r="CK20" s="19">
        <v>246413.83591242999</v>
      </c>
      <c r="CL20" s="19">
        <v>253597.84140834201</v>
      </c>
      <c r="CM20" s="20">
        <f t="shared" ref="CM20:CM21" si="76">SUM(CI20:CL20)</f>
        <v>965114.28973765497</v>
      </c>
      <c r="CN20" s="19"/>
      <c r="CO20" s="19"/>
      <c r="CP20" s="19"/>
      <c r="CQ20" s="19"/>
      <c r="CR20" s="20">
        <f t="shared" ref="CR20:CR21" si="77">SUM(CN20:CQ20)</f>
        <v>0</v>
      </c>
    </row>
    <row r="21" spans="1:96" s="9" customFormat="1" ht="15" x14ac:dyDescent="0.4">
      <c r="A21" s="18" t="s">
        <v>91</v>
      </c>
      <c r="B21" s="21">
        <v>40455.5236416482</v>
      </c>
      <c r="C21" s="21">
        <v>40493.765593542135</v>
      </c>
      <c r="D21" s="21">
        <v>40708.421241254342</v>
      </c>
      <c r="E21" s="21">
        <v>41651.52023414529</v>
      </c>
      <c r="F21" s="20">
        <f t="shared" si="59"/>
        <v>163309.23071058997</v>
      </c>
      <c r="G21" s="21">
        <v>40382.667783762488</v>
      </c>
      <c r="H21" s="21">
        <v>40170.139837695751</v>
      </c>
      <c r="I21" s="21">
        <v>40571.513361617384</v>
      </c>
      <c r="J21" s="21">
        <v>40457.056345617377</v>
      </c>
      <c r="K21" s="20">
        <f t="shared" si="60"/>
        <v>161581.37732869299</v>
      </c>
      <c r="L21" s="21">
        <v>40650.422961786971</v>
      </c>
      <c r="M21" s="21">
        <v>52794.628151908386</v>
      </c>
      <c r="N21" s="21">
        <v>51384.476165162443</v>
      </c>
      <c r="O21" s="21">
        <v>47658.475410762629</v>
      </c>
      <c r="P21" s="20">
        <f t="shared" si="61"/>
        <v>192488.00268962042</v>
      </c>
      <c r="Q21" s="21">
        <v>61834.174977091578</v>
      </c>
      <c r="R21" s="21">
        <v>65455.591891828524</v>
      </c>
      <c r="S21" s="21">
        <v>62528.95491041166</v>
      </c>
      <c r="T21" s="21">
        <v>66030.758371333228</v>
      </c>
      <c r="U21" s="20">
        <f t="shared" si="62"/>
        <v>255849.48015066498</v>
      </c>
      <c r="V21" s="21">
        <v>70001.620892876148</v>
      </c>
      <c r="W21" s="21">
        <v>82026.945990671709</v>
      </c>
      <c r="X21" s="21">
        <v>87739.02333114756</v>
      </c>
      <c r="Y21" s="21">
        <v>83682.213668718556</v>
      </c>
      <c r="Z21" s="20">
        <f t="shared" si="63"/>
        <v>323449.80388341402</v>
      </c>
      <c r="AA21" s="21">
        <v>92374.720959695507</v>
      </c>
      <c r="AB21" s="21">
        <v>72561.340739440508</v>
      </c>
      <c r="AC21" s="21">
        <v>84909.271909499192</v>
      </c>
      <c r="AD21" s="21">
        <v>94665.227268805844</v>
      </c>
      <c r="AE21" s="20">
        <f t="shared" si="64"/>
        <v>344510.56087744108</v>
      </c>
      <c r="AF21" s="21">
        <v>102328.12274407574</v>
      </c>
      <c r="AG21" s="21">
        <v>83955.894784437449</v>
      </c>
      <c r="AH21" s="21">
        <v>90303.603579173694</v>
      </c>
      <c r="AI21" s="21">
        <v>101191.28780236309</v>
      </c>
      <c r="AJ21" s="20">
        <f t="shared" si="65"/>
        <v>377778.90891005</v>
      </c>
      <c r="AK21" s="21">
        <v>94251.785454037032</v>
      </c>
      <c r="AL21" s="21">
        <v>98891.704733810024</v>
      </c>
      <c r="AM21" s="21">
        <v>104710.33911612135</v>
      </c>
      <c r="AN21" s="21">
        <v>117171.3706960316</v>
      </c>
      <c r="AO21" s="20">
        <f t="shared" si="66"/>
        <v>415025.2</v>
      </c>
      <c r="AP21" s="21">
        <v>106809.85936093444</v>
      </c>
      <c r="AQ21" s="21">
        <v>112686.85335841993</v>
      </c>
      <c r="AR21" s="21">
        <v>120982.41368925692</v>
      </c>
      <c r="AS21" s="21">
        <v>132152.63359138876</v>
      </c>
      <c r="AT21" s="20">
        <f t="shared" si="67"/>
        <v>472631.76000000007</v>
      </c>
      <c r="AU21" s="21">
        <v>122938.28221091053</v>
      </c>
      <c r="AV21" s="21">
        <v>129549.94954301417</v>
      </c>
      <c r="AW21" s="21">
        <v>135182.39374349505</v>
      </c>
      <c r="AX21" s="21">
        <v>138639.62134029329</v>
      </c>
      <c r="AY21" s="20">
        <f t="shared" si="68"/>
        <v>526310.24683771306</v>
      </c>
      <c r="AZ21" s="21">
        <v>138036.78604935549</v>
      </c>
      <c r="BA21" s="21">
        <v>140788.1036773404</v>
      </c>
      <c r="BB21" s="21">
        <v>144823.94640440473</v>
      </c>
      <c r="BC21" s="21">
        <v>147339.12386889925</v>
      </c>
      <c r="BD21" s="20">
        <f t="shared" si="69"/>
        <v>570987.96</v>
      </c>
      <c r="BE21" s="21">
        <v>145190.6517685455</v>
      </c>
      <c r="BF21" s="21">
        <v>152311.63690170663</v>
      </c>
      <c r="BG21" s="21">
        <v>162489.75758503782</v>
      </c>
      <c r="BH21" s="21">
        <v>171458.90374470796</v>
      </c>
      <c r="BI21" s="20">
        <f t="shared" si="70"/>
        <v>631450.94999999786</v>
      </c>
      <c r="BJ21" s="21">
        <v>158185.31195486386</v>
      </c>
      <c r="BK21" s="21">
        <v>156442.18771847585</v>
      </c>
      <c r="BL21" s="21">
        <v>165115.32675695888</v>
      </c>
      <c r="BM21" s="21">
        <v>173179.29356970135</v>
      </c>
      <c r="BN21" s="20">
        <f t="shared" si="71"/>
        <v>652922.12</v>
      </c>
      <c r="BO21" s="21">
        <v>173326.25673707193</v>
      </c>
      <c r="BP21" s="21">
        <v>170818.47888200139</v>
      </c>
      <c r="BQ21" s="21">
        <v>178363.27314498619</v>
      </c>
      <c r="BR21" s="21">
        <v>179101.43123594049</v>
      </c>
      <c r="BS21" s="20">
        <f t="shared" si="72"/>
        <v>701609.44</v>
      </c>
      <c r="BT21" s="21">
        <v>168675.93304224024</v>
      </c>
      <c r="BU21" s="21">
        <v>186409.82475631105</v>
      </c>
      <c r="BV21" s="21">
        <v>188792.73415402012</v>
      </c>
      <c r="BW21" s="21">
        <v>199425.30052497552</v>
      </c>
      <c r="BX21" s="20">
        <f t="shared" si="73"/>
        <v>743303.79247754696</v>
      </c>
      <c r="BY21" s="21">
        <v>174187.29366894637</v>
      </c>
      <c r="BZ21" s="21">
        <v>192570.93653683213</v>
      </c>
      <c r="CA21" s="21">
        <v>200072.509625437</v>
      </c>
      <c r="CB21" s="21">
        <v>201321.66</v>
      </c>
      <c r="CC21" s="20">
        <f t="shared" si="74"/>
        <v>768152.3998312155</v>
      </c>
      <c r="CD21" s="21">
        <v>188007.41679377432</v>
      </c>
      <c r="CE21" s="21">
        <v>196095.37602291233</v>
      </c>
      <c r="CF21" s="21">
        <v>207341.15776949021</v>
      </c>
      <c r="CG21" s="21">
        <v>214645.88720913275</v>
      </c>
      <c r="CH21" s="20">
        <f t="shared" si="75"/>
        <v>806089.83779530972</v>
      </c>
      <c r="CI21" s="21">
        <v>198510.12108562401</v>
      </c>
      <c r="CJ21" s="21">
        <v>203718.26111790401</v>
      </c>
      <c r="CK21" s="21">
        <v>212401.50997581499</v>
      </c>
      <c r="CL21" s="21">
        <v>219645.88720913301</v>
      </c>
      <c r="CM21" s="20">
        <f t="shared" si="76"/>
        <v>834275.77938847605</v>
      </c>
      <c r="CN21" s="21"/>
      <c r="CO21" s="21"/>
      <c r="CP21" s="21"/>
      <c r="CQ21" s="21"/>
      <c r="CR21" s="20">
        <f t="shared" si="77"/>
        <v>0</v>
      </c>
    </row>
    <row r="22" spans="1:96" s="9" customFormat="1" ht="15" x14ac:dyDescent="0.4">
      <c r="A22" s="25"/>
      <c r="B22" s="22"/>
      <c r="C22" s="22"/>
      <c r="D22" s="22"/>
      <c r="E22" s="22"/>
      <c r="F22" s="24"/>
      <c r="G22" s="22"/>
      <c r="H22" s="22"/>
      <c r="I22" s="22"/>
      <c r="J22" s="22"/>
      <c r="K22" s="24"/>
      <c r="L22" s="22"/>
      <c r="M22" s="22"/>
      <c r="N22" s="22"/>
      <c r="O22" s="22"/>
      <c r="P22" s="24"/>
      <c r="Q22" s="22"/>
      <c r="R22" s="22"/>
      <c r="S22" s="22"/>
      <c r="T22" s="22"/>
      <c r="U22" s="24"/>
      <c r="V22" s="22"/>
      <c r="W22" s="22"/>
      <c r="X22" s="22"/>
      <c r="Y22" s="22"/>
      <c r="Z22" s="24"/>
      <c r="AA22" s="22"/>
      <c r="AB22" s="22"/>
      <c r="AC22" s="22"/>
      <c r="AD22" s="22"/>
      <c r="AE22" s="24"/>
      <c r="AF22" s="22"/>
      <c r="AG22" s="22"/>
      <c r="AH22" s="22"/>
      <c r="AI22" s="22"/>
      <c r="AJ22" s="24"/>
      <c r="AK22" s="22"/>
      <c r="AL22" s="22"/>
      <c r="AM22" s="22"/>
      <c r="AN22" s="22"/>
      <c r="AO22" s="24"/>
      <c r="AP22" s="22"/>
      <c r="AQ22" s="22"/>
      <c r="AR22" s="22"/>
      <c r="AS22" s="22"/>
      <c r="AT22" s="24"/>
      <c r="AU22" s="22"/>
      <c r="AV22" s="22"/>
      <c r="AW22" s="22"/>
      <c r="AX22" s="22"/>
      <c r="AY22" s="24"/>
      <c r="AZ22" s="22"/>
      <c r="BA22" s="22"/>
      <c r="BB22" s="22"/>
      <c r="BC22" s="22"/>
      <c r="BD22" s="24"/>
      <c r="BE22" s="22"/>
      <c r="BF22" s="22"/>
      <c r="BG22" s="22"/>
      <c r="BH22" s="22"/>
      <c r="BI22" s="24"/>
      <c r="BJ22" s="22"/>
      <c r="BK22" s="22"/>
      <c r="BL22" s="22"/>
      <c r="BM22" s="22"/>
      <c r="BN22" s="24"/>
      <c r="BO22" s="22"/>
      <c r="BP22" s="22"/>
      <c r="BQ22" s="22"/>
      <c r="BR22" s="22"/>
      <c r="BS22" s="24"/>
      <c r="BT22" s="22"/>
      <c r="BU22" s="22"/>
      <c r="BV22" s="22"/>
      <c r="BW22" s="22"/>
      <c r="BX22" s="24"/>
      <c r="BY22" s="22"/>
      <c r="BZ22" s="22"/>
      <c r="CA22" s="22"/>
      <c r="CB22" s="22"/>
      <c r="CC22" s="24"/>
      <c r="CD22" s="22"/>
      <c r="CE22" s="22"/>
      <c r="CF22" s="22"/>
      <c r="CG22" s="22"/>
      <c r="CH22" s="24"/>
      <c r="CI22" s="22"/>
      <c r="CJ22" s="22"/>
      <c r="CK22" s="22"/>
      <c r="CL22" s="22"/>
      <c r="CM22" s="24"/>
      <c r="CN22" s="22"/>
      <c r="CO22" s="22"/>
      <c r="CP22" s="22"/>
      <c r="CQ22" s="22"/>
      <c r="CR22" s="24"/>
    </row>
    <row r="23" spans="1:96" s="17" customFormat="1" ht="15" x14ac:dyDescent="0.4">
      <c r="A23" s="15" t="s">
        <v>92</v>
      </c>
      <c r="B23" s="16">
        <v>3216.4153230716379</v>
      </c>
      <c r="C23" s="16">
        <v>3107.7544460737336</v>
      </c>
      <c r="D23" s="16">
        <v>7320.4142645551501</v>
      </c>
      <c r="E23" s="16">
        <v>736.48984857277924</v>
      </c>
      <c r="F23" s="16">
        <f>SUM(B23:E23)</f>
        <v>14381.0738822733</v>
      </c>
      <c r="G23" s="16">
        <v>1994.5800936060466</v>
      </c>
      <c r="H23" s="16">
        <v>1864.8305918189935</v>
      </c>
      <c r="I23" s="16">
        <v>2743.2684223214587</v>
      </c>
      <c r="J23" s="16">
        <v>1209.0171803388018</v>
      </c>
      <c r="K23" s="16">
        <f>SUM(G23:J23)</f>
        <v>7811.6962880853007</v>
      </c>
      <c r="L23" s="16">
        <v>2313.5105204826236</v>
      </c>
      <c r="M23" s="16">
        <v>5348.0341246233293</v>
      </c>
      <c r="N23" s="16">
        <v>7723.5515234115319</v>
      </c>
      <c r="O23" s="16">
        <v>1367.055581404499</v>
      </c>
      <c r="P23" s="16">
        <f>SUM(L23:O23)</f>
        <v>16752.151749921984</v>
      </c>
      <c r="Q23" s="16">
        <v>5613.8307231698645</v>
      </c>
      <c r="R23" s="16">
        <v>4886.8965668764567</v>
      </c>
      <c r="S23" s="16">
        <v>4386.192785260916</v>
      </c>
      <c r="T23" s="16">
        <v>2371.351213864762</v>
      </c>
      <c r="U23" s="16">
        <f>SUM(Q23:T23)</f>
        <v>17258.271289172</v>
      </c>
      <c r="V23" s="16">
        <v>8685.1214223161551</v>
      </c>
      <c r="W23" s="16">
        <v>7681.3531617042026</v>
      </c>
      <c r="X23" s="16">
        <v>4676.7824373820531</v>
      </c>
      <c r="Y23" s="16">
        <v>3148.5288504038913</v>
      </c>
      <c r="Z23" s="16">
        <f>SUM(V23:Y23)</f>
        <v>24191.7858718063</v>
      </c>
      <c r="AA23" s="16">
        <v>8485.3520021592503</v>
      </c>
      <c r="AB23" s="16">
        <v>8819.2962482669009</v>
      </c>
      <c r="AC23" s="16">
        <v>4759.9743067982554</v>
      </c>
      <c r="AD23" s="16">
        <v>4103.6804858456926</v>
      </c>
      <c r="AE23" s="16">
        <f>SUM(AA23:AD23)</f>
        <v>26168.3030430701</v>
      </c>
      <c r="AF23" s="16">
        <v>7353.0664187616112</v>
      </c>
      <c r="AG23" s="16">
        <v>9622.6743095776401</v>
      </c>
      <c r="AH23" s="16">
        <v>9046.903281082683</v>
      </c>
      <c r="AI23" s="16">
        <v>2953.6083228144676</v>
      </c>
      <c r="AJ23" s="16">
        <f>SUM(AF23:AI23)</f>
        <v>28976.252332236403</v>
      </c>
      <c r="AK23" s="16">
        <v>5374.2822018546531</v>
      </c>
      <c r="AL23" s="16">
        <v>6101.3178121835917</v>
      </c>
      <c r="AM23" s="16">
        <v>6607.8668830468805</v>
      </c>
      <c r="AN23" s="16">
        <v>6687.8131029148726</v>
      </c>
      <c r="AO23" s="16">
        <f>SUM(AK23:AN23)</f>
        <v>24771.279999999999</v>
      </c>
      <c r="AP23" s="16">
        <v>6643.3226760146717</v>
      </c>
      <c r="AQ23" s="16">
        <v>6661.9207687390117</v>
      </c>
      <c r="AR23" s="16">
        <v>6737.4847496694765</v>
      </c>
      <c r="AS23" s="16">
        <v>6877.597805576841</v>
      </c>
      <c r="AT23" s="16">
        <f>SUM(AP23:AS23)</f>
        <v>26920.326000000001</v>
      </c>
      <c r="AU23" s="16">
        <v>7080.5500851321794</v>
      </c>
      <c r="AV23" s="16">
        <v>7190.4361069782426</v>
      </c>
      <c r="AW23" s="16">
        <v>7368.7102367876796</v>
      </c>
      <c r="AX23" s="16">
        <v>7483.9458852260987</v>
      </c>
      <c r="AY23" s="16">
        <f>SUM(AU23:AX23)</f>
        <v>29123.642314124201</v>
      </c>
      <c r="AZ23" s="16">
        <v>7806.2101317840015</v>
      </c>
      <c r="BA23" s="16">
        <v>8036.5251095459416</v>
      </c>
      <c r="BB23" s="16">
        <v>8164.8748096387408</v>
      </c>
      <c r="BC23" s="16">
        <v>8407.6619490313115</v>
      </c>
      <c r="BD23" s="16">
        <f>SUM(AZ23:BC23)</f>
        <v>32415.271999999997</v>
      </c>
      <c r="BE23" s="16">
        <v>8420.9012526387596</v>
      </c>
      <c r="BF23" s="16">
        <v>8639.1356509350753</v>
      </c>
      <c r="BG23" s="16">
        <v>8720.784402488016</v>
      </c>
      <c r="BH23" s="16">
        <v>8855.0741939381332</v>
      </c>
      <c r="BI23" s="16">
        <f>SUM(BE23:BH23)</f>
        <v>34635.895499999984</v>
      </c>
      <c r="BJ23" s="16">
        <v>9064.3410925534135</v>
      </c>
      <c r="BK23" s="16">
        <v>9070.6507393389747</v>
      </c>
      <c r="BL23" s="16">
        <v>9344.3210036696692</v>
      </c>
      <c r="BM23" s="16">
        <v>9505.064164437943</v>
      </c>
      <c r="BN23" s="16">
        <f>SUM(BJ23:BM23)</f>
        <v>36984.377</v>
      </c>
      <c r="BO23" s="16">
        <v>9460.9568496042029</v>
      </c>
      <c r="BP23" s="16">
        <v>8971.691780060768</v>
      </c>
      <c r="BQ23" s="16">
        <v>9077.4897345675599</v>
      </c>
      <c r="BR23" s="16">
        <v>9080.3116357665658</v>
      </c>
      <c r="BS23" s="16">
        <f>SUM(BO23:BR23)</f>
        <v>36590.449999999095</v>
      </c>
      <c r="BT23" s="16">
        <v>9164.2929037493905</v>
      </c>
      <c r="BU23" s="16">
        <v>9254.6695194288186</v>
      </c>
      <c r="BV23" s="16">
        <v>9483.3540144842591</v>
      </c>
      <c r="BW23" s="16">
        <v>9758.6019053467335</v>
      </c>
      <c r="BX23" s="16">
        <f>SUM(BT23:BW23)</f>
        <v>37660.918343009202</v>
      </c>
      <c r="BY23" s="16">
        <v>9510.8180757945738</v>
      </c>
      <c r="BZ23" s="16">
        <v>9491.9393797491684</v>
      </c>
      <c r="CA23" s="16">
        <v>9400.6832677794991</v>
      </c>
      <c r="CB23" s="16">
        <v>9246.7800000000007</v>
      </c>
      <c r="CC23" s="16">
        <f>SUM(BY23:CB23)</f>
        <v>37650.22072332324</v>
      </c>
      <c r="CD23" s="16">
        <v>9800.8862247942106</v>
      </c>
      <c r="CE23" s="16">
        <v>9816.9473260291015</v>
      </c>
      <c r="CF23" s="16">
        <v>9797.1079604327279</v>
      </c>
      <c r="CG23" s="16">
        <v>9529.4490263625139</v>
      </c>
      <c r="CH23" s="16">
        <f>SUM(CD23:CG23)</f>
        <v>38944.390537618558</v>
      </c>
      <c r="CI23" s="16">
        <v>9988.6442228988308</v>
      </c>
      <c r="CJ23" s="16">
        <v>9576.1006279461999</v>
      </c>
      <c r="CK23" s="16">
        <v>10060.97593480712</v>
      </c>
      <c r="CL23" s="16">
        <v>10004.44902636251</v>
      </c>
      <c r="CM23" s="16">
        <f>SUM(CI23:CL23)</f>
        <v>39630.169812014661</v>
      </c>
      <c r="CN23" s="16"/>
      <c r="CO23" s="16"/>
      <c r="CP23" s="16"/>
      <c r="CQ23" s="16"/>
      <c r="CR23" s="16">
        <f>SUM(CN23:CQ23)</f>
        <v>0</v>
      </c>
    </row>
    <row r="24" spans="1:96" s="9" customFormat="1" ht="15" x14ac:dyDescent="0.4">
      <c r="A24" s="25"/>
      <c r="B24" s="22"/>
      <c r="C24" s="22"/>
      <c r="D24" s="22"/>
      <c r="E24" s="22"/>
      <c r="F24" s="24"/>
      <c r="G24" s="22"/>
      <c r="H24" s="22"/>
      <c r="I24" s="22"/>
      <c r="J24" s="22"/>
      <c r="K24" s="24"/>
      <c r="L24" s="22"/>
      <c r="M24" s="22"/>
      <c r="N24" s="22"/>
      <c r="O24" s="22"/>
      <c r="P24" s="24"/>
      <c r="Q24" s="22"/>
      <c r="R24" s="22"/>
      <c r="S24" s="22"/>
      <c r="T24" s="22"/>
      <c r="U24" s="24"/>
      <c r="V24" s="22"/>
      <c r="W24" s="22"/>
      <c r="X24" s="22"/>
      <c r="Y24" s="22"/>
      <c r="Z24" s="24"/>
      <c r="AA24" s="22"/>
      <c r="AB24" s="22"/>
      <c r="AC24" s="22"/>
      <c r="AD24" s="22"/>
      <c r="AE24" s="24"/>
      <c r="AF24" s="22"/>
      <c r="AG24" s="22"/>
      <c r="AH24" s="22"/>
      <c r="AI24" s="22"/>
      <c r="AJ24" s="24"/>
      <c r="AK24" s="22"/>
      <c r="AL24" s="22"/>
      <c r="AM24" s="22"/>
      <c r="AN24" s="22"/>
      <c r="AO24" s="24"/>
      <c r="AP24" s="22"/>
      <c r="AQ24" s="22"/>
      <c r="AR24" s="22"/>
      <c r="AS24" s="22"/>
      <c r="AT24" s="24"/>
      <c r="AU24" s="22"/>
      <c r="AV24" s="22"/>
      <c r="AW24" s="22"/>
      <c r="AX24" s="22"/>
      <c r="AY24" s="24"/>
      <c r="AZ24" s="22"/>
      <c r="BA24" s="22"/>
      <c r="BB24" s="22"/>
      <c r="BC24" s="22"/>
      <c r="BD24" s="24"/>
      <c r="BE24" s="22"/>
      <c r="BF24" s="22"/>
      <c r="BG24" s="22"/>
      <c r="BH24" s="22"/>
      <c r="BI24" s="24"/>
      <c r="BJ24" s="22"/>
      <c r="BK24" s="22"/>
      <c r="BL24" s="22"/>
      <c r="BM24" s="22"/>
      <c r="BN24" s="24"/>
      <c r="BO24" s="22"/>
      <c r="BP24" s="22"/>
      <c r="BQ24" s="22"/>
      <c r="BR24" s="22"/>
      <c r="BS24" s="24"/>
      <c r="BT24" s="22"/>
      <c r="BU24" s="22"/>
      <c r="BV24" s="22"/>
      <c r="BW24" s="22"/>
      <c r="BX24" s="24"/>
      <c r="BY24" s="22"/>
      <c r="BZ24" s="22"/>
      <c r="CA24" s="22"/>
      <c r="CB24" s="22"/>
      <c r="CC24" s="24"/>
      <c r="CD24" s="22"/>
      <c r="CE24" s="22"/>
      <c r="CF24" s="22"/>
      <c r="CG24" s="22"/>
      <c r="CH24" s="24"/>
      <c r="CI24" s="22"/>
      <c r="CJ24" s="22"/>
      <c r="CK24" s="22"/>
      <c r="CL24" s="22"/>
      <c r="CM24" s="24"/>
      <c r="CN24" s="22"/>
      <c r="CO24" s="22"/>
      <c r="CP24" s="22"/>
      <c r="CQ24" s="22"/>
      <c r="CR24" s="24"/>
    </row>
    <row r="25" spans="1:96" s="17" customFormat="1" ht="15" x14ac:dyDescent="0.4">
      <c r="A25" s="15" t="s">
        <v>93</v>
      </c>
      <c r="B25" s="16">
        <v>18996.777873899398</v>
      </c>
      <c r="C25" s="16">
        <v>29447.3583897385</v>
      </c>
      <c r="D25" s="16">
        <v>145.524884668769</v>
      </c>
      <c r="E25" s="16">
        <v>49661.1434805065</v>
      </c>
      <c r="F25" s="16">
        <f>SUM(B25:E25)</f>
        <v>98250.804628813174</v>
      </c>
      <c r="G25" s="16">
        <v>3513.8510538474002</v>
      </c>
      <c r="H25" s="16">
        <v>10058.7768886174</v>
      </c>
      <c r="I25" s="16">
        <v>26933.45832759</v>
      </c>
      <c r="J25" s="16">
        <v>46275.0603365114</v>
      </c>
      <c r="K25" s="16">
        <f>SUM(G25:J25)</f>
        <v>86781.14660656621</v>
      </c>
      <c r="L25" s="16">
        <v>6759.7690741758697</v>
      </c>
      <c r="M25" s="16">
        <v>13194.9815038582</v>
      </c>
      <c r="N25" s="16">
        <v>4583.4844787731499</v>
      </c>
      <c r="O25" s="16">
        <v>105263.68327934647</v>
      </c>
      <c r="P25" s="16">
        <f>SUM(L25:O25)</f>
        <v>129801.91833615369</v>
      </c>
      <c r="Q25" s="16">
        <v>24015.606569982232</v>
      </c>
      <c r="R25" s="16">
        <v>48123.796082808025</v>
      </c>
      <c r="S25" s="16">
        <v>21576.945918632206</v>
      </c>
      <c r="T25" s="16">
        <v>40936.310978056557</v>
      </c>
      <c r="U25" s="16">
        <f>SUM(Q25:T25)</f>
        <v>134652.65954947902</v>
      </c>
      <c r="V25" s="16">
        <v>28218.093865734947</v>
      </c>
      <c r="W25" s="16">
        <v>67207.733439230957</v>
      </c>
      <c r="X25" s="16">
        <v>38215.245782155471</v>
      </c>
      <c r="Y25" s="16">
        <v>36959.119453646425</v>
      </c>
      <c r="Z25" s="16">
        <f>SUM(V25:Y25)</f>
        <v>170600.19254076778</v>
      </c>
      <c r="AA25" s="16">
        <v>33574.781387646814</v>
      </c>
      <c r="AB25" s="16">
        <v>33564.879700883801</v>
      </c>
      <c r="AC25" s="16">
        <v>63170.220982047555</v>
      </c>
      <c r="AD25" s="16">
        <v>56067.852240988868</v>
      </c>
      <c r="AE25" s="16">
        <f>SUM(AA25:AD25)</f>
        <v>186377.73431156704</v>
      </c>
      <c r="AF25" s="16">
        <v>4655.2486255250897</v>
      </c>
      <c r="AG25" s="16">
        <v>55285.895116489897</v>
      </c>
      <c r="AH25" s="16">
        <v>61098.074096635639</v>
      </c>
      <c r="AI25" s="16">
        <v>72048.402299780864</v>
      </c>
      <c r="AJ25" s="16">
        <f>SUM(AF25:AI25)</f>
        <v>193087.62013843149</v>
      </c>
      <c r="AK25" s="16">
        <v>46897.933791134106</v>
      </c>
      <c r="AL25" s="16">
        <v>48658.634581522376</v>
      </c>
      <c r="AM25" s="16">
        <v>48758.564508962758</v>
      </c>
      <c r="AN25" s="16">
        <v>63115.780211760451</v>
      </c>
      <c r="AO25" s="16">
        <f>SUM(AK25:AN25)</f>
        <v>207430.9130933797</v>
      </c>
      <c r="AP25" s="16">
        <v>53251.04387303727</v>
      </c>
      <c r="AQ25" s="16">
        <v>49936.104963078127</v>
      </c>
      <c r="AR25" s="16">
        <v>58121.205129537848</v>
      </c>
      <c r="AS25" s="16">
        <v>67813.397399282767</v>
      </c>
      <c r="AT25" s="16">
        <f>SUM(AP25:AS25)</f>
        <v>229121.751364936</v>
      </c>
      <c r="AU25" s="16">
        <v>39581.219227501118</v>
      </c>
      <c r="AV25" s="16">
        <v>78793.915009759992</v>
      </c>
      <c r="AW25" s="16">
        <v>34786.880428812998</v>
      </c>
      <c r="AX25" s="16">
        <v>92856.028758169909</v>
      </c>
      <c r="AY25" s="16">
        <f>SUM(AU25:AX25)</f>
        <v>246018.04342424401</v>
      </c>
      <c r="AZ25" s="16">
        <v>30837.820349597183</v>
      </c>
      <c r="BA25" s="16">
        <v>59500.933737509047</v>
      </c>
      <c r="BB25" s="16">
        <v>79035.617255885518</v>
      </c>
      <c r="BC25" s="16">
        <v>85190.518657008259</v>
      </c>
      <c r="BD25" s="16">
        <f>SUM(AZ25:BC25)</f>
        <v>254564.89</v>
      </c>
      <c r="BE25" s="16">
        <v>3344.8848243922475</v>
      </c>
      <c r="BF25" s="16">
        <v>28113.882980791604</v>
      </c>
      <c r="BG25" s="16">
        <v>41816.099919797343</v>
      </c>
      <c r="BH25" s="16">
        <v>112045.056275018</v>
      </c>
      <c r="BI25" s="16">
        <f>SUM(BE25:BH25)</f>
        <v>185319.92399999918</v>
      </c>
      <c r="BJ25" s="16">
        <v>35392.235867922689</v>
      </c>
      <c r="BK25" s="16">
        <v>24640.169167164575</v>
      </c>
      <c r="BL25" s="16">
        <v>30824.269652664207</v>
      </c>
      <c r="BM25" s="16">
        <v>28372.26531224951</v>
      </c>
      <c r="BN25" s="16">
        <f>SUM(BJ25:BM25)</f>
        <v>119228.94000000098</v>
      </c>
      <c r="BO25" s="16">
        <v>21219.924204447001</v>
      </c>
      <c r="BP25" s="16">
        <v>29570.1945742731</v>
      </c>
      <c r="BQ25" s="16">
        <v>39106.026839774502</v>
      </c>
      <c r="BR25" s="16">
        <v>38034.234381505201</v>
      </c>
      <c r="BS25" s="16">
        <f>SUM(BO25:BR25)</f>
        <v>127930.3799999998</v>
      </c>
      <c r="BT25" s="16">
        <v>31674.324891117103</v>
      </c>
      <c r="BU25" s="16">
        <v>39051.278947263098</v>
      </c>
      <c r="BV25" s="16">
        <v>30876.146050400901</v>
      </c>
      <c r="BW25" s="16">
        <v>44596.038020888001</v>
      </c>
      <c r="BX25" s="16">
        <f>SUM(BT25:BW25)</f>
        <v>146197.7879096691</v>
      </c>
      <c r="BY25" s="16">
        <v>35799.494692264998</v>
      </c>
      <c r="BZ25" s="16">
        <v>42807.702158379303</v>
      </c>
      <c r="CA25" s="16">
        <v>30349.671071933903</v>
      </c>
      <c r="CB25" s="16">
        <v>35458.32</v>
      </c>
      <c r="CC25" s="16">
        <f>SUM(BY25:CB25)</f>
        <v>144415.18792257822</v>
      </c>
      <c r="CD25" s="16">
        <v>42066.505304940307</v>
      </c>
      <c r="CE25" s="16">
        <v>41915.229734582026</v>
      </c>
      <c r="CF25" s="16">
        <v>46297.395914220848</v>
      </c>
      <c r="CG25" s="16">
        <v>34583.334183829116</v>
      </c>
      <c r="CH25" s="16">
        <f>SUM(CD25:CG25)</f>
        <v>164862.46513757229</v>
      </c>
      <c r="CI25" s="16">
        <v>39272.170630878201</v>
      </c>
      <c r="CJ25" s="16">
        <v>40847.668663504701</v>
      </c>
      <c r="CK25" s="16">
        <v>45159.824944754197</v>
      </c>
      <c r="CL25" s="16">
        <v>48583.334183829102</v>
      </c>
      <c r="CM25" s="16">
        <f>SUM(CI25:CL25)</f>
        <v>173862.99842296619</v>
      </c>
      <c r="CN25" s="16"/>
      <c r="CO25" s="16"/>
      <c r="CP25" s="16"/>
      <c r="CQ25" s="16"/>
      <c r="CR25" s="16">
        <f>SUM(CN25:CQ25)</f>
        <v>0</v>
      </c>
    </row>
    <row r="26" spans="1:96" s="9" customFormat="1" ht="15" x14ac:dyDescent="0.4">
      <c r="A26" s="25"/>
      <c r="B26" s="22"/>
      <c r="C26" s="22"/>
      <c r="D26" s="22"/>
      <c r="E26" s="22"/>
      <c r="F26" s="24"/>
      <c r="G26" s="22"/>
      <c r="H26" s="22"/>
      <c r="I26" s="22"/>
      <c r="J26" s="22"/>
      <c r="K26" s="24"/>
      <c r="L26" s="22"/>
      <c r="M26" s="22"/>
      <c r="N26" s="22"/>
      <c r="O26" s="22"/>
      <c r="P26" s="24"/>
      <c r="Q26" s="22"/>
      <c r="R26" s="22"/>
      <c r="S26" s="22"/>
      <c r="T26" s="22"/>
      <c r="U26" s="24"/>
      <c r="V26" s="22"/>
      <c r="W26" s="22"/>
      <c r="X26" s="22"/>
      <c r="Y26" s="22"/>
      <c r="Z26" s="24"/>
      <c r="AA26" s="22"/>
      <c r="AB26" s="22"/>
      <c r="AC26" s="22"/>
      <c r="AD26" s="22"/>
      <c r="AE26" s="24"/>
      <c r="AF26" s="22"/>
      <c r="AG26" s="22"/>
      <c r="AH26" s="22"/>
      <c r="AI26" s="22"/>
      <c r="AJ26" s="24"/>
      <c r="AK26" s="22"/>
      <c r="AL26" s="22"/>
      <c r="AM26" s="22"/>
      <c r="AN26" s="22"/>
      <c r="AO26" s="24"/>
      <c r="AP26" s="22"/>
      <c r="AQ26" s="22"/>
      <c r="AR26" s="22"/>
      <c r="AS26" s="22"/>
      <c r="AT26" s="24"/>
      <c r="AU26" s="22"/>
      <c r="AV26" s="22"/>
      <c r="AW26" s="22"/>
      <c r="AX26" s="22"/>
      <c r="AY26" s="24"/>
      <c r="AZ26" s="22"/>
      <c r="BA26" s="22"/>
      <c r="BB26" s="22"/>
      <c r="BC26" s="22"/>
      <c r="BD26" s="24"/>
      <c r="BE26" s="22"/>
      <c r="BF26" s="22"/>
      <c r="BG26" s="22"/>
      <c r="BH26" s="22"/>
      <c r="BI26" s="24"/>
      <c r="BJ26" s="22"/>
      <c r="BK26" s="22"/>
      <c r="BL26" s="22"/>
      <c r="BM26" s="22"/>
      <c r="BN26" s="24"/>
      <c r="BO26" s="22"/>
      <c r="BP26" s="22"/>
      <c r="BQ26" s="22"/>
      <c r="BR26" s="22"/>
      <c r="BS26" s="24"/>
      <c r="BT26" s="22"/>
      <c r="BU26" s="22"/>
      <c r="BV26" s="22"/>
      <c r="BW26" s="22"/>
      <c r="BX26" s="24"/>
      <c r="BY26" s="22"/>
      <c r="BZ26" s="22"/>
      <c r="CA26" s="22"/>
      <c r="CB26" s="22"/>
      <c r="CC26" s="24"/>
      <c r="CD26" s="22"/>
      <c r="CE26" s="22"/>
      <c r="CF26" s="22"/>
      <c r="CG26" s="22"/>
      <c r="CH26" s="24"/>
      <c r="CI26" s="22"/>
      <c r="CJ26" s="22"/>
      <c r="CK26" s="22"/>
      <c r="CL26" s="22"/>
      <c r="CM26" s="24"/>
      <c r="CN26" s="22"/>
      <c r="CO26" s="22"/>
      <c r="CP26" s="22"/>
      <c r="CQ26" s="22"/>
      <c r="CR26" s="24"/>
    </row>
    <row r="27" spans="1:96" s="17" customFormat="1" ht="15" x14ac:dyDescent="0.4">
      <c r="A27" s="15" t="s">
        <v>94</v>
      </c>
      <c r="B27" s="16">
        <v>162170.82369710907</v>
      </c>
      <c r="C27" s="16">
        <v>186447.90217373506</v>
      </c>
      <c r="D27" s="16">
        <v>176012.14800969104</v>
      </c>
      <c r="E27" s="16">
        <v>227236.5958979936</v>
      </c>
      <c r="F27" s="16">
        <f>SUM(B27:E27)</f>
        <v>751867.46977852867</v>
      </c>
      <c r="G27" s="16">
        <v>159853.5027215647</v>
      </c>
      <c r="H27" s="16">
        <v>188370.12889541834</v>
      </c>
      <c r="I27" s="16">
        <v>220309.20170010964</v>
      </c>
      <c r="J27" s="16">
        <v>260498.6694749301</v>
      </c>
      <c r="K27" s="16">
        <f>SUM(G27:J27)</f>
        <v>829031.50279202266</v>
      </c>
      <c r="L27" s="16">
        <v>181134.51917013785</v>
      </c>
      <c r="M27" s="16">
        <v>216766.98069808452</v>
      </c>
      <c r="N27" s="16">
        <v>223729.12583244903</v>
      </c>
      <c r="O27" s="16">
        <v>343346.78090994642</v>
      </c>
      <c r="P27" s="16">
        <f>SUM(L27:O27)</f>
        <v>964977.40661061788</v>
      </c>
      <c r="Q27" s="16">
        <v>223722.4671823369</v>
      </c>
      <c r="R27" s="16">
        <v>313212.35822690284</v>
      </c>
      <c r="S27" s="16">
        <v>303861.84376419103</v>
      </c>
      <c r="T27" s="16">
        <v>316658.85096543573</v>
      </c>
      <c r="U27" s="16">
        <f>SUM(Q27:T27)</f>
        <v>1157455.5201388665</v>
      </c>
      <c r="V27" s="16">
        <v>274673.00196714734</v>
      </c>
      <c r="W27" s="16">
        <v>370918.84589169431</v>
      </c>
      <c r="X27" s="16">
        <v>356843.24177026114</v>
      </c>
      <c r="Y27" s="16">
        <v>385476.49596824741</v>
      </c>
      <c r="Z27" s="16">
        <f>SUM(V27:Y27)</f>
        <v>1387911.5855973503</v>
      </c>
      <c r="AA27" s="16">
        <v>334326.61198236432</v>
      </c>
      <c r="AB27" s="16">
        <v>349688.25064902118</v>
      </c>
      <c r="AC27" s="16">
        <v>419805.23117898591</v>
      </c>
      <c r="AD27" s="16">
        <v>438089.89741735219</v>
      </c>
      <c r="AE27" s="16">
        <f>SUM(AA27:AD27)</f>
        <v>1541909.9912277237</v>
      </c>
      <c r="AF27" s="16">
        <v>338456.89367953967</v>
      </c>
      <c r="AG27" s="16">
        <v>406477.2291911355</v>
      </c>
      <c r="AH27" s="16">
        <v>444692.63212330971</v>
      </c>
      <c r="AI27" s="16">
        <v>502276.42797873652</v>
      </c>
      <c r="AJ27" s="16">
        <f>SUM(AF27:AI27)</f>
        <v>1691903.1829727215</v>
      </c>
      <c r="AK27" s="16">
        <v>409192.81734951976</v>
      </c>
      <c r="AL27" s="16">
        <v>453023.98093802191</v>
      </c>
      <c r="AM27" s="16">
        <v>491363.034273542</v>
      </c>
      <c r="AN27" s="16">
        <v>573308.12659229629</v>
      </c>
      <c r="AO27" s="16">
        <f>SUM(AK27:AN27)</f>
        <v>1926887.9591533798</v>
      </c>
      <c r="AP27" s="16">
        <v>482480.84036371403</v>
      </c>
      <c r="AQ27" s="16">
        <v>500794.93590145564</v>
      </c>
      <c r="AR27" s="16">
        <v>547459.0753125106</v>
      </c>
      <c r="AS27" s="16">
        <v>613863.74768725981</v>
      </c>
      <c r="AT27" s="16">
        <f>SUM(AP27:AS27)</f>
        <v>2144598.5992649402</v>
      </c>
      <c r="AU27" s="16">
        <v>501967.09040167113</v>
      </c>
      <c r="AV27" s="16">
        <v>573567.59703306446</v>
      </c>
      <c r="AW27" s="16">
        <v>577616.22914943413</v>
      </c>
      <c r="AX27" s="16">
        <v>684347.59341582807</v>
      </c>
      <c r="AY27" s="16">
        <f>SUM(AU27:AX27)</f>
        <v>2337498.5099999979</v>
      </c>
      <c r="AZ27" s="16">
        <v>520429.97062184027</v>
      </c>
      <c r="BA27" s="16">
        <v>578981.65687139169</v>
      </c>
      <c r="BB27" s="16">
        <v>632837.6328031749</v>
      </c>
      <c r="BC27" s="16">
        <v>689608.7590694268</v>
      </c>
      <c r="BD27" s="16">
        <f>SUM(AZ27:BC27)</f>
        <v>2421858.0193658336</v>
      </c>
      <c r="BE27" s="16">
        <v>528163.81289942493</v>
      </c>
      <c r="BF27" s="16">
        <v>606269.84006339486</v>
      </c>
      <c r="BG27" s="16">
        <v>708296.78429974196</v>
      </c>
      <c r="BH27" s="16">
        <v>821039.95851978566</v>
      </c>
      <c r="BI27" s="16">
        <f>SUM(BE27:BH27)</f>
        <v>2663770.3957823473</v>
      </c>
      <c r="BJ27" s="16">
        <v>494587.02902623126</v>
      </c>
      <c r="BK27" s="16">
        <v>546996.82110307773</v>
      </c>
      <c r="BL27" s="16">
        <v>609265.837148124</v>
      </c>
      <c r="BM27" s="16">
        <v>676779.782563788</v>
      </c>
      <c r="BN27" s="16">
        <f>SUM(BJ27:BM27)</f>
        <v>2327629.4698412209</v>
      </c>
      <c r="BO27" s="16">
        <v>472952.05012624129</v>
      </c>
      <c r="BP27" s="16">
        <v>629861.47891807987</v>
      </c>
      <c r="BQ27" s="16">
        <v>581129.19419256889</v>
      </c>
      <c r="BR27" s="16">
        <v>780903.41940411157</v>
      </c>
      <c r="BS27" s="16">
        <f>SUM(BO27:BR27)</f>
        <v>2464846.1426410014</v>
      </c>
      <c r="BT27" s="16">
        <v>501916.15676153259</v>
      </c>
      <c r="BU27" s="16">
        <v>575395.97751224472</v>
      </c>
      <c r="BV27" s="16">
        <v>618067.86396727758</v>
      </c>
      <c r="BW27" s="16">
        <v>764979.66224039008</v>
      </c>
      <c r="BX27" s="16">
        <f>SUM(BT27:BW27)</f>
        <v>2460359.660481445</v>
      </c>
      <c r="BY27" s="16">
        <v>496007.077083515</v>
      </c>
      <c r="BZ27" s="16">
        <v>592955.10774409003</v>
      </c>
      <c r="CA27" s="16">
        <v>599832.66965656297</v>
      </c>
      <c r="CB27" s="16">
        <v>737636.60655429994</v>
      </c>
      <c r="CC27" s="16">
        <f>SUM(BY27:CB27)</f>
        <v>2426431.4610384679</v>
      </c>
      <c r="CD27" s="16">
        <v>533920.57454127213</v>
      </c>
      <c r="CE27" s="16">
        <v>620124.52233271103</v>
      </c>
      <c r="CF27" s="16">
        <v>618688.24928576604</v>
      </c>
      <c r="CG27" s="16">
        <v>752804.69106183504</v>
      </c>
      <c r="CH27" s="16">
        <f>SUM(CD27:CG27)</f>
        <v>2525538.0372215845</v>
      </c>
      <c r="CI27" s="16">
        <v>551470.32928981702</v>
      </c>
      <c r="CJ27" s="16">
        <f>615805.78776693-8000</f>
        <v>607805.78776692995</v>
      </c>
      <c r="CK27" s="16">
        <f>646145.137091796-8349.46867690585</f>
        <v>637795.66841489018</v>
      </c>
      <c r="CL27" s="16">
        <f>715949.079445338-1375</f>
        <v>714574.07944533799</v>
      </c>
      <c r="CM27" s="16">
        <f>SUM(CI27:CL27)</f>
        <v>2511645.8649169751</v>
      </c>
      <c r="CN27" s="16"/>
      <c r="CO27" s="16"/>
      <c r="CP27" s="16"/>
      <c r="CQ27" s="16"/>
      <c r="CR27" s="16">
        <f>SUM(CN27:CQ27)</f>
        <v>0</v>
      </c>
    </row>
    <row r="28" spans="1:96" s="9" customFormat="1" ht="15" x14ac:dyDescent="0.4">
      <c r="A28" s="25"/>
      <c r="B28" s="22"/>
      <c r="C28" s="22"/>
      <c r="D28" s="22"/>
      <c r="E28" s="22"/>
      <c r="F28" s="24"/>
      <c r="G28" s="22"/>
      <c r="H28" s="22"/>
      <c r="I28" s="22"/>
      <c r="J28" s="22"/>
      <c r="K28" s="24"/>
      <c r="L28" s="22"/>
      <c r="M28" s="22"/>
      <c r="N28" s="22"/>
      <c r="O28" s="22"/>
      <c r="P28" s="24"/>
      <c r="Q28" s="22"/>
      <c r="R28" s="22"/>
      <c r="S28" s="22"/>
      <c r="T28" s="22"/>
      <c r="U28" s="24"/>
      <c r="V28" s="22"/>
      <c r="W28" s="22"/>
      <c r="X28" s="22"/>
      <c r="Y28" s="22"/>
      <c r="Z28" s="24"/>
      <c r="AA28" s="22"/>
      <c r="AB28" s="22"/>
      <c r="AC28" s="22"/>
      <c r="AD28" s="22"/>
      <c r="AE28" s="24"/>
      <c r="AF28" s="22"/>
      <c r="AG28" s="22"/>
      <c r="AH28" s="22"/>
      <c r="AI28" s="22"/>
      <c r="AJ28" s="24"/>
      <c r="AK28" s="22"/>
      <c r="AL28" s="22"/>
      <c r="AM28" s="22"/>
      <c r="AN28" s="22"/>
      <c r="AO28" s="24"/>
      <c r="AP28" s="22"/>
      <c r="AQ28" s="22"/>
      <c r="AR28" s="22"/>
      <c r="AS28" s="22"/>
      <c r="AT28" s="24"/>
      <c r="AU28" s="22"/>
      <c r="AV28" s="22"/>
      <c r="AW28" s="22"/>
      <c r="AX28" s="22"/>
      <c r="AY28" s="24"/>
      <c r="AZ28" s="22"/>
      <c r="BA28" s="22"/>
      <c r="BB28" s="22"/>
      <c r="BC28" s="22"/>
      <c r="BD28" s="24"/>
      <c r="BE28" s="22"/>
      <c r="BF28" s="22"/>
      <c r="BG28" s="22"/>
      <c r="BH28" s="22"/>
      <c r="BI28" s="24"/>
      <c r="BJ28" s="22"/>
      <c r="BK28" s="22"/>
      <c r="BL28" s="22"/>
      <c r="BM28" s="22"/>
      <c r="BN28" s="24"/>
      <c r="BO28" s="22"/>
      <c r="BP28" s="22"/>
      <c r="BQ28" s="22"/>
      <c r="BR28" s="22"/>
      <c r="BS28" s="24"/>
      <c r="BT28" s="22"/>
      <c r="BU28" s="22"/>
      <c r="BV28" s="22"/>
      <c r="BW28" s="22"/>
      <c r="BX28" s="24"/>
      <c r="BY28" s="22"/>
      <c r="BZ28" s="22"/>
      <c r="CA28" s="22"/>
      <c r="CB28" s="22"/>
      <c r="CC28" s="24"/>
      <c r="CD28" s="22"/>
      <c r="CE28" s="22"/>
      <c r="CF28" s="22"/>
      <c r="CG28" s="22"/>
      <c r="CH28" s="24"/>
      <c r="CI28" s="22"/>
      <c r="CJ28" s="22"/>
      <c r="CK28" s="22"/>
      <c r="CL28" s="22"/>
      <c r="CM28" s="24"/>
      <c r="CN28" s="22"/>
      <c r="CO28" s="22"/>
      <c r="CP28" s="22"/>
      <c r="CQ28" s="22"/>
      <c r="CR28" s="24"/>
    </row>
    <row r="29" spans="1:96" s="9" customFormat="1" ht="23.25" customHeight="1" thickBot="1" x14ac:dyDescent="0.35">
      <c r="A29" s="26" t="s">
        <v>95</v>
      </c>
      <c r="B29" s="27">
        <f t="shared" ref="B29:BM29" si="78">B6+B15+B17+B19+B23+B25-B27</f>
        <v>171701.93515153893</v>
      </c>
      <c r="C29" s="27">
        <f t="shared" si="78"/>
        <v>179403.54769289357</v>
      </c>
      <c r="D29" s="27">
        <f t="shared" si="78"/>
        <v>185312.12584127882</v>
      </c>
      <c r="E29" s="27">
        <f t="shared" si="78"/>
        <v>195252.20463491679</v>
      </c>
      <c r="F29" s="27">
        <f t="shared" si="78"/>
        <v>731669.8133206286</v>
      </c>
      <c r="G29" s="27">
        <f t="shared" si="78"/>
        <v>203101.23384755276</v>
      </c>
      <c r="H29" s="27">
        <f t="shared" si="78"/>
        <v>207349.14223710363</v>
      </c>
      <c r="I29" s="27">
        <f t="shared" si="78"/>
        <v>214565.5803083707</v>
      </c>
      <c r="J29" s="27">
        <f t="shared" si="78"/>
        <v>229463.96307275671</v>
      </c>
      <c r="K29" s="27">
        <f t="shared" si="78"/>
        <v>854479.91946578375</v>
      </c>
      <c r="L29" s="27">
        <f t="shared" si="78"/>
        <v>230193.05505778527</v>
      </c>
      <c r="M29" s="27">
        <f t="shared" si="78"/>
        <v>242180.51658679434</v>
      </c>
      <c r="N29" s="27">
        <f t="shared" si="78"/>
        <v>249838.41620549842</v>
      </c>
      <c r="O29" s="27">
        <f t="shared" si="78"/>
        <v>258341.77068498882</v>
      </c>
      <c r="P29" s="27">
        <f t="shared" si="78"/>
        <v>980553.75853506685</v>
      </c>
      <c r="Q29" s="27">
        <f t="shared" si="78"/>
        <v>263302.24277726287</v>
      </c>
      <c r="R29" s="27">
        <f t="shared" si="78"/>
        <v>275216.81133441773</v>
      </c>
      <c r="S29" s="27">
        <f t="shared" si="78"/>
        <v>295162.18696637917</v>
      </c>
      <c r="T29" s="27">
        <f t="shared" si="78"/>
        <v>316023.15072725038</v>
      </c>
      <c r="U29" s="27">
        <f t="shared" si="78"/>
        <v>1149704.3918053105</v>
      </c>
      <c r="V29" s="27">
        <f t="shared" si="78"/>
        <v>316821.01137534447</v>
      </c>
      <c r="W29" s="27">
        <f t="shared" si="78"/>
        <v>330951.14048169286</v>
      </c>
      <c r="X29" s="27">
        <f t="shared" si="78"/>
        <v>339840.9725723571</v>
      </c>
      <c r="Y29" s="27">
        <f t="shared" si="78"/>
        <v>349925.78192095493</v>
      </c>
      <c r="Z29" s="27">
        <f t="shared" si="78"/>
        <v>1337538.9063503491</v>
      </c>
      <c r="AA29" s="27">
        <f t="shared" si="78"/>
        <v>341821.23007914401</v>
      </c>
      <c r="AB29" s="27">
        <f t="shared" si="78"/>
        <v>362662.90176903229</v>
      </c>
      <c r="AC29" s="27">
        <f t="shared" si="78"/>
        <v>383752.93250872917</v>
      </c>
      <c r="AD29" s="27">
        <f t="shared" si="78"/>
        <v>414140.91126849211</v>
      </c>
      <c r="AE29" s="27">
        <f t="shared" si="78"/>
        <v>1502377.9756253972</v>
      </c>
      <c r="AF29" s="27">
        <f t="shared" si="78"/>
        <v>406591.1394200701</v>
      </c>
      <c r="AG29" s="27">
        <f t="shared" si="78"/>
        <v>418702.89119919413</v>
      </c>
      <c r="AH29" s="27">
        <f t="shared" si="78"/>
        <v>436742.94750610407</v>
      </c>
      <c r="AI29" s="27">
        <f t="shared" si="78"/>
        <v>452489.91099282209</v>
      </c>
      <c r="AJ29" s="27">
        <f t="shared" si="78"/>
        <v>1714526.8891181906</v>
      </c>
      <c r="AK29" s="27">
        <f t="shared" si="78"/>
        <v>445274.42387020035</v>
      </c>
      <c r="AL29" s="27">
        <f t="shared" si="78"/>
        <v>463344.76320462057</v>
      </c>
      <c r="AM29" s="27">
        <f t="shared" si="78"/>
        <v>483011.97161380621</v>
      </c>
      <c r="AN29" s="27">
        <f t="shared" si="78"/>
        <v>507918.77725137316</v>
      </c>
      <c r="AO29" s="27">
        <f t="shared" si="78"/>
        <v>1899549.9359400002</v>
      </c>
      <c r="AP29" s="27">
        <f t="shared" si="78"/>
        <v>496722.69978985598</v>
      </c>
      <c r="AQ29" s="27">
        <f t="shared" si="78"/>
        <v>521036.14878706896</v>
      </c>
      <c r="AR29" s="27">
        <f t="shared" si="78"/>
        <v>535524.52868179837</v>
      </c>
      <c r="AS29" s="27">
        <f t="shared" si="78"/>
        <v>555673.63184127642</v>
      </c>
      <c r="AT29" s="27">
        <f t="shared" si="78"/>
        <v>2108957.0090999985</v>
      </c>
      <c r="AU29" s="27">
        <f t="shared" si="78"/>
        <v>544850.72115889937</v>
      </c>
      <c r="AV29" s="27">
        <f t="shared" si="78"/>
        <v>563840.54237000004</v>
      </c>
      <c r="AW29" s="27">
        <f t="shared" si="78"/>
        <v>581182.38343822036</v>
      </c>
      <c r="AX29" s="27">
        <f t="shared" si="78"/>
        <v>601683.46767403896</v>
      </c>
      <c r="AY29" s="27">
        <f t="shared" si="78"/>
        <v>2291557.1146411579</v>
      </c>
      <c r="AZ29" s="27">
        <f t="shared" si="78"/>
        <v>589470.14433718659</v>
      </c>
      <c r="BA29" s="27">
        <f t="shared" si="78"/>
        <v>609417.50111250998</v>
      </c>
      <c r="BB29" s="27">
        <f t="shared" si="78"/>
        <v>634206.91077637393</v>
      </c>
      <c r="BC29" s="27">
        <f t="shared" si="78"/>
        <v>651719.66410809511</v>
      </c>
      <c r="BD29" s="27">
        <f t="shared" si="78"/>
        <v>2484814.2203341662</v>
      </c>
      <c r="BE29" s="27">
        <f t="shared" si="78"/>
        <v>640879.45233151712</v>
      </c>
      <c r="BF29" s="27">
        <f t="shared" si="78"/>
        <v>665141.11949154211</v>
      </c>
      <c r="BG29" s="27">
        <f t="shared" si="78"/>
        <v>681663.03560106969</v>
      </c>
      <c r="BH29" s="27">
        <f t="shared" si="78"/>
        <v>696560.20729350392</v>
      </c>
      <c r="BI29" s="27">
        <f t="shared" si="78"/>
        <v>2684243.8147176323</v>
      </c>
      <c r="BJ29" s="27">
        <f t="shared" si="78"/>
        <v>680292.16162462533</v>
      </c>
      <c r="BK29" s="27">
        <f t="shared" si="78"/>
        <v>672157.31882230856</v>
      </c>
      <c r="BL29" s="27">
        <f t="shared" si="78"/>
        <v>678208.37854136375</v>
      </c>
      <c r="BM29" s="27">
        <f t="shared" si="78"/>
        <v>681867.35613782599</v>
      </c>
      <c r="BN29" s="27">
        <f t="shared" ref="BN29:CR29" si="79">BN6+BN15+BN17+BN19+BN23+BN25-BN27</f>
        <v>2712525.2151261247</v>
      </c>
      <c r="BO29" s="27">
        <f t="shared" si="79"/>
        <v>681428.38545299764</v>
      </c>
      <c r="BP29" s="27">
        <f t="shared" si="79"/>
        <v>716346.43624516309</v>
      </c>
      <c r="BQ29" s="27">
        <f t="shared" si="79"/>
        <v>721959.32582697563</v>
      </c>
      <c r="BR29" s="27">
        <f t="shared" si="79"/>
        <v>748409.83983386145</v>
      </c>
      <c r="BS29" s="27">
        <f t="shared" si="79"/>
        <v>2868143.9873589976</v>
      </c>
      <c r="BT29" s="27">
        <f t="shared" si="79"/>
        <v>727490.92942720815</v>
      </c>
      <c r="BU29" s="27">
        <f t="shared" si="79"/>
        <v>782087.0478218958</v>
      </c>
      <c r="BV29" s="27">
        <f t="shared" si="79"/>
        <v>804155.70763265039</v>
      </c>
      <c r="BW29" s="27">
        <f t="shared" si="79"/>
        <v>837390.85553127748</v>
      </c>
      <c r="BX29" s="27">
        <f t="shared" si="79"/>
        <v>3151124.5404130328</v>
      </c>
      <c r="BY29" s="27">
        <f t="shared" si="79"/>
        <v>800234.38735983265</v>
      </c>
      <c r="BZ29" s="27">
        <f t="shared" si="79"/>
        <v>856302.38745084661</v>
      </c>
      <c r="CA29" s="27">
        <f t="shared" si="79"/>
        <v>856740.80501120363</v>
      </c>
      <c r="CB29" s="27">
        <f t="shared" si="79"/>
        <v>878605.70344570011</v>
      </c>
      <c r="CC29" s="27">
        <f t="shared" si="79"/>
        <v>3391883.2832675842</v>
      </c>
      <c r="CD29" s="27">
        <f t="shared" si="79"/>
        <v>858647.26446126937</v>
      </c>
      <c r="CE29" s="27">
        <f t="shared" si="79"/>
        <v>903860.57733158616</v>
      </c>
      <c r="CF29" s="27">
        <f t="shared" si="79"/>
        <v>916146.95906400692</v>
      </c>
      <c r="CG29" s="27">
        <f t="shared" si="79"/>
        <v>939513.80895022396</v>
      </c>
      <c r="CH29" s="27">
        <f t="shared" si="79"/>
        <v>3618168.6098070862</v>
      </c>
      <c r="CI29" s="27">
        <f t="shared" si="79"/>
        <v>921096.01798170502</v>
      </c>
      <c r="CJ29" s="27">
        <f t="shared" si="79"/>
        <v>949804.61154494178</v>
      </c>
      <c r="CK29" s="27">
        <f t="shared" si="79"/>
        <v>968238.93941143726</v>
      </c>
      <c r="CL29" s="27">
        <f t="shared" si="79"/>
        <v>1005077.4205667215</v>
      </c>
      <c r="CM29" s="27">
        <f t="shared" si="79"/>
        <v>3844216.9895048044</v>
      </c>
      <c r="CN29" s="27">
        <f t="shared" si="79"/>
        <v>0</v>
      </c>
      <c r="CO29" s="27">
        <f t="shared" si="79"/>
        <v>0</v>
      </c>
      <c r="CP29" s="27">
        <f t="shared" si="79"/>
        <v>0</v>
      </c>
      <c r="CQ29" s="27">
        <f t="shared" si="79"/>
        <v>0</v>
      </c>
      <c r="CR29" s="27">
        <f t="shared" si="79"/>
        <v>0</v>
      </c>
    </row>
    <row r="30" spans="1:96" s="9" customFormat="1" ht="15" x14ac:dyDescent="0.4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  <c r="CP30" s="29"/>
      <c r="CQ30" s="29"/>
      <c r="CR30" s="29"/>
    </row>
    <row r="31" spans="1:96" s="31" customFormat="1" ht="15" x14ac:dyDescent="0.4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</row>
    <row r="32" spans="1:96" s="31" customFormat="1" ht="15" x14ac:dyDescent="0.4">
      <c r="A32" s="32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</row>
    <row r="33" spans="1:96" ht="20" x14ac:dyDescent="0.4">
      <c r="A33" s="1" t="s">
        <v>96</v>
      </c>
    </row>
    <row r="34" spans="1:96" ht="20.5" thickBot="1" x14ac:dyDescent="0.45">
      <c r="A34" s="1" t="str">
        <f>A2</f>
        <v>Kabupaten/Kota :</v>
      </c>
      <c r="B34" s="34" t="str">
        <f>B2</f>
        <v>Kepuluauan Tanimbar</v>
      </c>
      <c r="L34" s="35"/>
      <c r="V34" s="35"/>
      <c r="AF34" s="35"/>
      <c r="AP34" s="35"/>
      <c r="AZ34" s="35"/>
      <c r="BJ34" s="35"/>
      <c r="BT34" s="35"/>
    </row>
    <row r="35" spans="1:96" s="9" customFormat="1" ht="24" customHeight="1" thickBot="1" x14ac:dyDescent="0.35">
      <c r="A35" s="5" t="s">
        <v>2</v>
      </c>
      <c r="B35" s="6" t="s">
        <v>3</v>
      </c>
      <c r="C35" s="6" t="s">
        <v>4</v>
      </c>
      <c r="D35" s="6" t="s">
        <v>5</v>
      </c>
      <c r="E35" s="6" t="s">
        <v>6</v>
      </c>
      <c r="F35" s="6">
        <v>2008</v>
      </c>
      <c r="G35" s="7" t="s">
        <v>7</v>
      </c>
      <c r="H35" s="7" t="s">
        <v>8</v>
      </c>
      <c r="I35" s="7" t="s">
        <v>9</v>
      </c>
      <c r="J35" s="7" t="s">
        <v>10</v>
      </c>
      <c r="K35" s="7">
        <v>2009</v>
      </c>
      <c r="L35" s="6" t="s">
        <v>11</v>
      </c>
      <c r="M35" s="6" t="s">
        <v>12</v>
      </c>
      <c r="N35" s="6" t="s">
        <v>13</v>
      </c>
      <c r="O35" s="6" t="s">
        <v>14</v>
      </c>
      <c r="P35" s="6">
        <v>2010</v>
      </c>
      <c r="Q35" s="7" t="s">
        <v>15</v>
      </c>
      <c r="R35" s="7" t="s">
        <v>16</v>
      </c>
      <c r="S35" s="7" t="s">
        <v>17</v>
      </c>
      <c r="T35" s="7" t="s">
        <v>18</v>
      </c>
      <c r="U35" s="7">
        <v>2011</v>
      </c>
      <c r="V35" s="6" t="s">
        <v>19</v>
      </c>
      <c r="W35" s="6" t="s">
        <v>20</v>
      </c>
      <c r="X35" s="6" t="s">
        <v>21</v>
      </c>
      <c r="Y35" s="6" t="s">
        <v>22</v>
      </c>
      <c r="Z35" s="6">
        <v>2012</v>
      </c>
      <c r="AA35" s="7" t="s">
        <v>23</v>
      </c>
      <c r="AB35" s="7" t="s">
        <v>24</v>
      </c>
      <c r="AC35" s="7" t="s">
        <v>25</v>
      </c>
      <c r="AD35" s="7" t="s">
        <v>26</v>
      </c>
      <c r="AE35" s="7">
        <v>2013</v>
      </c>
      <c r="AF35" s="6" t="s">
        <v>27</v>
      </c>
      <c r="AG35" s="6" t="s">
        <v>28</v>
      </c>
      <c r="AH35" s="6" t="s">
        <v>29</v>
      </c>
      <c r="AI35" s="6" t="s">
        <v>30</v>
      </c>
      <c r="AJ35" s="6">
        <v>2014</v>
      </c>
      <c r="AK35" s="7" t="s">
        <v>31</v>
      </c>
      <c r="AL35" s="7" t="s">
        <v>32</v>
      </c>
      <c r="AM35" s="7" t="s">
        <v>33</v>
      </c>
      <c r="AN35" s="7" t="s">
        <v>34</v>
      </c>
      <c r="AO35" s="7">
        <v>2015</v>
      </c>
      <c r="AP35" s="6" t="s">
        <v>35</v>
      </c>
      <c r="AQ35" s="6" t="s">
        <v>36</v>
      </c>
      <c r="AR35" s="6" t="s">
        <v>37</v>
      </c>
      <c r="AS35" s="6" t="s">
        <v>38</v>
      </c>
      <c r="AT35" s="6">
        <v>2016</v>
      </c>
      <c r="AU35" s="7" t="s">
        <v>39</v>
      </c>
      <c r="AV35" s="7" t="s">
        <v>40</v>
      </c>
      <c r="AW35" s="7" t="s">
        <v>41</v>
      </c>
      <c r="AX35" s="7" t="s">
        <v>42</v>
      </c>
      <c r="AY35" s="7">
        <v>2017</v>
      </c>
      <c r="AZ35" s="6" t="s">
        <v>43</v>
      </c>
      <c r="BA35" s="6" t="s">
        <v>44</v>
      </c>
      <c r="BB35" s="6" t="s">
        <v>45</v>
      </c>
      <c r="BC35" s="6" t="s">
        <v>46</v>
      </c>
      <c r="BD35" s="6">
        <v>2018</v>
      </c>
      <c r="BE35" s="7" t="s">
        <v>47</v>
      </c>
      <c r="BF35" s="7" t="s">
        <v>48</v>
      </c>
      <c r="BG35" s="7" t="s">
        <v>49</v>
      </c>
      <c r="BH35" s="7" t="s">
        <v>50</v>
      </c>
      <c r="BI35" s="7">
        <v>2019</v>
      </c>
      <c r="BJ35" s="6" t="s">
        <v>51</v>
      </c>
      <c r="BK35" s="6" t="s">
        <v>52</v>
      </c>
      <c r="BL35" s="6" t="s">
        <v>53</v>
      </c>
      <c r="BM35" s="6" t="s">
        <v>54</v>
      </c>
      <c r="BN35" s="6">
        <v>2020</v>
      </c>
      <c r="BO35" s="7" t="s">
        <v>55</v>
      </c>
      <c r="BP35" s="7" t="s">
        <v>56</v>
      </c>
      <c r="BQ35" s="7" t="s">
        <v>57</v>
      </c>
      <c r="BR35" s="7" t="s">
        <v>58</v>
      </c>
      <c r="BS35" s="7">
        <v>2021</v>
      </c>
      <c r="BT35" s="6" t="s">
        <v>59</v>
      </c>
      <c r="BU35" s="6" t="s">
        <v>60</v>
      </c>
      <c r="BV35" s="6" t="s">
        <v>61</v>
      </c>
      <c r="BW35" s="6" t="s">
        <v>62</v>
      </c>
      <c r="BX35" s="6">
        <v>2022</v>
      </c>
      <c r="BY35" s="7" t="s">
        <v>63</v>
      </c>
      <c r="BZ35" s="7" t="s">
        <v>64</v>
      </c>
      <c r="CA35" s="7" t="s">
        <v>65</v>
      </c>
      <c r="CB35" s="7" t="s">
        <v>66</v>
      </c>
      <c r="CC35" s="7">
        <v>2023</v>
      </c>
      <c r="CD35" s="8" t="s">
        <v>67</v>
      </c>
      <c r="CE35" s="8" t="s">
        <v>68</v>
      </c>
      <c r="CF35" s="8" t="s">
        <v>69</v>
      </c>
      <c r="CG35" s="8" t="s">
        <v>70</v>
      </c>
      <c r="CH35" s="8">
        <v>2024</v>
      </c>
      <c r="CI35" s="7" t="s">
        <v>71</v>
      </c>
      <c r="CJ35" s="7" t="s">
        <v>72</v>
      </c>
      <c r="CK35" s="7" t="s">
        <v>73</v>
      </c>
      <c r="CL35" s="7" t="s">
        <v>74</v>
      </c>
      <c r="CM35" s="7">
        <v>2025</v>
      </c>
      <c r="CN35" s="8" t="s">
        <v>75</v>
      </c>
      <c r="CO35" s="8" t="s">
        <v>76</v>
      </c>
      <c r="CP35" s="8" t="s">
        <v>77</v>
      </c>
      <c r="CQ35" s="8" t="s">
        <v>78</v>
      </c>
      <c r="CR35" s="8">
        <v>2026</v>
      </c>
    </row>
    <row r="36" spans="1:96" s="9" customFormat="1" ht="13.5" thickBot="1" x14ac:dyDescent="0.35">
      <c r="A36" s="10">
        <v>-1</v>
      </c>
      <c r="B36" s="11">
        <f>Table33610191810[[#This Row],[Komponen Pengeluaran]]-1</f>
        <v>-2</v>
      </c>
      <c r="C36" s="11">
        <f>B36-1</f>
        <v>-3</v>
      </c>
      <c r="D36" s="11">
        <f t="shared" ref="D36:BO36" si="80">C36-1</f>
        <v>-4</v>
      </c>
      <c r="E36" s="11">
        <f t="shared" si="80"/>
        <v>-5</v>
      </c>
      <c r="F36" s="11">
        <f t="shared" si="80"/>
        <v>-6</v>
      </c>
      <c r="G36" s="11">
        <f t="shared" si="80"/>
        <v>-7</v>
      </c>
      <c r="H36" s="11">
        <f t="shared" si="80"/>
        <v>-8</v>
      </c>
      <c r="I36" s="11">
        <f t="shared" si="80"/>
        <v>-9</v>
      </c>
      <c r="J36" s="11">
        <f t="shared" si="80"/>
        <v>-10</v>
      </c>
      <c r="K36" s="11">
        <f t="shared" si="80"/>
        <v>-11</v>
      </c>
      <c r="L36" s="11">
        <f t="shared" si="80"/>
        <v>-12</v>
      </c>
      <c r="M36" s="11">
        <f t="shared" si="80"/>
        <v>-13</v>
      </c>
      <c r="N36" s="11">
        <f t="shared" si="80"/>
        <v>-14</v>
      </c>
      <c r="O36" s="11">
        <f t="shared" si="80"/>
        <v>-15</v>
      </c>
      <c r="P36" s="11">
        <f t="shared" si="80"/>
        <v>-16</v>
      </c>
      <c r="Q36" s="11">
        <f t="shared" si="80"/>
        <v>-17</v>
      </c>
      <c r="R36" s="11">
        <f t="shared" si="80"/>
        <v>-18</v>
      </c>
      <c r="S36" s="11">
        <f t="shared" si="80"/>
        <v>-19</v>
      </c>
      <c r="T36" s="11">
        <f t="shared" si="80"/>
        <v>-20</v>
      </c>
      <c r="U36" s="11">
        <f t="shared" si="80"/>
        <v>-21</v>
      </c>
      <c r="V36" s="11">
        <f t="shared" si="80"/>
        <v>-22</v>
      </c>
      <c r="W36" s="11">
        <f t="shared" si="80"/>
        <v>-23</v>
      </c>
      <c r="X36" s="11">
        <f t="shared" si="80"/>
        <v>-24</v>
      </c>
      <c r="Y36" s="11">
        <f t="shared" si="80"/>
        <v>-25</v>
      </c>
      <c r="Z36" s="11">
        <f t="shared" si="80"/>
        <v>-26</v>
      </c>
      <c r="AA36" s="11">
        <f t="shared" si="80"/>
        <v>-27</v>
      </c>
      <c r="AB36" s="11">
        <f t="shared" si="80"/>
        <v>-28</v>
      </c>
      <c r="AC36" s="11">
        <f t="shared" si="80"/>
        <v>-29</v>
      </c>
      <c r="AD36" s="11">
        <f t="shared" si="80"/>
        <v>-30</v>
      </c>
      <c r="AE36" s="11">
        <f t="shared" si="80"/>
        <v>-31</v>
      </c>
      <c r="AF36" s="11">
        <f t="shared" si="80"/>
        <v>-32</v>
      </c>
      <c r="AG36" s="11">
        <f t="shared" si="80"/>
        <v>-33</v>
      </c>
      <c r="AH36" s="11">
        <f t="shared" si="80"/>
        <v>-34</v>
      </c>
      <c r="AI36" s="11">
        <f t="shared" si="80"/>
        <v>-35</v>
      </c>
      <c r="AJ36" s="11">
        <f t="shared" si="80"/>
        <v>-36</v>
      </c>
      <c r="AK36" s="11">
        <f t="shared" si="80"/>
        <v>-37</v>
      </c>
      <c r="AL36" s="11">
        <f t="shared" si="80"/>
        <v>-38</v>
      </c>
      <c r="AM36" s="11">
        <f t="shared" si="80"/>
        <v>-39</v>
      </c>
      <c r="AN36" s="11">
        <f t="shared" si="80"/>
        <v>-40</v>
      </c>
      <c r="AO36" s="11">
        <f t="shared" si="80"/>
        <v>-41</v>
      </c>
      <c r="AP36" s="11">
        <f t="shared" si="80"/>
        <v>-42</v>
      </c>
      <c r="AQ36" s="11">
        <f t="shared" si="80"/>
        <v>-43</v>
      </c>
      <c r="AR36" s="11">
        <f t="shared" si="80"/>
        <v>-44</v>
      </c>
      <c r="AS36" s="11">
        <f t="shared" si="80"/>
        <v>-45</v>
      </c>
      <c r="AT36" s="11">
        <f t="shared" si="80"/>
        <v>-46</v>
      </c>
      <c r="AU36" s="11">
        <f t="shared" si="80"/>
        <v>-47</v>
      </c>
      <c r="AV36" s="11">
        <f t="shared" si="80"/>
        <v>-48</v>
      </c>
      <c r="AW36" s="11">
        <f t="shared" si="80"/>
        <v>-49</v>
      </c>
      <c r="AX36" s="11">
        <f t="shared" si="80"/>
        <v>-50</v>
      </c>
      <c r="AY36" s="11">
        <f t="shared" si="80"/>
        <v>-51</v>
      </c>
      <c r="AZ36" s="11">
        <f t="shared" si="80"/>
        <v>-52</v>
      </c>
      <c r="BA36" s="11">
        <f t="shared" si="80"/>
        <v>-53</v>
      </c>
      <c r="BB36" s="11">
        <f t="shared" si="80"/>
        <v>-54</v>
      </c>
      <c r="BC36" s="11">
        <f t="shared" si="80"/>
        <v>-55</v>
      </c>
      <c r="BD36" s="11">
        <f t="shared" si="80"/>
        <v>-56</v>
      </c>
      <c r="BE36" s="11">
        <f t="shared" si="80"/>
        <v>-57</v>
      </c>
      <c r="BF36" s="11">
        <f t="shared" si="80"/>
        <v>-58</v>
      </c>
      <c r="BG36" s="11">
        <f t="shared" si="80"/>
        <v>-59</v>
      </c>
      <c r="BH36" s="11">
        <f t="shared" si="80"/>
        <v>-60</v>
      </c>
      <c r="BI36" s="11">
        <f t="shared" si="80"/>
        <v>-61</v>
      </c>
      <c r="BJ36" s="11">
        <f t="shared" si="80"/>
        <v>-62</v>
      </c>
      <c r="BK36" s="11">
        <f t="shared" si="80"/>
        <v>-63</v>
      </c>
      <c r="BL36" s="11">
        <f t="shared" si="80"/>
        <v>-64</v>
      </c>
      <c r="BM36" s="11">
        <f t="shared" si="80"/>
        <v>-65</v>
      </c>
      <c r="BN36" s="11">
        <f t="shared" si="80"/>
        <v>-66</v>
      </c>
      <c r="BO36" s="11">
        <f t="shared" si="80"/>
        <v>-67</v>
      </c>
      <c r="BP36" s="11">
        <f t="shared" ref="BP36:CR36" si="81">BO36-1</f>
        <v>-68</v>
      </c>
      <c r="BQ36" s="11">
        <f t="shared" si="81"/>
        <v>-69</v>
      </c>
      <c r="BR36" s="11">
        <f t="shared" si="81"/>
        <v>-70</v>
      </c>
      <c r="BS36" s="11">
        <f t="shared" si="81"/>
        <v>-71</v>
      </c>
      <c r="BT36" s="11">
        <f t="shared" si="81"/>
        <v>-72</v>
      </c>
      <c r="BU36" s="11">
        <f t="shared" si="81"/>
        <v>-73</v>
      </c>
      <c r="BV36" s="11">
        <f t="shared" si="81"/>
        <v>-74</v>
      </c>
      <c r="BW36" s="11">
        <f t="shared" si="81"/>
        <v>-75</v>
      </c>
      <c r="BX36" s="11">
        <f t="shared" si="81"/>
        <v>-76</v>
      </c>
      <c r="BY36" s="11">
        <f t="shared" si="81"/>
        <v>-77</v>
      </c>
      <c r="BZ36" s="11">
        <f t="shared" si="81"/>
        <v>-78</v>
      </c>
      <c r="CA36" s="11">
        <f t="shared" si="81"/>
        <v>-79</v>
      </c>
      <c r="CB36" s="11">
        <f t="shared" si="81"/>
        <v>-80</v>
      </c>
      <c r="CC36" s="11">
        <f t="shared" si="81"/>
        <v>-81</v>
      </c>
      <c r="CD36" s="11">
        <f t="shared" si="81"/>
        <v>-82</v>
      </c>
      <c r="CE36" s="11">
        <f t="shared" si="81"/>
        <v>-83</v>
      </c>
      <c r="CF36" s="11">
        <f t="shared" si="81"/>
        <v>-84</v>
      </c>
      <c r="CG36" s="11">
        <f t="shared" si="81"/>
        <v>-85</v>
      </c>
      <c r="CH36" s="11">
        <f t="shared" si="81"/>
        <v>-86</v>
      </c>
      <c r="CI36" s="11">
        <f t="shared" si="81"/>
        <v>-87</v>
      </c>
      <c r="CJ36" s="11">
        <f t="shared" si="81"/>
        <v>-88</v>
      </c>
      <c r="CK36" s="11">
        <f t="shared" si="81"/>
        <v>-89</v>
      </c>
      <c r="CL36" s="11">
        <f t="shared" si="81"/>
        <v>-90</v>
      </c>
      <c r="CM36" s="11">
        <f t="shared" si="81"/>
        <v>-91</v>
      </c>
      <c r="CN36" s="11">
        <f t="shared" si="81"/>
        <v>-92</v>
      </c>
      <c r="CO36" s="11">
        <f t="shared" si="81"/>
        <v>-93</v>
      </c>
      <c r="CP36" s="11">
        <f t="shared" si="81"/>
        <v>-94</v>
      </c>
      <c r="CQ36" s="11">
        <f t="shared" si="81"/>
        <v>-95</v>
      </c>
      <c r="CR36" s="11">
        <f t="shared" si="81"/>
        <v>-96</v>
      </c>
    </row>
    <row r="37" spans="1:96" s="9" customFormat="1" ht="16.5" thickTop="1" x14ac:dyDescent="0.4">
      <c r="A37" s="12"/>
      <c r="B37" s="13"/>
      <c r="C37" s="13"/>
      <c r="D37" s="13"/>
      <c r="E37" s="13"/>
      <c r="F37" s="14"/>
      <c r="G37" s="13"/>
      <c r="H37" s="13"/>
      <c r="I37" s="13"/>
      <c r="J37" s="13"/>
      <c r="K37" s="14"/>
      <c r="L37" s="13"/>
      <c r="M37" s="13"/>
      <c r="N37" s="13"/>
      <c r="O37" s="13"/>
      <c r="P37" s="14"/>
      <c r="Q37" s="13"/>
      <c r="R37" s="13"/>
      <c r="S37" s="13"/>
      <c r="T37" s="13"/>
      <c r="U37" s="14"/>
      <c r="V37" s="13"/>
      <c r="W37" s="13"/>
      <c r="X37" s="13"/>
      <c r="Y37" s="13"/>
      <c r="Z37" s="14"/>
      <c r="AA37" s="13"/>
      <c r="AB37" s="13"/>
      <c r="AC37" s="13"/>
      <c r="AD37" s="13"/>
      <c r="AE37" s="14"/>
      <c r="AF37" s="13"/>
      <c r="AG37" s="13"/>
      <c r="AH37" s="13"/>
      <c r="AI37" s="13"/>
      <c r="AJ37" s="14"/>
      <c r="AK37" s="13"/>
      <c r="AL37" s="13"/>
      <c r="AM37" s="13"/>
      <c r="AN37" s="13"/>
      <c r="AO37" s="14"/>
      <c r="AP37" s="13"/>
      <c r="AQ37" s="13"/>
      <c r="AR37" s="13"/>
      <c r="AS37" s="13"/>
      <c r="AT37" s="14"/>
      <c r="AU37" s="13"/>
      <c r="AV37" s="13"/>
      <c r="AW37" s="13"/>
      <c r="AX37" s="13"/>
      <c r="AY37" s="14"/>
      <c r="AZ37" s="13"/>
      <c r="BA37" s="13"/>
      <c r="BB37" s="13"/>
      <c r="BC37" s="13"/>
      <c r="BD37" s="14"/>
      <c r="BE37" s="13"/>
      <c r="BF37" s="13"/>
      <c r="BG37" s="13"/>
      <c r="BH37" s="13"/>
      <c r="BI37" s="14"/>
      <c r="BJ37" s="13"/>
      <c r="BK37" s="13"/>
      <c r="BL37" s="13"/>
      <c r="BM37" s="13"/>
      <c r="BN37" s="14"/>
      <c r="BO37" s="13"/>
      <c r="BP37" s="13"/>
      <c r="BQ37" s="13"/>
      <c r="BR37" s="13"/>
      <c r="BS37" s="14"/>
      <c r="BT37" s="13"/>
      <c r="BU37" s="13"/>
      <c r="BV37" s="13"/>
      <c r="BW37" s="13"/>
      <c r="BX37" s="14"/>
      <c r="BY37" s="13"/>
      <c r="BZ37" s="13"/>
      <c r="CA37" s="13"/>
      <c r="CB37" s="13"/>
      <c r="CC37" s="14"/>
      <c r="CD37" s="13"/>
      <c r="CE37" s="13"/>
      <c r="CF37" s="13"/>
      <c r="CG37" s="13"/>
      <c r="CH37" s="14"/>
      <c r="CI37" s="13"/>
      <c r="CJ37" s="13"/>
      <c r="CK37" s="13"/>
      <c r="CL37" s="13"/>
      <c r="CM37" s="14"/>
      <c r="CN37" s="13"/>
      <c r="CO37" s="13"/>
      <c r="CP37" s="13"/>
      <c r="CQ37" s="13"/>
      <c r="CR37" s="14"/>
    </row>
    <row r="38" spans="1:96" s="17" customFormat="1" ht="15" x14ac:dyDescent="0.4">
      <c r="A38" s="15" t="s">
        <v>79</v>
      </c>
      <c r="B38" s="16">
        <f>SUM(B39:B45)</f>
        <v>163013.1279412283</v>
      </c>
      <c r="C38" s="16">
        <f t="shared" ref="C38:E38" si="82">SUM(C39:C45)</f>
        <v>165086.84248891892</v>
      </c>
      <c r="D38" s="16">
        <f t="shared" si="82"/>
        <v>171178.86236115437</v>
      </c>
      <c r="E38" s="16">
        <f t="shared" si="82"/>
        <v>177272.21413022277</v>
      </c>
      <c r="F38" s="16">
        <f>SUM(B38:E38)</f>
        <v>676551.04692152445</v>
      </c>
      <c r="G38" s="16">
        <f>SUM(G39:G45)</f>
        <v>172382.76624022343</v>
      </c>
      <c r="H38" s="16">
        <f t="shared" ref="H38:J38" si="83">SUM(H39:H45)</f>
        <v>176101.923406752</v>
      </c>
      <c r="I38" s="16">
        <f t="shared" si="83"/>
        <v>185889.78620477166</v>
      </c>
      <c r="J38" s="16">
        <f t="shared" si="83"/>
        <v>193562.69005476899</v>
      </c>
      <c r="K38" s="16">
        <f>SUM(G38:J38)</f>
        <v>727937.16590651614</v>
      </c>
      <c r="L38" s="16">
        <f>SUM(L39:L45)</f>
        <v>184517.53480481106</v>
      </c>
      <c r="M38" s="16">
        <f t="shared" ref="M38:O38" si="84">SUM(M39:M45)</f>
        <v>187787.65634730854</v>
      </c>
      <c r="N38" s="16">
        <f t="shared" si="84"/>
        <v>196803.69556505571</v>
      </c>
      <c r="O38" s="16">
        <f t="shared" si="84"/>
        <v>207450.86118081617</v>
      </c>
      <c r="P38" s="16">
        <f>SUM(L38:O38)</f>
        <v>776559.74789799156</v>
      </c>
      <c r="Q38" s="16">
        <f>SUM(Q39:Q45)</f>
        <v>190942.29207136089</v>
      </c>
      <c r="R38" s="16" t="e">
        <f t="shared" ref="R38:T38" si="85">SUM(R39:R45)</f>
        <v>#DIV/0!</v>
      </c>
      <c r="S38" s="16">
        <f t="shared" si="85"/>
        <v>209625.90742292939</v>
      </c>
      <c r="T38" s="16">
        <f t="shared" si="85"/>
        <v>214186.00062029131</v>
      </c>
      <c r="U38" s="16" t="e">
        <f>SUM(Q38:T38)</f>
        <v>#DIV/0!</v>
      </c>
      <c r="V38" s="16">
        <f>SUM(V39:V45)</f>
        <v>197996.52634801174</v>
      </c>
      <c r="W38" s="16">
        <f t="shared" ref="W38:Y38" si="86">SUM(W39:W45)</f>
        <v>206398.60950643892</v>
      </c>
      <c r="X38" s="16">
        <f t="shared" si="86"/>
        <v>219808.56927335626</v>
      </c>
      <c r="Y38" s="16">
        <f t="shared" si="86"/>
        <v>225632.0700082604</v>
      </c>
      <c r="Z38" s="16">
        <f>SUM(V38:Y38)</f>
        <v>849835.7751360673</v>
      </c>
      <c r="AA38" s="16">
        <f>SUM(AA39:AA45)</f>
        <v>209296.70231569395</v>
      </c>
      <c r="AB38" s="16">
        <f t="shared" ref="AB38:AD38" si="87">SUM(AB39:AB45)</f>
        <v>216996.87208662526</v>
      </c>
      <c r="AC38" s="16">
        <f t="shared" si="87"/>
        <v>230437.3690179176</v>
      </c>
      <c r="AD38" s="16">
        <f t="shared" si="87"/>
        <v>241301.32010569156</v>
      </c>
      <c r="AE38" s="16">
        <f>SUM(AA38:AD38)</f>
        <v>898032.26352592837</v>
      </c>
      <c r="AF38" s="16">
        <f>SUM(AF39:AF45)</f>
        <v>224556.34098713374</v>
      </c>
      <c r="AG38" s="16">
        <f t="shared" ref="AG38:AI38" si="88">SUM(AG39:AG45)</f>
        <v>232641.87515919865</v>
      </c>
      <c r="AH38" s="16">
        <f t="shared" si="88"/>
        <v>244906.4329978966</v>
      </c>
      <c r="AI38" s="16">
        <f t="shared" si="88"/>
        <v>260566.95486472035</v>
      </c>
      <c r="AJ38" s="16">
        <f>SUM(AF38:AI38)</f>
        <v>962671.60400894936</v>
      </c>
      <c r="AK38" s="16">
        <f>SUM(AK39:AK45)</f>
        <v>244165.08588893292</v>
      </c>
      <c r="AL38" s="16">
        <f t="shared" ref="AL38:AN38" si="89">SUM(AL39:AL45)</f>
        <v>253739.23897255395</v>
      </c>
      <c r="AM38" s="16">
        <f t="shared" si="89"/>
        <v>265318.56136225886</v>
      </c>
      <c r="AN38" s="16">
        <f t="shared" si="89"/>
        <v>284252.92977625417</v>
      </c>
      <c r="AO38" s="16">
        <f>SUM(AK38:AN38)</f>
        <v>1047475.8159999999</v>
      </c>
      <c r="AP38" s="16">
        <f>SUM(AP39:AP45)</f>
        <v>265120.16855673486</v>
      </c>
      <c r="AQ38" s="16">
        <f t="shared" ref="AQ38:AS38" si="90">SUM(AQ39:AQ45)</f>
        <v>273271.08612884168</v>
      </c>
      <c r="AR38" s="16">
        <f t="shared" si="90"/>
        <v>278329.73289517837</v>
      </c>
      <c r="AS38" s="16">
        <f t="shared" si="90"/>
        <v>289139.45441924426</v>
      </c>
      <c r="AT38" s="16">
        <f>SUM(AP38:AS38)</f>
        <v>1105860.4419999991</v>
      </c>
      <c r="AU38" s="16">
        <f>SUM(AU39:AU45)</f>
        <v>275372.30750564253</v>
      </c>
      <c r="AV38" s="16">
        <f t="shared" ref="AV38:AX38" si="91">SUM(AV39:AV45)</f>
        <v>285994.29622893565</v>
      </c>
      <c r="AW38" s="16">
        <f t="shared" si="91"/>
        <v>297484.90943090455</v>
      </c>
      <c r="AX38" s="16">
        <f t="shared" si="91"/>
        <v>310671.23118641338</v>
      </c>
      <c r="AY38" s="16">
        <f>SUM(AU38:AX38)</f>
        <v>1169522.7443518962</v>
      </c>
      <c r="AZ38" s="16">
        <f>SUM(AZ39:AZ45)</f>
        <v>287835.20027910423</v>
      </c>
      <c r="BA38" s="16">
        <f t="shared" ref="BA38:BC38" si="92">SUM(BA39:BA45)</f>
        <v>299703.10786346567</v>
      </c>
      <c r="BB38" s="16">
        <f t="shared" si="92"/>
        <v>312892.89265456103</v>
      </c>
      <c r="BC38" s="16">
        <f t="shared" si="92"/>
        <v>331579.07280286879</v>
      </c>
      <c r="BD38" s="16">
        <f>SUM(AZ38:BC38)</f>
        <v>1232010.2735999995</v>
      </c>
      <c r="BE38" s="16">
        <f>SUM(BE39:BE45)</f>
        <v>309848.92481431918</v>
      </c>
      <c r="BF38" s="16">
        <f t="shared" ref="BF38:BH38" si="93">SUM(BF39:BF45)</f>
        <v>324159.51780006016</v>
      </c>
      <c r="BG38" s="16">
        <f t="shared" si="93"/>
        <v>336810.94654338353</v>
      </c>
      <c r="BH38" s="16">
        <f t="shared" si="93"/>
        <v>340555.29494224984</v>
      </c>
      <c r="BI38" s="16">
        <f>SUM(BE38:BH38)</f>
        <v>1311374.6841000128</v>
      </c>
      <c r="BJ38" s="16">
        <f>SUM(BJ39:BJ45)</f>
        <v>330756.78041649557</v>
      </c>
      <c r="BK38" s="16">
        <f t="shared" ref="BK38:BM38" si="94">SUM(BK39:BK45)</f>
        <v>326490.54899726779</v>
      </c>
      <c r="BL38" s="16">
        <f t="shared" si="94"/>
        <v>329670.26072846941</v>
      </c>
      <c r="BM38" s="16">
        <f t="shared" si="94"/>
        <v>333062.26161467441</v>
      </c>
      <c r="BN38" s="16">
        <f>SUM(BJ38:BM38)</f>
        <v>1319979.8517569073</v>
      </c>
      <c r="BO38" s="16">
        <f>SUM(BO39:BO45)</f>
        <v>326992.65994435787</v>
      </c>
      <c r="BP38" s="16">
        <f t="shared" ref="BP38:BR38" si="95">SUM(BP39:BP45)</f>
        <v>329162.70315575576</v>
      </c>
      <c r="BQ38" s="16">
        <f t="shared" si="95"/>
        <v>330134.85184858897</v>
      </c>
      <c r="BR38" s="16">
        <f t="shared" si="95"/>
        <v>344935.30505129363</v>
      </c>
      <c r="BS38" s="16">
        <f>SUM(BO38:BR38)</f>
        <v>1331225.5199999963</v>
      </c>
      <c r="BT38" s="16">
        <f>SUM(BT39:BT45)</f>
        <v>340607.55270948593</v>
      </c>
      <c r="BU38" s="16">
        <f t="shared" ref="BU38:BW38" si="96">SUM(BU39:BU45)</f>
        <v>347002.92500421219</v>
      </c>
      <c r="BV38" s="16">
        <f t="shared" si="96"/>
        <v>350614.31235369353</v>
      </c>
      <c r="BW38" s="16">
        <f t="shared" si="96"/>
        <v>357917.87198834441</v>
      </c>
      <c r="BX38" s="16">
        <f>SUM(BT38:BW38)</f>
        <v>1396142.6620557359</v>
      </c>
      <c r="BY38" s="16">
        <f>SUM(BY39:BY45)</f>
        <v>350679.98102736985</v>
      </c>
      <c r="BZ38" s="16">
        <f t="shared" ref="BZ38:CB38" si="97">SUM(BZ39:BZ45)</f>
        <v>355620.64687834278</v>
      </c>
      <c r="CA38" s="16">
        <f t="shared" si="97"/>
        <v>357846.2172668124</v>
      </c>
      <c r="CB38" s="16">
        <f t="shared" si="97"/>
        <v>366465.04</v>
      </c>
      <c r="CC38" s="16">
        <f>SUM(BY38:CB38)</f>
        <v>1430611.8851725252</v>
      </c>
      <c r="CD38" s="16">
        <f>SUM(CD39:CD45)</f>
        <v>366765.7952176652</v>
      </c>
      <c r="CE38" s="16">
        <f t="shared" ref="CE38:CG38" si="98">SUM(CE39:CE45)</f>
        <v>368121.17112035578</v>
      </c>
      <c r="CF38" s="16">
        <f t="shared" si="98"/>
        <v>368591.13355952245</v>
      </c>
      <c r="CG38" s="16">
        <f t="shared" si="98"/>
        <v>381551.24180143239</v>
      </c>
      <c r="CH38" s="16">
        <f>SUM(CD38:CG38)</f>
        <v>1485029.3416989758</v>
      </c>
      <c r="CI38" s="16">
        <f>SUM(CI39:CI45)</f>
        <v>380342.86906257848</v>
      </c>
      <c r="CJ38" s="16">
        <f t="shared" ref="CJ38:CL38" si="99">SUM(CJ39:CJ45)</f>
        <v>381835.34981228906</v>
      </c>
      <c r="CK38" s="16">
        <f t="shared" si="99"/>
        <v>382377.69594112865</v>
      </c>
      <c r="CL38" s="16">
        <f t="shared" si="99"/>
        <v>396853.24180143268</v>
      </c>
      <c r="CM38" s="16">
        <f>SUM(CI38:CL38)</f>
        <v>1541409.1566174291</v>
      </c>
      <c r="CN38" s="16">
        <f>SUM(CN39:CN45)</f>
        <v>0</v>
      </c>
      <c r="CO38" s="16">
        <f t="shared" ref="CO38:CQ38" si="100">SUM(CO39:CO45)</f>
        <v>0</v>
      </c>
      <c r="CP38" s="16">
        <f t="shared" si="100"/>
        <v>0</v>
      </c>
      <c r="CQ38" s="16">
        <f t="shared" si="100"/>
        <v>0</v>
      </c>
      <c r="CR38" s="16">
        <f>SUM(CN38:CQ38)</f>
        <v>0</v>
      </c>
    </row>
    <row r="39" spans="1:96" s="9" customFormat="1" ht="15" x14ac:dyDescent="0.4">
      <c r="A39" s="18" t="s">
        <v>80</v>
      </c>
      <c r="B39" s="19">
        <v>111425.52950916601</v>
      </c>
      <c r="C39" s="19">
        <v>112639.53433509078</v>
      </c>
      <c r="D39" s="19">
        <v>115752.59614022037</v>
      </c>
      <c r="E39" s="19">
        <v>118209.1203676998</v>
      </c>
      <c r="F39" s="20">
        <f>SUM(B39:E39)</f>
        <v>458026.78035217698</v>
      </c>
      <c r="G39" s="19">
        <v>116358.38644077432</v>
      </c>
      <c r="H39" s="19">
        <v>119449.08064472105</v>
      </c>
      <c r="I39" s="19">
        <v>125612.62803277536</v>
      </c>
      <c r="J39" s="19">
        <v>130397.83186581019</v>
      </c>
      <c r="K39" s="20">
        <f>SUM(G39:J39)</f>
        <v>491817.92698408093</v>
      </c>
      <c r="L39" s="19">
        <v>123957.40383227906</v>
      </c>
      <c r="M39" s="19">
        <v>127500.15638430824</v>
      </c>
      <c r="N39" s="19">
        <v>133883.1829705163</v>
      </c>
      <c r="O39" s="19">
        <v>140722.43369115278</v>
      </c>
      <c r="P39" s="20">
        <f>SUM(L39:O39)</f>
        <v>526063.17687825637</v>
      </c>
      <c r="Q39" s="19">
        <v>129359.63135356551</v>
      </c>
      <c r="R39" s="19" t="e">
        <v>#DIV/0!</v>
      </c>
      <c r="S39" s="19">
        <v>143832.01128563707</v>
      </c>
      <c r="T39" s="19">
        <v>144413.83215922254</v>
      </c>
      <c r="U39" s="20" t="e">
        <f>SUM(Q39:T39)</f>
        <v>#DIV/0!</v>
      </c>
      <c r="V39" s="19">
        <v>133973.13737472199</v>
      </c>
      <c r="W39" s="19">
        <v>140735.91440434</v>
      </c>
      <c r="X39" s="19">
        <v>148954.52901225648</v>
      </c>
      <c r="Y39" s="19">
        <v>150957.35670253474</v>
      </c>
      <c r="Z39" s="20">
        <f>SUM(V39:Y39)</f>
        <v>574620.93749385327</v>
      </c>
      <c r="AA39" s="19">
        <v>141154.17798069603</v>
      </c>
      <c r="AB39" s="19">
        <v>147983.69616124895</v>
      </c>
      <c r="AC39" s="19">
        <v>156882.77185389915</v>
      </c>
      <c r="AD39" s="19">
        <v>163140.55021302801</v>
      </c>
      <c r="AE39" s="20">
        <f>SUM(AA39:AD39)</f>
        <v>609161.19620887213</v>
      </c>
      <c r="AF39" s="19">
        <v>152997.51235252523</v>
      </c>
      <c r="AG39" s="19">
        <v>159319.60616445568</v>
      </c>
      <c r="AH39" s="19">
        <v>167181.34068467724</v>
      </c>
      <c r="AI39" s="19">
        <v>177548.13110650284</v>
      </c>
      <c r="AJ39" s="20">
        <f>SUM(AF39:AI39)</f>
        <v>657046.59030816099</v>
      </c>
      <c r="AK39" s="19">
        <v>167290.71263080594</v>
      </c>
      <c r="AL39" s="19">
        <v>174628.45299659652</v>
      </c>
      <c r="AM39" s="19">
        <v>182568.58178177036</v>
      </c>
      <c r="AN39" s="19">
        <v>196532.09259082715</v>
      </c>
      <c r="AO39" s="20">
        <f>SUM(AK39:AN39)</f>
        <v>721019.84</v>
      </c>
      <c r="AP39" s="19">
        <v>182713.09747633865</v>
      </c>
      <c r="AQ39" s="19">
        <v>189362.66288352624</v>
      </c>
      <c r="AR39" s="19">
        <v>192447.5189209622</v>
      </c>
      <c r="AS39" s="19">
        <v>198701.66071917192</v>
      </c>
      <c r="AT39" s="20">
        <f>SUM(AP39:AS39)</f>
        <v>763224.93999999901</v>
      </c>
      <c r="AU39" s="19">
        <v>188725.97958733566</v>
      </c>
      <c r="AV39" s="19">
        <v>196761.53036290183</v>
      </c>
      <c r="AW39" s="19">
        <v>206435.81010734136</v>
      </c>
      <c r="AX39" s="19">
        <v>217266.92238383117</v>
      </c>
      <c r="AY39" s="20">
        <f>SUM(AU39:AX39)</f>
        <v>809190.24244140997</v>
      </c>
      <c r="AZ39" s="19">
        <v>199374.19489606447</v>
      </c>
      <c r="BA39" s="19">
        <v>208101.98972243062</v>
      </c>
      <c r="BB39" s="19">
        <v>218550.77692008944</v>
      </c>
      <c r="BC39" s="19">
        <v>233541.47846141533</v>
      </c>
      <c r="BD39" s="20">
        <f>SUM(AZ39:BC39)</f>
        <v>859568.43999999971</v>
      </c>
      <c r="BE39" s="19">
        <v>216007.23352981033</v>
      </c>
      <c r="BF39" s="19">
        <v>226064.57780992115</v>
      </c>
      <c r="BG39" s="19">
        <v>235634.76344798121</v>
      </c>
      <c r="BH39" s="19">
        <v>236628.77521229989</v>
      </c>
      <c r="BI39" s="20">
        <f>SUM(BE39:BH39)</f>
        <v>914335.35000001255</v>
      </c>
      <c r="BJ39" s="19">
        <v>232319.76144249609</v>
      </c>
      <c r="BK39" s="19">
        <v>233014.65730455171</v>
      </c>
      <c r="BL39" s="19">
        <v>235449.98331303435</v>
      </c>
      <c r="BM39" s="19">
        <v>236291.73596832799</v>
      </c>
      <c r="BN39" s="20">
        <f>SUM(BJ39:BM39)</f>
        <v>937076.13802841015</v>
      </c>
      <c r="BO39" s="19">
        <v>233660.77881029341</v>
      </c>
      <c r="BP39" s="19">
        <v>231774.60675479358</v>
      </c>
      <c r="BQ39" s="19">
        <v>231851.87818467131</v>
      </c>
      <c r="BR39" s="19">
        <v>245512.08625024164</v>
      </c>
      <c r="BS39" s="20">
        <f>SUM(BO39:BR39)</f>
        <v>942799.34999999986</v>
      </c>
      <c r="BT39" s="19">
        <v>243295.69095840404</v>
      </c>
      <c r="BU39" s="19">
        <v>245794.59245472751</v>
      </c>
      <c r="BV39" s="19">
        <v>246632.71314085161</v>
      </c>
      <c r="BW39" s="19">
        <v>252692.42122581493</v>
      </c>
      <c r="BX39" s="20">
        <f>SUM(BT39:BW39)</f>
        <v>988415.41777979815</v>
      </c>
      <c r="BY39" s="19">
        <v>248087.03505501992</v>
      </c>
      <c r="BZ39" s="19">
        <v>252094.43710994482</v>
      </c>
      <c r="CA39" s="19">
        <v>252735.4812728742</v>
      </c>
      <c r="CB39" s="19">
        <v>259750.22</v>
      </c>
      <c r="CC39" s="20">
        <f>SUM(BY39:CB39)</f>
        <v>1012667.1734378389</v>
      </c>
      <c r="CD39" s="19">
        <v>260407.69771552199</v>
      </c>
      <c r="CE39" s="19">
        <v>261470.24492935327</v>
      </c>
      <c r="CF39" s="19">
        <v>261547.82177902543</v>
      </c>
      <c r="CG39" s="19">
        <v>272160.45798945567</v>
      </c>
      <c r="CH39" s="20">
        <f>SUM(CD39:CG39)</f>
        <v>1055586.2224133564</v>
      </c>
      <c r="CI39" s="19">
        <v>272283.15750594297</v>
      </c>
      <c r="CJ39" s="19">
        <v>272217.71045473358</v>
      </c>
      <c r="CK39" s="19">
        <v>272643.54213407502</v>
      </c>
      <c r="CL39" s="19">
        <v>284260.45798945602</v>
      </c>
      <c r="CM39" s="20">
        <f>SUM(CI39:CL39)</f>
        <v>1101404.8680842076</v>
      </c>
      <c r="CN39" s="19"/>
      <c r="CO39" s="19"/>
      <c r="CP39" s="19"/>
      <c r="CQ39" s="19"/>
      <c r="CR39" s="20">
        <f>SUM(CN39:CQ39)</f>
        <v>0</v>
      </c>
    </row>
    <row r="40" spans="1:96" s="9" customFormat="1" ht="15" x14ac:dyDescent="0.4">
      <c r="A40" s="18" t="s">
        <v>81</v>
      </c>
      <c r="B40" s="21">
        <v>4202.9703688552263</v>
      </c>
      <c r="C40" s="21">
        <v>4557.6704796493959</v>
      </c>
      <c r="D40" s="21">
        <v>5140.6473475866169</v>
      </c>
      <c r="E40" s="21">
        <v>6117.2061005253154</v>
      </c>
      <c r="F40" s="20">
        <f t="shared" ref="F40:F45" si="101">SUM(B40:E40)</f>
        <v>20018.494296616554</v>
      </c>
      <c r="G40" s="21">
        <v>6556.5141283871144</v>
      </c>
      <c r="H40" s="21">
        <v>7359.7649200927526</v>
      </c>
      <c r="I40" s="21">
        <v>8400.7273159214728</v>
      </c>
      <c r="J40" s="21">
        <v>9368.5308957505222</v>
      </c>
      <c r="K40" s="20">
        <f t="shared" ref="K40:K45" si="102">SUM(G40:J40)</f>
        <v>31685.537260151865</v>
      </c>
      <c r="L40" s="21">
        <v>8256.988584253304</v>
      </c>
      <c r="M40" s="21">
        <v>8005.433409997996</v>
      </c>
      <c r="N40" s="21">
        <v>8090.3879809648124</v>
      </c>
      <c r="O40" s="21">
        <v>8542.9709222289021</v>
      </c>
      <c r="P40" s="20">
        <f t="shared" ref="P40:P45" si="103">SUM(L40:O40)</f>
        <v>32895.780897445016</v>
      </c>
      <c r="Q40" s="21">
        <v>7802.2428578420086</v>
      </c>
      <c r="R40" s="21" t="e">
        <v>#DIV/0!</v>
      </c>
      <c r="S40" s="21">
        <v>8641.8055840871493</v>
      </c>
      <c r="T40" s="21">
        <v>9513.8972608294789</v>
      </c>
      <c r="U40" s="20" t="e">
        <f t="shared" ref="U40:U45" si="104">SUM(Q40:T40)</f>
        <v>#DIV/0!</v>
      </c>
      <c r="V40" s="21">
        <v>8377.3954741452253</v>
      </c>
      <c r="W40" s="21">
        <v>8779.9389778363966</v>
      </c>
      <c r="X40" s="21">
        <v>9585.0158099113669</v>
      </c>
      <c r="Y40" s="21">
        <v>10468.709855945439</v>
      </c>
      <c r="Z40" s="20">
        <f t="shared" ref="Z40:Z45" si="105">SUM(V40:Y40)</f>
        <v>37211.060117838431</v>
      </c>
      <c r="AA40" s="21">
        <v>9082.2248705694674</v>
      </c>
      <c r="AB40" s="21">
        <v>9307.6202928119528</v>
      </c>
      <c r="AC40" s="21">
        <v>9773.7003400554422</v>
      </c>
      <c r="AD40" s="21">
        <v>10536.267993903613</v>
      </c>
      <c r="AE40" s="20">
        <f t="shared" ref="AE40:AE45" si="106">SUM(AA40:AD40)</f>
        <v>38699.813497340474</v>
      </c>
      <c r="AF40" s="21">
        <v>9319.2500240251084</v>
      </c>
      <c r="AG40" s="21">
        <v>9789.3940719973016</v>
      </c>
      <c r="AH40" s="21">
        <v>10382.656750208378</v>
      </c>
      <c r="AI40" s="21">
        <v>11331.540255339207</v>
      </c>
      <c r="AJ40" s="20">
        <f t="shared" ref="AJ40:AJ45" si="107">SUM(AF40:AI40)</f>
        <v>40822.841101569997</v>
      </c>
      <c r="AK40" s="21">
        <v>9774.5389784026793</v>
      </c>
      <c r="AL40" s="21">
        <v>10354.805851443994</v>
      </c>
      <c r="AM40" s="21">
        <v>11056.820984585385</v>
      </c>
      <c r="AN40" s="21">
        <v>12079.194185567936</v>
      </c>
      <c r="AO40" s="20">
        <f t="shared" ref="AO40:AO45" si="108">SUM(AK40:AN40)</f>
        <v>43265.36</v>
      </c>
      <c r="AP40" s="21">
        <v>10890.383777253121</v>
      </c>
      <c r="AQ40" s="21">
        <v>11145.34191772028</v>
      </c>
      <c r="AR40" s="21">
        <v>11546.31104880261</v>
      </c>
      <c r="AS40" s="21">
        <v>12475.771256223892</v>
      </c>
      <c r="AT40" s="20">
        <f t="shared" ref="AT40:AT45" si="109">SUM(AP40:AS40)</f>
        <v>46057.807999999903</v>
      </c>
      <c r="AU40" s="21">
        <v>11301.264288640765</v>
      </c>
      <c r="AV40" s="21">
        <v>11633.009331451149</v>
      </c>
      <c r="AW40" s="21">
        <v>11963.060608153763</v>
      </c>
      <c r="AX40" s="21">
        <v>12672.877901756225</v>
      </c>
      <c r="AY40" s="20">
        <f t="shared" ref="AY40:AY45" si="110">SUM(AU40:AX40)</f>
        <v>47570.212130001899</v>
      </c>
      <c r="AZ40" s="21">
        <v>11916.94520822244</v>
      </c>
      <c r="BA40" s="21">
        <v>12347.646586451163</v>
      </c>
      <c r="BB40" s="21">
        <v>12629.318250553706</v>
      </c>
      <c r="BC40" s="21">
        <v>13552.709954772668</v>
      </c>
      <c r="BD40" s="20">
        <f t="shared" ref="BD40:BD45" si="111">SUM(AZ40:BC40)</f>
        <v>50446.619999999974</v>
      </c>
      <c r="BE40" s="21">
        <v>12602.315583257712</v>
      </c>
      <c r="BF40" s="21">
        <v>13555.815737824423</v>
      </c>
      <c r="BG40" s="21">
        <v>13551.919866903596</v>
      </c>
      <c r="BH40" s="21">
        <v>14362.488812013831</v>
      </c>
      <c r="BI40" s="20">
        <f t="shared" ref="BI40:BI45" si="112">SUM(BE40:BH40)</f>
        <v>54072.539999999557</v>
      </c>
      <c r="BJ40" s="21">
        <v>13030.822692665315</v>
      </c>
      <c r="BK40" s="21">
        <v>10774.379437836791</v>
      </c>
      <c r="BL40" s="21">
        <v>9836.8064367674633</v>
      </c>
      <c r="BM40" s="21">
        <v>9946.4769853953294</v>
      </c>
      <c r="BN40" s="20">
        <f t="shared" ref="BN40:BN45" si="113">SUM(BJ40:BM40)</f>
        <v>43588.485552664904</v>
      </c>
      <c r="BO40" s="21">
        <v>9270.2375298164243</v>
      </c>
      <c r="BP40" s="21">
        <v>10097.996667765556</v>
      </c>
      <c r="BQ40" s="21">
        <v>9820.3191977786355</v>
      </c>
      <c r="BR40" s="21">
        <v>10121.436604635686</v>
      </c>
      <c r="BS40" s="20">
        <f t="shared" ref="BS40:BS45" si="114">SUM(BO40:BR40)</f>
        <v>39309.989999996302</v>
      </c>
      <c r="BT40" s="21">
        <v>9348.3188700957453</v>
      </c>
      <c r="BU40" s="21">
        <v>10233.80364788105</v>
      </c>
      <c r="BV40" s="21">
        <v>10285.796882722578</v>
      </c>
      <c r="BW40" s="21">
        <v>10631.727045151632</v>
      </c>
      <c r="BX40" s="20">
        <f t="shared" ref="BX40:BX45" si="115">SUM(BT40:BW40)</f>
        <v>40499.646445851002</v>
      </c>
      <c r="BY40" s="21">
        <v>10191.342103511779</v>
      </c>
      <c r="BZ40" s="21">
        <v>10338.88226046393</v>
      </c>
      <c r="CA40" s="21">
        <v>10350.758524025739</v>
      </c>
      <c r="CB40" s="21">
        <v>10668.07</v>
      </c>
      <c r="CC40" s="20">
        <f t="shared" ref="CC40:CC45" si="116">SUM(BY40:CB40)</f>
        <v>41549.052888001446</v>
      </c>
      <c r="CD40" s="21">
        <v>10693.911963550716</v>
      </c>
      <c r="CE40" s="21">
        <v>10720.163639967092</v>
      </c>
      <c r="CF40" s="21">
        <v>10672.206825388406</v>
      </c>
      <c r="CG40" s="21">
        <v>11141.929127888841</v>
      </c>
      <c r="CH40" s="20">
        <f t="shared" ref="CH40:CH45" si="117">SUM(CD40:CG40)</f>
        <v>43228.211556795053</v>
      </c>
      <c r="CI40" s="21">
        <v>11057.817238608301</v>
      </c>
      <c r="CJ40" s="21">
        <v>11086.693415354001</v>
      </c>
      <c r="CK40" s="21">
        <v>10971.623388313301</v>
      </c>
      <c r="CL40" s="21">
        <v>11751.929127888799</v>
      </c>
      <c r="CM40" s="20">
        <f t="shared" ref="CM40:CM45" si="118">SUM(CI40:CL40)</f>
        <v>44868.063170164402</v>
      </c>
      <c r="CN40" s="21"/>
      <c r="CO40" s="21"/>
      <c r="CP40" s="21"/>
      <c r="CQ40" s="21"/>
      <c r="CR40" s="20">
        <f t="shared" ref="CR40:CR45" si="119">SUM(CN40:CQ40)</f>
        <v>0</v>
      </c>
    </row>
    <row r="41" spans="1:96" s="9" customFormat="1" ht="15" x14ac:dyDescent="0.4">
      <c r="A41" s="18" t="s">
        <v>82</v>
      </c>
      <c r="B41" s="19">
        <v>12843.218339864201</v>
      </c>
      <c r="C41" s="19">
        <v>13527.070006343925</v>
      </c>
      <c r="D41" s="19">
        <v>14222.503780358746</v>
      </c>
      <c r="E41" s="19">
        <v>15377.430985710678</v>
      </c>
      <c r="F41" s="20">
        <f t="shared" si="101"/>
        <v>55970.223112277548</v>
      </c>
      <c r="G41" s="19">
        <v>13934.811446125452</v>
      </c>
      <c r="H41" s="19">
        <v>14098.048527891473</v>
      </c>
      <c r="I41" s="19">
        <v>14805.798508991535</v>
      </c>
      <c r="J41" s="19">
        <v>14710.730037802567</v>
      </c>
      <c r="K41" s="20">
        <f t="shared" si="102"/>
        <v>57549.38852081103</v>
      </c>
      <c r="L41" s="19">
        <v>13913.742184844903</v>
      </c>
      <c r="M41" s="19">
        <v>13816.043084787598</v>
      </c>
      <c r="N41" s="19">
        <v>14575.298309369915</v>
      </c>
      <c r="O41" s="19">
        <v>15530.354338047176</v>
      </c>
      <c r="P41" s="20">
        <f t="shared" si="103"/>
        <v>57835.437917049589</v>
      </c>
      <c r="Q41" s="19">
        <v>14046.525796850014</v>
      </c>
      <c r="R41" s="19" t="e">
        <v>#DIV/0!</v>
      </c>
      <c r="S41" s="19">
        <v>15501.873623223777</v>
      </c>
      <c r="T41" s="19">
        <v>16736.958296511424</v>
      </c>
      <c r="U41" s="20" t="e">
        <f t="shared" si="104"/>
        <v>#DIV/0!</v>
      </c>
      <c r="V41" s="19">
        <v>15118.575521350442</v>
      </c>
      <c r="W41" s="19">
        <v>15180.993123958437</v>
      </c>
      <c r="X41" s="19">
        <v>16135.756070186095</v>
      </c>
      <c r="Y41" s="19">
        <v>17170.617027205786</v>
      </c>
      <c r="Z41" s="20">
        <f t="shared" si="105"/>
        <v>63605.941742700757</v>
      </c>
      <c r="AA41" s="19">
        <v>15935.479233508639</v>
      </c>
      <c r="AB41" s="19">
        <v>16432.163633883752</v>
      </c>
      <c r="AC41" s="19">
        <v>17176.715372023671</v>
      </c>
      <c r="AD41" s="19">
        <v>17992.905333113511</v>
      </c>
      <c r="AE41" s="20">
        <f t="shared" si="106"/>
        <v>67537.26357252957</v>
      </c>
      <c r="AF41" s="19">
        <v>16377.731191833749</v>
      </c>
      <c r="AG41" s="19">
        <v>17040.902678997536</v>
      </c>
      <c r="AH41" s="19">
        <v>18181.258753566166</v>
      </c>
      <c r="AI41" s="19">
        <v>19336.585475776137</v>
      </c>
      <c r="AJ41" s="20">
        <f t="shared" si="107"/>
        <v>70936.478100173583</v>
      </c>
      <c r="AK41" s="19">
        <v>17937.967515213946</v>
      </c>
      <c r="AL41" s="19">
        <v>18656.483954170788</v>
      </c>
      <c r="AM41" s="19">
        <v>19236.872216688789</v>
      </c>
      <c r="AN41" s="19">
        <v>20294.076313926467</v>
      </c>
      <c r="AO41" s="20">
        <f t="shared" si="108"/>
        <v>76125.399999999994</v>
      </c>
      <c r="AP41" s="19">
        <v>19085.669913876154</v>
      </c>
      <c r="AQ41" s="19">
        <v>19471.760990621879</v>
      </c>
      <c r="AR41" s="19">
        <v>19825.333137364891</v>
      </c>
      <c r="AS41" s="19">
        <v>20856.33595813737</v>
      </c>
      <c r="AT41" s="20">
        <f t="shared" si="109"/>
        <v>79239.100000000297</v>
      </c>
      <c r="AU41" s="19">
        <v>19752.482178296075</v>
      </c>
      <c r="AV41" s="19">
        <v>20124.99785825421</v>
      </c>
      <c r="AW41" s="19">
        <v>20483.231523931921</v>
      </c>
      <c r="AX41" s="19">
        <v>21094.230760858802</v>
      </c>
      <c r="AY41" s="20">
        <f t="shared" si="110"/>
        <v>81454.942321341019</v>
      </c>
      <c r="AZ41" s="19">
        <v>19667.103702715893</v>
      </c>
      <c r="BA41" s="19">
        <v>20197.758837669015</v>
      </c>
      <c r="BB41" s="19">
        <v>20481.944723898847</v>
      </c>
      <c r="BC41" s="19">
        <v>21220.896035716236</v>
      </c>
      <c r="BD41" s="20">
        <f t="shared" si="111"/>
        <v>81567.703299999994</v>
      </c>
      <c r="BE41" s="19">
        <v>20286.779807100931</v>
      </c>
      <c r="BF41" s="19">
        <v>21042.261874645592</v>
      </c>
      <c r="BG41" s="19">
        <v>21491.229693960584</v>
      </c>
      <c r="BH41" s="19">
        <v>21953.677624292908</v>
      </c>
      <c r="BI41" s="20">
        <f t="shared" si="112"/>
        <v>84773.949000000008</v>
      </c>
      <c r="BJ41" s="19">
        <v>21229.332021702568</v>
      </c>
      <c r="BK41" s="19">
        <v>20876.883095882062</v>
      </c>
      <c r="BL41" s="19">
        <v>20696.771081757503</v>
      </c>
      <c r="BM41" s="19">
        <v>21822.21359969796</v>
      </c>
      <c r="BN41" s="20">
        <f t="shared" si="113"/>
        <v>84625.1997990401</v>
      </c>
      <c r="BO41" s="19">
        <v>21786.153929946624</v>
      </c>
      <c r="BP41" s="19">
        <v>22008.182124707204</v>
      </c>
      <c r="BQ41" s="19">
        <v>21944.883009145819</v>
      </c>
      <c r="BR41" s="19">
        <v>22130.740936200356</v>
      </c>
      <c r="BS41" s="20">
        <f t="shared" si="114"/>
        <v>87869.96</v>
      </c>
      <c r="BT41" s="19">
        <v>21500.291930670133</v>
      </c>
      <c r="BU41" s="19">
        <v>22264.281101938752</v>
      </c>
      <c r="BV41" s="19">
        <v>23200.079191456927</v>
      </c>
      <c r="BW41" s="19">
        <v>23636.714345813882</v>
      </c>
      <c r="BX41" s="20">
        <f t="shared" si="115"/>
        <v>90601.366569879698</v>
      </c>
      <c r="BY41" s="19">
        <v>22827.430170057196</v>
      </c>
      <c r="BZ41" s="19">
        <v>22924.677142099419</v>
      </c>
      <c r="CA41" s="19">
        <v>23252.119797380623</v>
      </c>
      <c r="CB41" s="19">
        <v>23691.03</v>
      </c>
      <c r="CC41" s="20">
        <f t="shared" si="116"/>
        <v>92695.25710953724</v>
      </c>
      <c r="CD41" s="19">
        <v>23459.646581930654</v>
      </c>
      <c r="CE41" s="19">
        <v>23268.149585541858</v>
      </c>
      <c r="CF41" s="19">
        <v>23256.234471139949</v>
      </c>
      <c r="CG41" s="19">
        <v>23701.579873408795</v>
      </c>
      <c r="CH41" s="20">
        <f t="shared" si="117"/>
        <v>93685.61051202126</v>
      </c>
      <c r="CI41" s="19">
        <v>23210.973725819498</v>
      </c>
      <c r="CJ41" s="19">
        <v>23354.666809627699</v>
      </c>
      <c r="CK41" s="19">
        <v>23709.375456614998</v>
      </c>
      <c r="CL41" s="19">
        <v>24175.579873408798</v>
      </c>
      <c r="CM41" s="20">
        <f t="shared" si="118"/>
        <v>94450.595865470998</v>
      </c>
      <c r="CN41" s="19"/>
      <c r="CO41" s="19"/>
      <c r="CP41" s="19"/>
      <c r="CQ41" s="19"/>
      <c r="CR41" s="20">
        <f t="shared" si="119"/>
        <v>0</v>
      </c>
    </row>
    <row r="42" spans="1:96" s="9" customFormat="1" ht="15" x14ac:dyDescent="0.4">
      <c r="A42" s="18" t="s">
        <v>83</v>
      </c>
      <c r="B42" s="21">
        <v>11423.142527512484</v>
      </c>
      <c r="C42" s="21">
        <v>11906.651199809185</v>
      </c>
      <c r="D42" s="21">
        <v>12987.52414697132</v>
      </c>
      <c r="E42" s="21">
        <v>13067.108768183156</v>
      </c>
      <c r="F42" s="20">
        <f t="shared" si="101"/>
        <v>49384.426642476144</v>
      </c>
      <c r="G42" s="21">
        <v>11921.839345836363</v>
      </c>
      <c r="H42" s="21">
        <v>12392.81453464247</v>
      </c>
      <c r="I42" s="21">
        <v>13329.264604753362</v>
      </c>
      <c r="J42" s="21">
        <v>13623.038907725762</v>
      </c>
      <c r="K42" s="20">
        <f t="shared" si="102"/>
        <v>51266.957392957956</v>
      </c>
      <c r="L42" s="21">
        <v>13026.110124239489</v>
      </c>
      <c r="M42" s="21">
        <v>12558.35635085071</v>
      </c>
      <c r="N42" s="21">
        <v>13311.019331436863</v>
      </c>
      <c r="O42" s="21">
        <v>13907.992511469169</v>
      </c>
      <c r="P42" s="20">
        <f t="shared" si="103"/>
        <v>52803.47831799624</v>
      </c>
      <c r="Q42" s="21">
        <v>13047.886341804304</v>
      </c>
      <c r="R42" s="21" t="e">
        <v>#DIV/0!</v>
      </c>
      <c r="S42" s="21">
        <v>14853.414380305643</v>
      </c>
      <c r="T42" s="21">
        <v>14688.959057002325</v>
      </c>
      <c r="U42" s="20" t="e">
        <f t="shared" si="104"/>
        <v>#DIV/0!</v>
      </c>
      <c r="V42" s="21">
        <v>13522.072368769006</v>
      </c>
      <c r="W42" s="21">
        <v>14634.118032783754</v>
      </c>
      <c r="X42" s="21">
        <v>15862.398883802442</v>
      </c>
      <c r="Y42" s="21">
        <v>16159.874350792061</v>
      </c>
      <c r="Z42" s="20">
        <f t="shared" si="105"/>
        <v>60178.463636147266</v>
      </c>
      <c r="AA42" s="21">
        <v>14713.548558853683</v>
      </c>
      <c r="AB42" s="21">
        <v>15156.028600020372</v>
      </c>
      <c r="AC42" s="21">
        <v>16269.265364569457</v>
      </c>
      <c r="AD42" s="21">
        <v>16793.137537374561</v>
      </c>
      <c r="AE42" s="20">
        <f t="shared" si="106"/>
        <v>62931.980060818074</v>
      </c>
      <c r="AF42" s="21">
        <v>16008.969549513156</v>
      </c>
      <c r="AG42" s="21">
        <v>16393.998190846196</v>
      </c>
      <c r="AH42" s="21">
        <v>17072.830716440654</v>
      </c>
      <c r="AI42" s="21">
        <v>17910.351974448604</v>
      </c>
      <c r="AJ42" s="20">
        <f t="shared" si="107"/>
        <v>67386.150431248621</v>
      </c>
      <c r="AK42" s="21">
        <v>17169.428552079949</v>
      </c>
      <c r="AL42" s="21">
        <v>17936.188678593062</v>
      </c>
      <c r="AM42" s="21">
        <v>18709.494132387244</v>
      </c>
      <c r="AN42" s="21">
        <v>19540.208636939751</v>
      </c>
      <c r="AO42" s="20">
        <f t="shared" si="108"/>
        <v>73355.320000000007</v>
      </c>
      <c r="AP42" s="21">
        <v>18491.654431136165</v>
      </c>
      <c r="AQ42" s="21">
        <v>18834.239002877068</v>
      </c>
      <c r="AR42" s="21">
        <v>19206.028860728766</v>
      </c>
      <c r="AS42" s="21">
        <v>19857.627705258055</v>
      </c>
      <c r="AT42" s="20">
        <f t="shared" si="109"/>
        <v>76389.550000000047</v>
      </c>
      <c r="AU42" s="21">
        <v>19243.079410887916</v>
      </c>
      <c r="AV42" s="21">
        <v>20259.158667676627</v>
      </c>
      <c r="AW42" s="21">
        <v>20648.621072181988</v>
      </c>
      <c r="AX42" s="21">
        <v>20859.582173753468</v>
      </c>
      <c r="AY42" s="20">
        <f t="shared" si="110"/>
        <v>81010.441324500003</v>
      </c>
      <c r="AZ42" s="21">
        <v>19592.014860430478</v>
      </c>
      <c r="BA42" s="21">
        <v>20554.12919754193</v>
      </c>
      <c r="BB42" s="21">
        <v>21355.043813351404</v>
      </c>
      <c r="BC42" s="21">
        <v>22101.367128676182</v>
      </c>
      <c r="BD42" s="20">
        <f t="shared" si="111"/>
        <v>83602.554999999993</v>
      </c>
      <c r="BE42" s="21">
        <v>20855.349728661986</v>
      </c>
      <c r="BF42" s="21">
        <v>22252.093538481007</v>
      </c>
      <c r="BG42" s="21">
        <v>23398.430746473572</v>
      </c>
      <c r="BH42" s="21">
        <v>24034.653986384303</v>
      </c>
      <c r="BI42" s="20">
        <f t="shared" si="112"/>
        <v>90540.528000000879</v>
      </c>
      <c r="BJ42" s="21">
        <v>22867.681197955426</v>
      </c>
      <c r="BK42" s="21">
        <v>23642.861606646999</v>
      </c>
      <c r="BL42" s="21">
        <v>24875.456072490655</v>
      </c>
      <c r="BM42" s="21">
        <v>25543.725626899119</v>
      </c>
      <c r="BN42" s="20">
        <f t="shared" si="113"/>
        <v>96929.724503992198</v>
      </c>
      <c r="BO42" s="21">
        <v>22779.213287799674</v>
      </c>
      <c r="BP42" s="21">
        <v>23633.364770562883</v>
      </c>
      <c r="BQ42" s="21">
        <v>25806.940842127438</v>
      </c>
      <c r="BR42" s="21">
        <v>25491.241099509996</v>
      </c>
      <c r="BS42" s="20">
        <f t="shared" si="114"/>
        <v>97710.76</v>
      </c>
      <c r="BT42" s="21">
        <v>24899.785438136481</v>
      </c>
      <c r="BU42" s="21">
        <v>25198.367560825718</v>
      </c>
      <c r="BV42" s="21">
        <v>26620.242019876834</v>
      </c>
      <c r="BW42" s="21">
        <v>26684.004683881969</v>
      </c>
      <c r="BX42" s="20">
        <f t="shared" si="115"/>
        <v>103402.399702721</v>
      </c>
      <c r="BY42" s="21">
        <v>25698.228298844748</v>
      </c>
      <c r="BZ42" s="21">
        <v>25934.754431236659</v>
      </c>
      <c r="CA42" s="21">
        <v>26715.056116649277</v>
      </c>
      <c r="CB42" s="21">
        <v>26984.83</v>
      </c>
      <c r="CC42" s="20">
        <f t="shared" si="116"/>
        <v>105332.86884673069</v>
      </c>
      <c r="CD42" s="21">
        <v>27007.367895832944</v>
      </c>
      <c r="CE42" s="21">
        <v>27180.4106760043</v>
      </c>
      <c r="CF42" s="21">
        <v>27311.075463294583</v>
      </c>
      <c r="CG42" s="21">
        <v>27868.067563832792</v>
      </c>
      <c r="CH42" s="20">
        <f t="shared" si="117"/>
        <v>109366.92159896463</v>
      </c>
      <c r="CI42" s="21">
        <v>27670.256447520602</v>
      </c>
      <c r="CJ42" s="21">
        <v>28480.305097601369</v>
      </c>
      <c r="CK42" s="21">
        <v>28264.3711335753</v>
      </c>
      <c r="CL42" s="21">
        <v>28718.067563832799</v>
      </c>
      <c r="CM42" s="20">
        <f t="shared" si="118"/>
        <v>113133.00024253006</v>
      </c>
      <c r="CN42" s="21"/>
      <c r="CO42" s="21"/>
      <c r="CP42" s="21"/>
      <c r="CQ42" s="21"/>
      <c r="CR42" s="20">
        <f t="shared" si="119"/>
        <v>0</v>
      </c>
    </row>
    <row r="43" spans="1:96" s="9" customFormat="1" ht="15" x14ac:dyDescent="0.4">
      <c r="A43" s="18" t="s">
        <v>84</v>
      </c>
      <c r="B43" s="19">
        <v>8911.5329927147923</v>
      </c>
      <c r="C43" s="19">
        <v>8048.898166599949</v>
      </c>
      <c r="D43" s="19">
        <v>8417.3558334613645</v>
      </c>
      <c r="E43" s="19">
        <v>9142.6266549882621</v>
      </c>
      <c r="F43" s="20">
        <f t="shared" si="101"/>
        <v>34520.41364776437</v>
      </c>
      <c r="G43" s="19">
        <v>9146.9502298438947</v>
      </c>
      <c r="H43" s="19">
        <v>8332.9249549660035</v>
      </c>
      <c r="I43" s="19">
        <v>8713.2358938725192</v>
      </c>
      <c r="J43" s="19">
        <v>9564.3059223394866</v>
      </c>
      <c r="K43" s="20">
        <f t="shared" si="102"/>
        <v>35757.417001021902</v>
      </c>
      <c r="L43" s="19">
        <v>10289.787773623884</v>
      </c>
      <c r="M43" s="19">
        <v>10852.249944175224</v>
      </c>
      <c r="N43" s="19">
        <v>11568.84022513642</v>
      </c>
      <c r="O43" s="19">
        <v>12626.049090017103</v>
      </c>
      <c r="P43" s="20">
        <f t="shared" si="103"/>
        <v>45336.927032952633</v>
      </c>
      <c r="Q43" s="19">
        <v>11218.156348449316</v>
      </c>
      <c r="R43" s="19" t="e">
        <v>#DIV/0!</v>
      </c>
      <c r="S43" s="19">
        <v>9609.3514317638928</v>
      </c>
      <c r="T43" s="19">
        <v>10291.978513137146</v>
      </c>
      <c r="U43" s="20" t="e">
        <f t="shared" si="104"/>
        <v>#DIV/0!</v>
      </c>
      <c r="V43" s="19">
        <v>10074.367189003846</v>
      </c>
      <c r="W43" s="19">
        <v>9841.7533809537326</v>
      </c>
      <c r="X43" s="19">
        <v>10973.692110825579</v>
      </c>
      <c r="Y43" s="19">
        <v>12215.362438622506</v>
      </c>
      <c r="Z43" s="20">
        <f t="shared" si="105"/>
        <v>43105.175119405663</v>
      </c>
      <c r="AA43" s="19">
        <v>10734.742569562544</v>
      </c>
      <c r="AB43" s="19">
        <v>10538.176790484356</v>
      </c>
      <c r="AC43" s="19">
        <v>11263.453456872056</v>
      </c>
      <c r="AD43" s="19">
        <v>12518.986896802238</v>
      </c>
      <c r="AE43" s="20">
        <f t="shared" si="106"/>
        <v>45055.359713721191</v>
      </c>
      <c r="AF43" s="19">
        <v>11400.889255423241</v>
      </c>
      <c r="AG43" s="19">
        <v>11531.103906608747</v>
      </c>
      <c r="AH43" s="19">
        <v>12161.930144134551</v>
      </c>
      <c r="AI43" s="19">
        <v>13253.01608059197</v>
      </c>
      <c r="AJ43" s="20">
        <f t="shared" si="107"/>
        <v>48346.939386758502</v>
      </c>
      <c r="AK43" s="19">
        <v>12529.347429881553</v>
      </c>
      <c r="AL43" s="19">
        <v>12456.76096533061</v>
      </c>
      <c r="AM43" s="19">
        <v>13032.455260090477</v>
      </c>
      <c r="AN43" s="19">
        <v>13943.356344697368</v>
      </c>
      <c r="AO43" s="20">
        <f t="shared" si="108"/>
        <v>51961.920000000013</v>
      </c>
      <c r="AP43" s="19">
        <v>13101.928465635381</v>
      </c>
      <c r="AQ43" s="19">
        <v>13299.29850597469</v>
      </c>
      <c r="AR43" s="19">
        <v>13743.955056109613</v>
      </c>
      <c r="AS43" s="19">
        <v>14584.237972280423</v>
      </c>
      <c r="AT43" s="20">
        <f t="shared" si="109"/>
        <v>54729.420000000107</v>
      </c>
      <c r="AU43" s="19">
        <v>13994.107857867519</v>
      </c>
      <c r="AV43" s="19">
        <v>14317.237147813736</v>
      </c>
      <c r="AW43" s="19">
        <v>14624.141377296133</v>
      </c>
      <c r="AX43" s="19">
        <v>15160.635086831711</v>
      </c>
      <c r="AY43" s="20">
        <f t="shared" si="110"/>
        <v>58096.121469809099</v>
      </c>
      <c r="AZ43" s="19">
        <v>14523.962886575788</v>
      </c>
      <c r="BA43" s="19">
        <v>14950.54161077873</v>
      </c>
      <c r="BB43" s="19">
        <v>15307.649652324579</v>
      </c>
      <c r="BC43" s="19">
        <v>15946.873850320895</v>
      </c>
      <c r="BD43" s="20">
        <f t="shared" si="111"/>
        <v>60729.027999999991</v>
      </c>
      <c r="BE43" s="19">
        <v>15577.905535318852</v>
      </c>
      <c r="BF43" s="19">
        <v>16234.058802262502</v>
      </c>
      <c r="BG43" s="19">
        <v>16809.302068937621</v>
      </c>
      <c r="BH43" s="19">
        <v>17358.963593481476</v>
      </c>
      <c r="BI43" s="20">
        <f t="shared" si="112"/>
        <v>65980.230000000447</v>
      </c>
      <c r="BJ43" s="19">
        <v>16566.040837948367</v>
      </c>
      <c r="BK43" s="19">
        <v>14652.239339706706</v>
      </c>
      <c r="BL43" s="19">
        <v>15664.615326784884</v>
      </c>
      <c r="BM43" s="19">
        <v>15910.285669804753</v>
      </c>
      <c r="BN43" s="20">
        <f t="shared" si="113"/>
        <v>62793.18117424471</v>
      </c>
      <c r="BO43" s="19">
        <v>15937.094521997933</v>
      </c>
      <c r="BP43" s="19">
        <v>16397.737975810374</v>
      </c>
      <c r="BQ43" s="19">
        <v>16393.160287995881</v>
      </c>
      <c r="BR43" s="19">
        <v>17168.677214195814</v>
      </c>
      <c r="BS43" s="20">
        <f t="shared" si="114"/>
        <v>65896.670000000013</v>
      </c>
      <c r="BT43" s="19">
        <v>16952.608517595723</v>
      </c>
      <c r="BU43" s="19">
        <v>17575.351460970058</v>
      </c>
      <c r="BV43" s="19">
        <v>17802.379841224876</v>
      </c>
      <c r="BW43" s="19">
        <v>17968.677061537142</v>
      </c>
      <c r="BX43" s="20">
        <f t="shared" si="115"/>
        <v>70299.016881327785</v>
      </c>
      <c r="BY43" s="19">
        <v>17652.013552587785</v>
      </c>
      <c r="BZ43" s="19">
        <v>17761.287176279868</v>
      </c>
      <c r="CA43" s="19">
        <v>17873.295883081453</v>
      </c>
      <c r="CB43" s="19">
        <v>18106.189999999999</v>
      </c>
      <c r="CC43" s="20">
        <f t="shared" si="116"/>
        <v>71392.786611949108</v>
      </c>
      <c r="CD43" s="19">
        <v>18077.656642938073</v>
      </c>
      <c r="CE43" s="19">
        <v>18235.988623677065</v>
      </c>
      <c r="CF43" s="19">
        <v>18288.319735542493</v>
      </c>
      <c r="CG43" s="19">
        <v>18707.506273076877</v>
      </c>
      <c r="CH43" s="20">
        <f t="shared" si="117"/>
        <v>73309.471275234508</v>
      </c>
      <c r="CI43" s="19">
        <v>18289.482091666301</v>
      </c>
      <c r="CJ43" s="19">
        <v>18599.302645804401</v>
      </c>
      <c r="CK43" s="19">
        <v>18637.0760527415</v>
      </c>
      <c r="CL43" s="19">
        <v>19272.506273076899</v>
      </c>
      <c r="CM43" s="20">
        <f t="shared" si="118"/>
        <v>74798.367063289101</v>
      </c>
      <c r="CN43" s="19"/>
      <c r="CO43" s="19"/>
      <c r="CP43" s="19"/>
      <c r="CQ43" s="19"/>
      <c r="CR43" s="20">
        <f t="shared" si="119"/>
        <v>0</v>
      </c>
    </row>
    <row r="44" spans="1:96" s="9" customFormat="1" ht="15" x14ac:dyDescent="0.4">
      <c r="A44" s="18" t="s">
        <v>85</v>
      </c>
      <c r="B44" s="21">
        <v>9384.86666547192</v>
      </c>
      <c r="C44" s="21">
        <v>9760.243982245569</v>
      </c>
      <c r="D44" s="21">
        <v>9861.7838238254863</v>
      </c>
      <c r="E44" s="21">
        <v>10519.167498713081</v>
      </c>
      <c r="F44" s="20">
        <f t="shared" si="101"/>
        <v>39526.061970256058</v>
      </c>
      <c r="G44" s="21">
        <v>9611.3064037350432</v>
      </c>
      <c r="H44" s="21">
        <v>9726.0623995597016</v>
      </c>
      <c r="I44" s="21">
        <v>10031.416471064358</v>
      </c>
      <c r="J44" s="21">
        <v>10851.269383835117</v>
      </c>
      <c r="K44" s="20">
        <f t="shared" si="102"/>
        <v>40220.054658194225</v>
      </c>
      <c r="L44" s="21">
        <v>10031.780500381337</v>
      </c>
      <c r="M44" s="21">
        <v>10162.201855241206</v>
      </c>
      <c r="N44" s="21">
        <v>10328.397973844092</v>
      </c>
      <c r="O44" s="21">
        <v>10836.006361220252</v>
      </c>
      <c r="P44" s="20">
        <f t="shared" si="103"/>
        <v>41358.386690686886</v>
      </c>
      <c r="Q44" s="21">
        <v>9916.9463058052679</v>
      </c>
      <c r="R44" s="21" t="e">
        <v>#DIV/0!</v>
      </c>
      <c r="S44" s="21">
        <v>11073.046769808911</v>
      </c>
      <c r="T44" s="21">
        <v>11879.752279575694</v>
      </c>
      <c r="U44" s="20" t="e">
        <f t="shared" si="104"/>
        <v>#DIV/0!</v>
      </c>
      <c r="V44" s="21">
        <v>10899.938387065562</v>
      </c>
      <c r="W44" s="21">
        <v>11326.044960212788</v>
      </c>
      <c r="X44" s="21">
        <v>11852.909595722824</v>
      </c>
      <c r="Y44" s="21">
        <v>12077.983257320429</v>
      </c>
      <c r="Z44" s="20">
        <f t="shared" si="105"/>
        <v>46156.876200321611</v>
      </c>
      <c r="AA44" s="21">
        <v>11406.312295852456</v>
      </c>
      <c r="AB44" s="21">
        <v>11562.023020886036</v>
      </c>
      <c r="AC44" s="21">
        <v>12683.834906332704</v>
      </c>
      <c r="AD44" s="21">
        <v>13524.955379670304</v>
      </c>
      <c r="AE44" s="20">
        <f t="shared" si="106"/>
        <v>49177.1256027415</v>
      </c>
      <c r="AF44" s="21">
        <v>11962.937163704939</v>
      </c>
      <c r="AG44" s="21">
        <v>12264.798957956948</v>
      </c>
      <c r="AH44" s="21">
        <v>13421.067817402909</v>
      </c>
      <c r="AI44" s="21">
        <v>14187.439783261805</v>
      </c>
      <c r="AJ44" s="20">
        <f t="shared" si="107"/>
        <v>51836.243722326602</v>
      </c>
      <c r="AK44" s="21">
        <v>12869.018921296538</v>
      </c>
      <c r="AL44" s="21">
        <v>12959.626372482442</v>
      </c>
      <c r="AM44" s="21">
        <v>13769.20845056809</v>
      </c>
      <c r="AN44" s="21">
        <v>14527.026255652932</v>
      </c>
      <c r="AO44" s="20">
        <f t="shared" si="108"/>
        <v>54124.880000000005</v>
      </c>
      <c r="AP44" s="21">
        <v>13763.208445263996</v>
      </c>
      <c r="AQ44" s="21">
        <v>13941.09801702275</v>
      </c>
      <c r="AR44" s="21">
        <v>14157.212120284232</v>
      </c>
      <c r="AS44" s="21">
        <v>14999.131417428922</v>
      </c>
      <c r="AT44" s="20">
        <f t="shared" si="109"/>
        <v>56860.6499999999</v>
      </c>
      <c r="AU44" s="21">
        <v>14856.989463037628</v>
      </c>
      <c r="AV44" s="21">
        <v>15138.159469892078</v>
      </c>
      <c r="AW44" s="21">
        <v>15417.238696793778</v>
      </c>
      <c r="AX44" s="21">
        <v>15488.154693588618</v>
      </c>
      <c r="AY44" s="20">
        <f t="shared" si="110"/>
        <v>60900.542323312096</v>
      </c>
      <c r="AZ44" s="21">
        <v>15055.045993743426</v>
      </c>
      <c r="BA44" s="21">
        <v>15610.75985416854</v>
      </c>
      <c r="BB44" s="21">
        <v>16450.216295275412</v>
      </c>
      <c r="BC44" s="21">
        <v>16927.568856812617</v>
      </c>
      <c r="BD44" s="20">
        <f t="shared" si="111"/>
        <v>64043.591</v>
      </c>
      <c r="BE44" s="21">
        <v>16484.807877650313</v>
      </c>
      <c r="BF44" s="21">
        <v>16888.659421739721</v>
      </c>
      <c r="BG44" s="21">
        <v>17716.193745600882</v>
      </c>
      <c r="BH44" s="21">
        <v>17882.10995500788</v>
      </c>
      <c r="BI44" s="20">
        <f t="shared" si="112"/>
        <v>68971.770999998786</v>
      </c>
      <c r="BJ44" s="21">
        <v>16673.065488174703</v>
      </c>
      <c r="BK44" s="21">
        <v>15752.811855345473</v>
      </c>
      <c r="BL44" s="21">
        <v>15246.9433638028</v>
      </c>
      <c r="BM44" s="21">
        <v>15479.907742531235</v>
      </c>
      <c r="BN44" s="20">
        <f t="shared" si="113"/>
        <v>63152.728449854214</v>
      </c>
      <c r="BO44" s="21">
        <v>15472.82618461122</v>
      </c>
      <c r="BP44" s="21">
        <v>16995.542834735978</v>
      </c>
      <c r="BQ44" s="21">
        <v>16205.958956869432</v>
      </c>
      <c r="BR44" s="21">
        <v>16324.912023783374</v>
      </c>
      <c r="BS44" s="20">
        <f t="shared" si="114"/>
        <v>64999.240000000005</v>
      </c>
      <c r="BT44" s="21">
        <v>16482.027749832585</v>
      </c>
      <c r="BU44" s="21">
        <v>17353.775851418719</v>
      </c>
      <c r="BV44" s="21">
        <v>17424.150719441903</v>
      </c>
      <c r="BW44" s="21">
        <v>17614.590168657796</v>
      </c>
      <c r="BX44" s="20">
        <f t="shared" si="115"/>
        <v>68874.544489350999</v>
      </c>
      <c r="BY44" s="21">
        <v>17528.505155456631</v>
      </c>
      <c r="BZ44" s="21">
        <v>17730.854795684056</v>
      </c>
      <c r="CA44" s="21">
        <v>18012.072367739445</v>
      </c>
      <c r="CB44" s="21">
        <v>18288.740000000002</v>
      </c>
      <c r="CC44" s="20">
        <f t="shared" si="116"/>
        <v>71560.172318880141</v>
      </c>
      <c r="CD44" s="21">
        <v>18127.144883945381</v>
      </c>
      <c r="CE44" s="21">
        <v>18214.203521330637</v>
      </c>
      <c r="CF44" s="21">
        <v>18406.140361743455</v>
      </c>
      <c r="CG44" s="21">
        <v>18632.254681935414</v>
      </c>
      <c r="CH44" s="20">
        <f t="shared" si="117"/>
        <v>73379.74344895489</v>
      </c>
      <c r="CI44" s="21">
        <v>18539.001731360426</v>
      </c>
      <c r="CJ44" s="21">
        <v>18639.610220031202</v>
      </c>
      <c r="CK44" s="21">
        <v>18718.012924573901</v>
      </c>
      <c r="CL44" s="21">
        <v>18962.254681935399</v>
      </c>
      <c r="CM44" s="20">
        <f t="shared" si="118"/>
        <v>74858.879557900931</v>
      </c>
      <c r="CN44" s="21"/>
      <c r="CO44" s="21"/>
      <c r="CP44" s="21"/>
      <c r="CQ44" s="21"/>
      <c r="CR44" s="20">
        <f t="shared" si="119"/>
        <v>0</v>
      </c>
    </row>
    <row r="45" spans="1:96" s="9" customFormat="1" ht="15" x14ac:dyDescent="0.4">
      <c r="A45" s="18" t="s">
        <v>86</v>
      </c>
      <c r="B45" s="19">
        <v>4821.8675376436722</v>
      </c>
      <c r="C45" s="19">
        <v>4646.7743191801073</v>
      </c>
      <c r="D45" s="19">
        <v>4796.4512887304954</v>
      </c>
      <c r="E45" s="19">
        <v>4839.5537544024764</v>
      </c>
      <c r="F45" s="20">
        <f t="shared" si="101"/>
        <v>19104.646899956751</v>
      </c>
      <c r="G45" s="19">
        <v>4852.9582455212076</v>
      </c>
      <c r="H45" s="19">
        <v>4743.2274248785398</v>
      </c>
      <c r="I45" s="19">
        <v>4996.7153773930713</v>
      </c>
      <c r="J45" s="19">
        <v>5046.9830415053229</v>
      </c>
      <c r="K45" s="20">
        <f t="shared" si="102"/>
        <v>19639.884089298142</v>
      </c>
      <c r="L45" s="19">
        <v>5041.7218051890723</v>
      </c>
      <c r="M45" s="19">
        <v>4893.2153179475927</v>
      </c>
      <c r="N45" s="19">
        <v>5046.5687737873086</v>
      </c>
      <c r="O45" s="19">
        <v>5285.0542666807678</v>
      </c>
      <c r="P45" s="20">
        <f t="shared" si="103"/>
        <v>20266.56016360474</v>
      </c>
      <c r="Q45" s="19">
        <v>5550.9030670444818</v>
      </c>
      <c r="R45" s="19" t="e">
        <v>#DIV/0!</v>
      </c>
      <c r="S45" s="19">
        <v>6114.4043481029121</v>
      </c>
      <c r="T45" s="19">
        <v>6660.6230540126771</v>
      </c>
      <c r="U45" s="20" t="e">
        <f t="shared" si="104"/>
        <v>#DIV/0!</v>
      </c>
      <c r="V45" s="19">
        <v>6031.0400329556605</v>
      </c>
      <c r="W45" s="19">
        <v>5899.8466263538048</v>
      </c>
      <c r="X45" s="19">
        <v>6444.26779065147</v>
      </c>
      <c r="Y45" s="19">
        <v>6582.1663758394525</v>
      </c>
      <c r="Z45" s="20">
        <f t="shared" si="105"/>
        <v>24957.320825800387</v>
      </c>
      <c r="AA45" s="19">
        <v>6270.2168066511367</v>
      </c>
      <c r="AB45" s="19">
        <v>6017.1635872898732</v>
      </c>
      <c r="AC45" s="19">
        <v>6387.6277241650996</v>
      </c>
      <c r="AD45" s="19">
        <v>6794.5167517993259</v>
      </c>
      <c r="AE45" s="20">
        <f t="shared" si="106"/>
        <v>25469.524869905435</v>
      </c>
      <c r="AF45" s="19">
        <v>6489.0514501083262</v>
      </c>
      <c r="AG45" s="19">
        <v>6302.0711883362292</v>
      </c>
      <c r="AH45" s="19">
        <v>6505.3481314666851</v>
      </c>
      <c r="AI45" s="19">
        <v>6999.8901887998018</v>
      </c>
      <c r="AJ45" s="20">
        <f t="shared" si="107"/>
        <v>26296.36095871104</v>
      </c>
      <c r="AK45" s="19">
        <v>6594.0718612523406</v>
      </c>
      <c r="AL45" s="19">
        <v>6746.9201539365358</v>
      </c>
      <c r="AM45" s="19">
        <v>6945.1285361685404</v>
      </c>
      <c r="AN45" s="19">
        <v>7336.97544864258</v>
      </c>
      <c r="AO45" s="20">
        <f t="shared" si="108"/>
        <v>27623.095999999998</v>
      </c>
      <c r="AP45" s="19">
        <v>7074.2260472314074</v>
      </c>
      <c r="AQ45" s="19">
        <v>7216.6848110987721</v>
      </c>
      <c r="AR45" s="19">
        <v>7403.3737509260382</v>
      </c>
      <c r="AS45" s="19">
        <v>7664.6893907436834</v>
      </c>
      <c r="AT45" s="20">
        <f t="shared" si="109"/>
        <v>29358.9739999999</v>
      </c>
      <c r="AU45" s="19">
        <v>7498.4047195770099</v>
      </c>
      <c r="AV45" s="19">
        <v>7760.2033909460033</v>
      </c>
      <c r="AW45" s="19">
        <v>7912.8060452055652</v>
      </c>
      <c r="AX45" s="19">
        <v>8128.8281857934244</v>
      </c>
      <c r="AY45" s="20">
        <f t="shared" si="110"/>
        <v>31300.242341522</v>
      </c>
      <c r="AZ45" s="19">
        <v>7705.9327313517315</v>
      </c>
      <c r="BA45" s="19">
        <v>7940.2820544257429</v>
      </c>
      <c r="BB45" s="19">
        <v>8117.9429990676299</v>
      </c>
      <c r="BC45" s="19">
        <v>8288.1785151548938</v>
      </c>
      <c r="BD45" s="20">
        <f t="shared" si="111"/>
        <v>32052.336299999999</v>
      </c>
      <c r="BE45" s="19">
        <v>8034.5327525190496</v>
      </c>
      <c r="BF45" s="19">
        <v>8122.050615185688</v>
      </c>
      <c r="BG45" s="19">
        <v>8209.1069735260444</v>
      </c>
      <c r="BH45" s="19">
        <v>8334.6257587696218</v>
      </c>
      <c r="BI45" s="20">
        <f t="shared" si="112"/>
        <v>32700.316100000404</v>
      </c>
      <c r="BJ45" s="19">
        <v>8070.0767355530616</v>
      </c>
      <c r="BK45" s="19">
        <v>7776.7163572980135</v>
      </c>
      <c r="BL45" s="19">
        <v>7899.6851338317701</v>
      </c>
      <c r="BM45" s="19">
        <v>8067.9160220180556</v>
      </c>
      <c r="BN45" s="20">
        <f t="shared" si="113"/>
        <v>31814.394248700904</v>
      </c>
      <c r="BO45" s="19">
        <v>8086.3556798925902</v>
      </c>
      <c r="BP45" s="19">
        <v>8255.2720273801897</v>
      </c>
      <c r="BQ45" s="19">
        <v>8111.7113700004538</v>
      </c>
      <c r="BR45" s="19">
        <v>8186.2109227267683</v>
      </c>
      <c r="BS45" s="20">
        <f t="shared" si="114"/>
        <v>32639.55</v>
      </c>
      <c r="BT45" s="19">
        <v>8128.829244751214</v>
      </c>
      <c r="BU45" s="19">
        <v>8582.7529264503592</v>
      </c>
      <c r="BV45" s="19">
        <v>8648.9505581187914</v>
      </c>
      <c r="BW45" s="19">
        <v>8689.7374574870355</v>
      </c>
      <c r="BX45" s="20">
        <f t="shared" si="115"/>
        <v>34050.2701868074</v>
      </c>
      <c r="BY45" s="19">
        <v>8695.4266918917165</v>
      </c>
      <c r="BZ45" s="19">
        <v>8835.7539626340331</v>
      </c>
      <c r="CA45" s="19">
        <v>8907.4333050615733</v>
      </c>
      <c r="CB45" s="19">
        <v>8975.9599999999991</v>
      </c>
      <c r="CC45" s="20">
        <f t="shared" si="116"/>
        <v>35414.573959587324</v>
      </c>
      <c r="CD45" s="19">
        <v>8992.3695339455262</v>
      </c>
      <c r="CE45" s="19">
        <v>9032.0101444815973</v>
      </c>
      <c r="CF45" s="19">
        <v>9109.3349233881345</v>
      </c>
      <c r="CG45" s="19">
        <v>9339.446291834005</v>
      </c>
      <c r="CH45" s="20">
        <f t="shared" si="117"/>
        <v>36473.160893649263</v>
      </c>
      <c r="CI45" s="19">
        <v>9292.1803216603003</v>
      </c>
      <c r="CJ45" s="19">
        <v>9457.0611691368395</v>
      </c>
      <c r="CK45" s="19">
        <v>9433.6948512346498</v>
      </c>
      <c r="CL45" s="19">
        <v>9712.4462918340105</v>
      </c>
      <c r="CM45" s="20">
        <f t="shared" si="118"/>
        <v>37895.382633865796</v>
      </c>
      <c r="CN45" s="19"/>
      <c r="CO45" s="19"/>
      <c r="CP45" s="19"/>
      <c r="CQ45" s="19"/>
      <c r="CR45" s="20">
        <f t="shared" si="119"/>
        <v>0</v>
      </c>
    </row>
    <row r="46" spans="1:96" s="9" customFormat="1" ht="15" x14ac:dyDescent="0.4">
      <c r="A46" s="18"/>
      <c r="B46" s="22"/>
      <c r="C46" s="22"/>
      <c r="D46" s="23"/>
      <c r="E46" s="22"/>
      <c r="F46" s="24"/>
      <c r="G46" s="22"/>
      <c r="H46" s="22"/>
      <c r="I46" s="23"/>
      <c r="J46" s="22"/>
      <c r="K46" s="24"/>
      <c r="L46" s="22"/>
      <c r="M46" s="22"/>
      <c r="N46" s="23"/>
      <c r="O46" s="22"/>
      <c r="P46" s="24"/>
      <c r="Q46" s="22"/>
      <c r="R46" s="22"/>
      <c r="S46" s="23"/>
      <c r="T46" s="22"/>
      <c r="U46" s="24"/>
      <c r="V46" s="22"/>
      <c r="W46" s="22"/>
      <c r="X46" s="23"/>
      <c r="Y46" s="22"/>
      <c r="Z46" s="24"/>
      <c r="AA46" s="22"/>
      <c r="AB46" s="22"/>
      <c r="AC46" s="23"/>
      <c r="AD46" s="22"/>
      <c r="AE46" s="24"/>
      <c r="AF46" s="22"/>
      <c r="AG46" s="22"/>
      <c r="AH46" s="23"/>
      <c r="AI46" s="22"/>
      <c r="AJ46" s="24"/>
      <c r="AK46" s="22"/>
      <c r="AL46" s="22"/>
      <c r="AM46" s="23"/>
      <c r="AN46" s="22"/>
      <c r="AO46" s="24"/>
      <c r="AP46" s="22"/>
      <c r="AQ46" s="22"/>
      <c r="AR46" s="23"/>
      <c r="AS46" s="22"/>
      <c r="AT46" s="24"/>
      <c r="AU46" s="22"/>
      <c r="AV46" s="22"/>
      <c r="AW46" s="23"/>
      <c r="AX46" s="22"/>
      <c r="AY46" s="24"/>
      <c r="AZ46" s="22"/>
      <c r="BA46" s="22"/>
      <c r="BB46" s="23"/>
      <c r="BC46" s="22"/>
      <c r="BD46" s="24"/>
      <c r="BE46" s="22"/>
      <c r="BF46" s="22"/>
      <c r="BG46" s="23"/>
      <c r="BH46" s="22"/>
      <c r="BI46" s="24"/>
      <c r="BJ46" s="22"/>
      <c r="BK46" s="22"/>
      <c r="BL46" s="23"/>
      <c r="BM46" s="22"/>
      <c r="BN46" s="24"/>
      <c r="BO46" s="22"/>
      <c r="BP46" s="22"/>
      <c r="BQ46" s="23"/>
      <c r="BR46" s="22"/>
      <c r="BS46" s="24"/>
      <c r="BT46" s="22"/>
      <c r="BU46" s="22"/>
      <c r="BV46" s="23"/>
      <c r="BW46" s="22"/>
      <c r="BX46" s="24"/>
      <c r="BY46" s="22"/>
      <c r="BZ46" s="22"/>
      <c r="CA46" s="23"/>
      <c r="CB46" s="22"/>
      <c r="CC46" s="24"/>
      <c r="CD46" s="22"/>
      <c r="CE46" s="22"/>
      <c r="CF46" s="23"/>
      <c r="CG46" s="22"/>
      <c r="CH46" s="24"/>
      <c r="CI46" s="22"/>
      <c r="CJ46" s="22"/>
      <c r="CK46" s="23"/>
      <c r="CL46" s="22"/>
      <c r="CM46" s="24"/>
      <c r="CN46" s="22"/>
      <c r="CO46" s="22"/>
      <c r="CP46" s="23"/>
      <c r="CQ46" s="22"/>
      <c r="CR46" s="24"/>
    </row>
    <row r="47" spans="1:96" s="17" customFormat="1" ht="15" x14ac:dyDescent="0.4">
      <c r="A47" s="15" t="s">
        <v>87</v>
      </c>
      <c r="B47" s="16">
        <v>9247.7865818067748</v>
      </c>
      <c r="C47" s="16">
        <v>9411.0216186628477</v>
      </c>
      <c r="D47" s="16">
        <v>9540.3384052946876</v>
      </c>
      <c r="E47" s="16">
        <v>10172.394864921693</v>
      </c>
      <c r="F47" s="16">
        <f>SUM(B47:E47)</f>
        <v>38371.541470686003</v>
      </c>
      <c r="G47" s="16">
        <v>9275.0997440619249</v>
      </c>
      <c r="H47" s="16">
        <v>9826.7019090978138</v>
      </c>
      <c r="I47" s="16">
        <v>9169.9035097503838</v>
      </c>
      <c r="J47" s="16">
        <v>10072.135081090479</v>
      </c>
      <c r="K47" s="16">
        <f>SUM(G47:J47)</f>
        <v>38343.840244000603</v>
      </c>
      <c r="L47" s="16">
        <v>10046.132274933158</v>
      </c>
      <c r="M47" s="16">
        <v>10150.966779826373</v>
      </c>
      <c r="N47" s="16">
        <v>10453.780368964806</v>
      </c>
      <c r="O47" s="16">
        <v>10616.600391901587</v>
      </c>
      <c r="P47" s="16">
        <f>SUM(L47:O47)</f>
        <v>41267.47981562592</v>
      </c>
      <c r="Q47" s="16">
        <v>10415.5485725744</v>
      </c>
      <c r="R47" s="16" t="e">
        <v>#DIV/0!</v>
      </c>
      <c r="S47" s="16">
        <v>10874.657809400658</v>
      </c>
      <c r="T47" s="16">
        <v>11005.474203484726</v>
      </c>
      <c r="U47" s="16" t="e">
        <f>SUM(Q47:T47)</f>
        <v>#DIV/0!</v>
      </c>
      <c r="V47" s="16">
        <v>11152.690282688731</v>
      </c>
      <c r="W47" s="16">
        <v>11340.262151151914</v>
      </c>
      <c r="X47" s="16">
        <v>11426.704693454622</v>
      </c>
      <c r="Y47" s="16">
        <v>11529.840966155351</v>
      </c>
      <c r="Z47" s="16">
        <f>SUM(V47:Y47)</f>
        <v>45449.498093450617</v>
      </c>
      <c r="AA47" s="16">
        <v>11871.941252878487</v>
      </c>
      <c r="AB47" s="16">
        <v>11909.753168630556</v>
      </c>
      <c r="AC47" s="16">
        <v>12189.761928093587</v>
      </c>
      <c r="AD47" s="16">
        <v>12375.134909148068</v>
      </c>
      <c r="AE47" s="16">
        <f>SUM(AA47:AD47)</f>
        <v>48346.59125875069</v>
      </c>
      <c r="AF47" s="16">
        <v>13539.339739319978</v>
      </c>
      <c r="AG47" s="16">
        <v>12768.613223487051</v>
      </c>
      <c r="AH47" s="16">
        <v>12621.869321547842</v>
      </c>
      <c r="AI47" s="16">
        <v>12961.378203369533</v>
      </c>
      <c r="AJ47" s="16">
        <f>SUM(AF47:AI47)</f>
        <v>51891.200487724404</v>
      </c>
      <c r="AK47" s="16">
        <v>12707.211668547148</v>
      </c>
      <c r="AL47" s="16">
        <v>13007.342453519903</v>
      </c>
      <c r="AM47" s="16">
        <v>13405.820278666341</v>
      </c>
      <c r="AN47" s="16">
        <v>14470.585599266609</v>
      </c>
      <c r="AO47" s="16">
        <f>SUM(AK47:AN47)</f>
        <v>53590.96</v>
      </c>
      <c r="AP47" s="16">
        <v>13287.229860329928</v>
      </c>
      <c r="AQ47" s="16">
        <v>13725.203646777598</v>
      </c>
      <c r="AR47" s="16">
        <v>14440.609766922318</v>
      </c>
      <c r="AS47" s="16">
        <v>15481.076725970253</v>
      </c>
      <c r="AT47" s="16">
        <f>SUM(AP47:AS47)</f>
        <v>56934.120000000097</v>
      </c>
      <c r="AU47" s="16">
        <v>14626.764895129209</v>
      </c>
      <c r="AV47" s="16">
        <v>14870.378788384378</v>
      </c>
      <c r="AW47" s="16">
        <v>15049.102401873142</v>
      </c>
      <c r="AX47" s="16">
        <v>15663.98515617749</v>
      </c>
      <c r="AY47" s="16">
        <f>SUM(AU47:AX47)</f>
        <v>60210.231241564223</v>
      </c>
      <c r="AZ47" s="16">
        <v>15508.696807049269</v>
      </c>
      <c r="BA47" s="16">
        <v>15872.389164922146</v>
      </c>
      <c r="BB47" s="16">
        <v>16152.038129576102</v>
      </c>
      <c r="BC47" s="16">
        <v>16450.970898452488</v>
      </c>
      <c r="BD47" s="16">
        <f>SUM(AZ47:BC47)</f>
        <v>63984.095000000001</v>
      </c>
      <c r="BE47" s="16">
        <v>16720.946036124711</v>
      </c>
      <c r="BF47" s="16">
        <v>17011.499575816364</v>
      </c>
      <c r="BG47" s="16">
        <v>17406.063966822843</v>
      </c>
      <c r="BH47" s="16">
        <v>17829.918421235496</v>
      </c>
      <c r="BI47" s="16">
        <f>SUM(BE47:BH47)</f>
        <v>68968.427999999403</v>
      </c>
      <c r="BJ47" s="16">
        <v>17851.757752276455</v>
      </c>
      <c r="BK47" s="16">
        <v>16855.05141649225</v>
      </c>
      <c r="BL47" s="16">
        <v>16953.440041042533</v>
      </c>
      <c r="BM47" s="16">
        <v>17145.984790188966</v>
      </c>
      <c r="BN47" s="16">
        <f>SUM(BJ47:BM47)</f>
        <v>68806.2340000002</v>
      </c>
      <c r="BO47" s="16">
        <v>17202.965948707322</v>
      </c>
      <c r="BP47" s="16">
        <v>17388.984129616754</v>
      </c>
      <c r="BQ47" s="16">
        <v>17048.503494895594</v>
      </c>
      <c r="BR47" s="16">
        <v>17868.676426784026</v>
      </c>
      <c r="BS47" s="16">
        <f>SUM(BO47:BR47)</f>
        <v>69509.130000003701</v>
      </c>
      <c r="BT47" s="16">
        <v>18031.329474420585</v>
      </c>
      <c r="BU47" s="16">
        <v>18551.056233400323</v>
      </c>
      <c r="BV47" s="16">
        <v>18664.56941140036</v>
      </c>
      <c r="BW47" s="16">
        <v>19354.42595587542</v>
      </c>
      <c r="BX47" s="16">
        <f>SUM(BT47:BW47)</f>
        <v>74601.381075096695</v>
      </c>
      <c r="BY47" s="16">
        <v>19064.89900059484</v>
      </c>
      <c r="BZ47" s="16">
        <v>19513.311587474844</v>
      </c>
      <c r="CA47" s="16">
        <v>19725.815161903924</v>
      </c>
      <c r="CB47" s="16">
        <v>20933.18</v>
      </c>
      <c r="CC47" s="16">
        <f>SUM(BY47:CB47)</f>
        <v>79237.205749973597</v>
      </c>
      <c r="CD47" s="16">
        <v>22966.719699415768</v>
      </c>
      <c r="CE47" s="16">
        <v>21294.37101772393</v>
      </c>
      <c r="CF47" s="16">
        <v>21909.933930066869</v>
      </c>
      <c r="CG47" s="16">
        <v>23839.598787283365</v>
      </c>
      <c r="CH47" s="16">
        <f>SUM(CD47:CG47)</f>
        <v>90010.623434489928</v>
      </c>
      <c r="CI47" s="16">
        <v>24418.732790590399</v>
      </c>
      <c r="CJ47" s="16">
        <v>23234.783816083898</v>
      </c>
      <c r="CK47" s="16">
        <v>22445.797069959499</v>
      </c>
      <c r="CL47" s="16">
        <v>23369.598787283401</v>
      </c>
      <c r="CM47" s="16">
        <f>SUM(CI47:CL47)</f>
        <v>93468.912463917193</v>
      </c>
      <c r="CN47" s="16"/>
      <c r="CO47" s="16"/>
      <c r="CP47" s="16"/>
      <c r="CQ47" s="16"/>
      <c r="CR47" s="16">
        <f>SUM(CN47:CQ47)</f>
        <v>0</v>
      </c>
    </row>
    <row r="48" spans="1:96" s="9" customFormat="1" ht="15" x14ac:dyDescent="0.4">
      <c r="A48" s="25"/>
      <c r="B48" s="22"/>
      <c r="C48" s="22"/>
      <c r="D48" s="22"/>
      <c r="E48" s="22"/>
      <c r="F48" s="24"/>
      <c r="G48" s="22"/>
      <c r="H48" s="22"/>
      <c r="I48" s="22"/>
      <c r="J48" s="22"/>
      <c r="K48" s="24"/>
      <c r="L48" s="22"/>
      <c r="M48" s="22"/>
      <c r="N48" s="22"/>
      <c r="O48" s="22"/>
      <c r="P48" s="24"/>
      <c r="Q48" s="22"/>
      <c r="R48" s="22"/>
      <c r="S48" s="22"/>
      <c r="T48" s="22"/>
      <c r="U48" s="24"/>
      <c r="V48" s="22"/>
      <c r="W48" s="22"/>
      <c r="X48" s="22"/>
      <c r="Y48" s="22"/>
      <c r="Z48" s="24"/>
      <c r="AA48" s="22"/>
      <c r="AB48" s="22"/>
      <c r="AC48" s="22"/>
      <c r="AD48" s="22"/>
      <c r="AE48" s="24"/>
      <c r="AF48" s="22"/>
      <c r="AG48" s="22"/>
      <c r="AH48" s="22"/>
      <c r="AI48" s="22"/>
      <c r="AJ48" s="24"/>
      <c r="AK48" s="22"/>
      <c r="AL48" s="22"/>
      <c r="AM48" s="22"/>
      <c r="AN48" s="22"/>
      <c r="AO48" s="24"/>
      <c r="AP48" s="22"/>
      <c r="AQ48" s="22"/>
      <c r="AR48" s="22"/>
      <c r="AS48" s="22"/>
      <c r="AT48" s="24"/>
      <c r="AU48" s="22"/>
      <c r="AV48" s="22"/>
      <c r="AW48" s="22"/>
      <c r="AX48" s="22"/>
      <c r="AY48" s="24"/>
      <c r="AZ48" s="22"/>
      <c r="BA48" s="22"/>
      <c r="BB48" s="22"/>
      <c r="BC48" s="22"/>
      <c r="BD48" s="24"/>
      <c r="BE48" s="22"/>
      <c r="BF48" s="22"/>
      <c r="BG48" s="22"/>
      <c r="BH48" s="22"/>
      <c r="BI48" s="24"/>
      <c r="BJ48" s="22"/>
      <c r="BK48" s="22"/>
      <c r="BL48" s="22"/>
      <c r="BM48" s="22"/>
      <c r="BN48" s="24"/>
      <c r="BO48" s="22"/>
      <c r="BP48" s="22"/>
      <c r="BQ48" s="22"/>
      <c r="BR48" s="22"/>
      <c r="BS48" s="24"/>
      <c r="BT48" s="22"/>
      <c r="BU48" s="22"/>
      <c r="BV48" s="22"/>
      <c r="BW48" s="22"/>
      <c r="BX48" s="24"/>
      <c r="BY48" s="22"/>
      <c r="BZ48" s="22"/>
      <c r="CA48" s="22"/>
      <c r="CB48" s="22"/>
      <c r="CC48" s="24"/>
      <c r="CD48" s="22"/>
      <c r="CE48" s="22"/>
      <c r="CF48" s="22"/>
      <c r="CG48" s="22"/>
      <c r="CH48" s="24"/>
      <c r="CI48" s="22"/>
      <c r="CJ48" s="22"/>
      <c r="CK48" s="22"/>
      <c r="CL48" s="22"/>
      <c r="CM48" s="24"/>
      <c r="CN48" s="22"/>
      <c r="CO48" s="22"/>
      <c r="CP48" s="22"/>
      <c r="CQ48" s="22"/>
      <c r="CR48" s="24"/>
    </row>
    <row r="49" spans="1:96" s="17" customFormat="1" ht="15" x14ac:dyDescent="0.4">
      <c r="A49" s="15" t="s">
        <v>88</v>
      </c>
      <c r="B49" s="16">
        <v>99971.495696315324</v>
      </c>
      <c r="C49" s="16">
        <v>120969.28163091881</v>
      </c>
      <c r="D49" s="16">
        <v>132681.09447257957</v>
      </c>
      <c r="E49" s="16">
        <v>136314.13764422931</v>
      </c>
      <c r="F49" s="16">
        <f>SUM(B49:E49)</f>
        <v>489936.00944404304</v>
      </c>
      <c r="G49" s="16">
        <v>118402.11281127211</v>
      </c>
      <c r="H49" s="16">
        <v>134187.00795834023</v>
      </c>
      <c r="I49" s="16">
        <v>137229.62298723866</v>
      </c>
      <c r="J49" s="16">
        <v>156211.14638205906</v>
      </c>
      <c r="K49" s="16">
        <f>SUM(G49:J49)</f>
        <v>546029.89013891004</v>
      </c>
      <c r="L49" s="16">
        <v>122182.43677928289</v>
      </c>
      <c r="M49" s="16">
        <v>135119.70738183032</v>
      </c>
      <c r="N49" s="16">
        <v>141343.85847364916</v>
      </c>
      <c r="O49" s="16">
        <v>167129.22957338954</v>
      </c>
      <c r="P49" s="16">
        <f>SUM(L49:O49)</f>
        <v>565775.23220815184</v>
      </c>
      <c r="Q49" s="16">
        <v>127611.00366812843</v>
      </c>
      <c r="R49" s="16" t="e">
        <v>#DIV/0!</v>
      </c>
      <c r="S49" s="16">
        <v>164636.79348915332</v>
      </c>
      <c r="T49" s="16">
        <v>178879.42089378482</v>
      </c>
      <c r="U49" s="16" t="e">
        <f>SUM(Q49:T49)</f>
        <v>#DIV/0!</v>
      </c>
      <c r="V49" s="16">
        <v>137225.63856159133</v>
      </c>
      <c r="W49" s="16">
        <v>172053.62338017384</v>
      </c>
      <c r="X49" s="16">
        <v>178921.25875763505</v>
      </c>
      <c r="Y49" s="16">
        <v>191433.83421230406</v>
      </c>
      <c r="Z49" s="16">
        <f>SUM(V49:Y49)</f>
        <v>679634.35491170431</v>
      </c>
      <c r="AA49" s="16">
        <v>155021.36496339121</v>
      </c>
      <c r="AB49" s="16">
        <v>184253.42029538788</v>
      </c>
      <c r="AC49" s="16">
        <v>194052.48679314787</v>
      </c>
      <c r="AD49" s="16">
        <v>207870.93005263794</v>
      </c>
      <c r="AE49" s="16">
        <f>SUM(AA49:AD49)</f>
        <v>741198.20210456487</v>
      </c>
      <c r="AF49" s="16">
        <v>165423.65907776242</v>
      </c>
      <c r="AG49" s="16">
        <v>186626.32786824837</v>
      </c>
      <c r="AH49" s="16">
        <v>202395.87665804027</v>
      </c>
      <c r="AI49" s="16">
        <v>223277.30726222589</v>
      </c>
      <c r="AJ49" s="16">
        <f>SUM(AF49:AI49)</f>
        <v>777723.17086627695</v>
      </c>
      <c r="AK49" s="16">
        <v>181236.70322544279</v>
      </c>
      <c r="AL49" s="16">
        <v>199726.7740336883</v>
      </c>
      <c r="AM49" s="16">
        <v>215716.97681897343</v>
      </c>
      <c r="AN49" s="16">
        <v>236329.74592189546</v>
      </c>
      <c r="AO49" s="16">
        <f>SUM(AK49:AN49)</f>
        <v>833010.20000000007</v>
      </c>
      <c r="AP49" s="16">
        <v>193939.73930781262</v>
      </c>
      <c r="AQ49" s="16">
        <v>205270.68776509177</v>
      </c>
      <c r="AR49" s="16">
        <v>217763.56707636616</v>
      </c>
      <c r="AS49" s="16">
        <v>239492.50585072927</v>
      </c>
      <c r="AT49" s="16">
        <f>SUM(AP49:AS49)</f>
        <v>856466.49999999988</v>
      </c>
      <c r="AU49" s="16">
        <v>198433.76734795814</v>
      </c>
      <c r="AV49" s="16">
        <v>208830.89518380348</v>
      </c>
      <c r="AW49" s="16">
        <v>227444.46235742161</v>
      </c>
      <c r="AX49" s="16">
        <v>243837.81511081668</v>
      </c>
      <c r="AY49" s="16">
        <f>SUM(AU49:AX49)</f>
        <v>878546.94</v>
      </c>
      <c r="AZ49" s="16">
        <v>198720.18415800226</v>
      </c>
      <c r="BA49" s="16">
        <v>209887.92558743339</v>
      </c>
      <c r="BB49" s="16">
        <v>227477.08566793555</v>
      </c>
      <c r="BC49" s="16">
        <v>244012.93458662881</v>
      </c>
      <c r="BD49" s="16">
        <f>SUM(AZ49:BC49)</f>
        <v>880098.13</v>
      </c>
      <c r="BE49" s="16">
        <v>199124.68827230146</v>
      </c>
      <c r="BF49" s="16">
        <v>210402.64875439327</v>
      </c>
      <c r="BG49" s="16">
        <v>231127.84801420764</v>
      </c>
      <c r="BH49" s="16">
        <v>239288.08495910856</v>
      </c>
      <c r="BI49" s="16">
        <f>SUM(BE49:BH49)</f>
        <v>879943.27000001096</v>
      </c>
      <c r="BJ49" s="16">
        <v>128382.75296526626</v>
      </c>
      <c r="BK49" s="16">
        <v>154201.20667469327</v>
      </c>
      <c r="BL49" s="16">
        <v>163838.61755583351</v>
      </c>
      <c r="BM49" s="16">
        <v>207436.90443495996</v>
      </c>
      <c r="BN49" s="16">
        <f>SUM(BJ49:BM49)</f>
        <v>653859.48163075303</v>
      </c>
      <c r="BO49" s="16">
        <v>94098.339912161537</v>
      </c>
      <c r="BP49" s="16">
        <v>183891.79179357557</v>
      </c>
      <c r="BQ49" s="16">
        <v>148691.67793169303</v>
      </c>
      <c r="BR49" s="16">
        <v>245017.65036256984</v>
      </c>
      <c r="BS49" s="16">
        <f>SUM(BO49:BR49)</f>
        <v>671699.46</v>
      </c>
      <c r="BT49" s="16">
        <v>96752.922873967604</v>
      </c>
      <c r="BU49" s="16">
        <v>135541.69913641721</v>
      </c>
      <c r="BV49" s="16">
        <v>167181.98009710194</v>
      </c>
      <c r="BW49" s="16">
        <v>237960.99754656723</v>
      </c>
      <c r="BX49" s="16">
        <f>SUM(BT49:BW49)</f>
        <v>637437.59965405404</v>
      </c>
      <c r="BY49" s="16">
        <v>98872.684685811095</v>
      </c>
      <c r="BZ49" s="16">
        <v>163719.650329175</v>
      </c>
      <c r="CA49" s="16">
        <v>152953.26544508801</v>
      </c>
      <c r="CB49" s="16">
        <v>225360.47</v>
      </c>
      <c r="CC49" s="16">
        <f>SUM(BY49:CB49)</f>
        <v>640906.07046007412</v>
      </c>
      <c r="CD49" s="16">
        <v>106619.27032055389</v>
      </c>
      <c r="CE49" s="16">
        <v>165421.01674045299</v>
      </c>
      <c r="CF49" s="16">
        <v>154794.490143698</v>
      </c>
      <c r="CG49" s="16">
        <v>229261.86218090399</v>
      </c>
      <c r="CH49" s="16">
        <f>SUM(CD49:CG49)</f>
        <v>656096.63938560884</v>
      </c>
      <c r="CI49" s="16">
        <v>117943.64260335101</v>
      </c>
      <c r="CJ49" s="16">
        <v>143903.598637527</v>
      </c>
      <c r="CK49" s="16">
        <v>144867.94321357299</v>
      </c>
      <c r="CL49" s="16">
        <v>180783.86218090399</v>
      </c>
      <c r="CM49" s="16">
        <f>SUM(CI49:CL49)</f>
        <v>587499.04663535499</v>
      </c>
      <c r="CN49" s="16"/>
      <c r="CO49" s="16"/>
      <c r="CP49" s="16"/>
      <c r="CQ49" s="16"/>
      <c r="CR49" s="16">
        <f>SUM(CN49:CQ49)</f>
        <v>0</v>
      </c>
    </row>
    <row r="50" spans="1:96" s="9" customFormat="1" ht="15" x14ac:dyDescent="0.4">
      <c r="A50" s="25"/>
      <c r="B50" s="22"/>
      <c r="C50" s="22"/>
      <c r="D50" s="22"/>
      <c r="E50" s="22"/>
      <c r="F50" s="24"/>
      <c r="G50" s="22"/>
      <c r="H50" s="22"/>
      <c r="I50" s="22"/>
      <c r="J50" s="22"/>
      <c r="K50" s="24"/>
      <c r="L50" s="22"/>
      <c r="M50" s="22"/>
      <c r="N50" s="22"/>
      <c r="O50" s="22"/>
      <c r="P50" s="24"/>
      <c r="Q50" s="22"/>
      <c r="R50" s="22"/>
      <c r="S50" s="22"/>
      <c r="T50" s="22"/>
      <c r="U50" s="24"/>
      <c r="V50" s="22"/>
      <c r="W50" s="22"/>
      <c r="X50" s="22"/>
      <c r="Y50" s="22"/>
      <c r="Z50" s="24"/>
      <c r="AA50" s="22"/>
      <c r="AB50" s="22"/>
      <c r="AC50" s="22"/>
      <c r="AD50" s="22"/>
      <c r="AE50" s="24"/>
      <c r="AF50" s="22"/>
      <c r="AG50" s="22"/>
      <c r="AH50" s="22"/>
      <c r="AI50" s="22"/>
      <c r="AJ50" s="24"/>
      <c r="AK50" s="22"/>
      <c r="AL50" s="22"/>
      <c r="AM50" s="22"/>
      <c r="AN50" s="22"/>
      <c r="AO50" s="24"/>
      <c r="AP50" s="22"/>
      <c r="AQ50" s="22"/>
      <c r="AR50" s="22"/>
      <c r="AS50" s="22"/>
      <c r="AT50" s="24"/>
      <c r="AU50" s="22"/>
      <c r="AV50" s="22"/>
      <c r="AW50" s="22"/>
      <c r="AX50" s="22"/>
      <c r="AY50" s="24"/>
      <c r="AZ50" s="22"/>
      <c r="BA50" s="22"/>
      <c r="BB50" s="22"/>
      <c r="BC50" s="22"/>
      <c r="BD50" s="24"/>
      <c r="BE50" s="22"/>
      <c r="BF50" s="22"/>
      <c r="BG50" s="22"/>
      <c r="BH50" s="22"/>
      <c r="BI50" s="24"/>
      <c r="BJ50" s="22"/>
      <c r="BK50" s="22"/>
      <c r="BL50" s="22"/>
      <c r="BM50" s="22"/>
      <c r="BN50" s="24"/>
      <c r="BO50" s="22"/>
      <c r="BP50" s="22"/>
      <c r="BQ50" s="22"/>
      <c r="BR50" s="22"/>
      <c r="BS50" s="24"/>
      <c r="BT50" s="22"/>
      <c r="BU50" s="22"/>
      <c r="BV50" s="22"/>
      <c r="BW50" s="22"/>
      <c r="BX50" s="24"/>
      <c r="BY50" s="22"/>
      <c r="BZ50" s="22"/>
      <c r="CA50" s="22"/>
      <c r="CB50" s="22"/>
      <c r="CC50" s="24"/>
      <c r="CD50" s="22"/>
      <c r="CE50" s="22"/>
      <c r="CF50" s="22"/>
      <c r="CG50" s="22"/>
      <c r="CH50" s="24"/>
      <c r="CI50" s="22"/>
      <c r="CJ50" s="22"/>
      <c r="CK50" s="22"/>
      <c r="CL50" s="22"/>
      <c r="CM50" s="24"/>
      <c r="CN50" s="22"/>
      <c r="CO50" s="22"/>
      <c r="CP50" s="22"/>
      <c r="CQ50" s="22"/>
      <c r="CR50" s="24"/>
    </row>
    <row r="51" spans="1:96" s="17" customFormat="1" ht="15" x14ac:dyDescent="0.4">
      <c r="A51" s="15" t="s">
        <v>89</v>
      </c>
      <c r="B51" s="16">
        <f>SUM(B52:B53)</f>
        <v>100622.017327935</v>
      </c>
      <c r="C51" s="16">
        <f t="shared" ref="C51:E51" si="120">SUM(C52:C53)</f>
        <v>101825.80576037473</v>
      </c>
      <c r="D51" s="16">
        <f t="shared" si="120"/>
        <v>102770.34388767056</v>
      </c>
      <c r="E51" s="16">
        <f t="shared" si="120"/>
        <v>106529.03675693113</v>
      </c>
      <c r="F51" s="16">
        <f>SUM(B51:E51)</f>
        <v>411747.20373291138</v>
      </c>
      <c r="G51" s="16">
        <f>SUM(G52:G53)</f>
        <v>90353.265848153547</v>
      </c>
      <c r="H51" s="16">
        <f t="shared" ref="H51:J51" si="121">SUM(H52:H53)</f>
        <v>92389.378073830128</v>
      </c>
      <c r="I51" s="16">
        <f t="shared" si="121"/>
        <v>95286.845891472563</v>
      </c>
      <c r="J51" s="16">
        <f t="shared" si="121"/>
        <v>100032.94042027381</v>
      </c>
      <c r="K51" s="16">
        <f>SUM(G51:J51)</f>
        <v>378062.43023373</v>
      </c>
      <c r="L51" s="16">
        <f>SUM(L52:L53)</f>
        <v>92374.352604193104</v>
      </c>
      <c r="M51" s="16">
        <f t="shared" ref="M51:O51" si="122">SUM(M52:M53)</f>
        <v>106421.43400201797</v>
      </c>
      <c r="N51" s="16">
        <f t="shared" si="122"/>
        <v>107820.91394807477</v>
      </c>
      <c r="O51" s="16">
        <f t="shared" si="122"/>
        <v>108757.9345835539</v>
      </c>
      <c r="P51" s="16">
        <f>SUM(L51:O51)</f>
        <v>415374.63513783971</v>
      </c>
      <c r="Q51" s="16">
        <f>SUM(Q52:Q53)</f>
        <v>115928.20178616866</v>
      </c>
      <c r="R51" s="16" t="e">
        <f t="shared" ref="R51:T51" si="123">SUM(R52:R53)</f>
        <v>#DIV/0!</v>
      </c>
      <c r="S51" s="16">
        <f t="shared" si="123"/>
        <v>125982.84220193945</v>
      </c>
      <c r="T51" s="16">
        <f t="shared" si="123"/>
        <v>133170.68915480064</v>
      </c>
      <c r="U51" s="16" t="e">
        <f>SUM(Q51:T51)</f>
        <v>#DIV/0!</v>
      </c>
      <c r="V51" s="16">
        <f>SUM(V52:V53)</f>
        <v>143400.41766026878</v>
      </c>
      <c r="W51" s="16">
        <f t="shared" ref="W51:Y51" si="124">SUM(W52:W53)</f>
        <v>154353.74773371039</v>
      </c>
      <c r="X51" s="16">
        <f t="shared" si="124"/>
        <v>156988.38892361918</v>
      </c>
      <c r="Y51" s="16">
        <f t="shared" si="124"/>
        <v>158163.74676396381</v>
      </c>
      <c r="Z51" s="16">
        <f>SUM(V51:Y51)</f>
        <v>612906.30108156218</v>
      </c>
      <c r="AA51" s="16">
        <f>SUM(AA52:AA53)</f>
        <v>171162.69875115601</v>
      </c>
      <c r="AB51" s="16">
        <f t="shared" ref="AB51:AD51" si="125">SUM(AB52:AB53)</f>
        <v>147453.0163971851</v>
      </c>
      <c r="AC51" s="16">
        <f t="shared" si="125"/>
        <v>159394.91442327597</v>
      </c>
      <c r="AD51" s="16">
        <f t="shared" si="125"/>
        <v>172516.7663084658</v>
      </c>
      <c r="AE51" s="16">
        <f>SUM(AA51:AD51)</f>
        <v>650527.39588008286</v>
      </c>
      <c r="AF51" s="16">
        <f>SUM(AF52:AF53)</f>
        <v>176868.0904219817</v>
      </c>
      <c r="AG51" s="16">
        <f t="shared" ref="AG51:AI51" si="126">SUM(AG52:AG53)</f>
        <v>164094.72154704624</v>
      </c>
      <c r="AH51" s="16">
        <f t="shared" si="126"/>
        <v>171115.89427163338</v>
      </c>
      <c r="AI51" s="16">
        <f t="shared" si="126"/>
        <v>182485.96339089872</v>
      </c>
      <c r="AJ51" s="16">
        <f>SUM(AF51:AI51)</f>
        <v>694564.6696315601</v>
      </c>
      <c r="AK51" s="16">
        <f>SUM(AK52:AK53)</f>
        <v>170876.55758339845</v>
      </c>
      <c r="AL51" s="16">
        <f t="shared" ref="AL51:AN51" si="127">SUM(AL52:AL53)</f>
        <v>181271.06650454662</v>
      </c>
      <c r="AM51" s="16">
        <f t="shared" si="127"/>
        <v>190720.7273563018</v>
      </c>
      <c r="AN51" s="16">
        <f t="shared" si="127"/>
        <v>206359.95155575313</v>
      </c>
      <c r="AO51" s="16">
        <f>SUM(AK51:AN51)</f>
        <v>749228.30300000007</v>
      </c>
      <c r="AP51" s="16">
        <f>SUM(AP52:AP53)</f>
        <v>189052.07367213961</v>
      </c>
      <c r="AQ51" s="16">
        <f t="shared" ref="AQ51:AS51" si="128">SUM(AQ52:AQ53)</f>
        <v>194683.78858739845</v>
      </c>
      <c r="AR51" s="16">
        <f t="shared" si="128"/>
        <v>203721.15950183268</v>
      </c>
      <c r="AS51" s="16">
        <f t="shared" si="128"/>
        <v>217835.01823862927</v>
      </c>
      <c r="AT51" s="16">
        <f>SUM(AP51:AS51)</f>
        <v>805292.04</v>
      </c>
      <c r="AU51" s="16">
        <f>SUM(AU52:AU53)</f>
        <v>202058.28624351369</v>
      </c>
      <c r="AV51" s="16">
        <f t="shared" ref="AV51:AX51" si="129">SUM(AV52:AV53)</f>
        <v>209341.76514380806</v>
      </c>
      <c r="AW51" s="16">
        <f t="shared" si="129"/>
        <v>216944.28668415765</v>
      </c>
      <c r="AX51" s="16">
        <f t="shared" si="129"/>
        <v>229286.50836516067</v>
      </c>
      <c r="AY51" s="16">
        <f>SUM(AU51:AX51)</f>
        <v>857630.84643664013</v>
      </c>
      <c r="AZ51" s="16">
        <f>SUM(AZ52:AZ53)</f>
        <v>218022.84153966547</v>
      </c>
      <c r="BA51" s="16">
        <f t="shared" ref="BA51:BC51" si="130">SUM(BA52:BA53)</f>
        <v>222200.95019578037</v>
      </c>
      <c r="BB51" s="16">
        <f t="shared" si="130"/>
        <v>226969.07261876483</v>
      </c>
      <c r="BC51" s="16">
        <f t="shared" si="130"/>
        <v>232989.35564578936</v>
      </c>
      <c r="BD51" s="16">
        <f>SUM(AZ51:BC51)</f>
        <v>900182.22</v>
      </c>
      <c r="BE51" s="16">
        <f>SUM(BE52:BE53)</f>
        <v>224832.96573052963</v>
      </c>
      <c r="BF51" s="16">
        <f t="shared" ref="BF51:BH51" si="131">SUM(BF52:BF53)</f>
        <v>231647.19381393067</v>
      </c>
      <c r="BG51" s="16">
        <f t="shared" si="131"/>
        <v>243896.44020732652</v>
      </c>
      <c r="BH51" s="16">
        <f t="shared" si="131"/>
        <v>254714.7912482082</v>
      </c>
      <c r="BI51" s="16">
        <f>SUM(BE51:BH51)</f>
        <v>955091.39099999494</v>
      </c>
      <c r="BJ51" s="16">
        <f>SUM(BJ52:BJ53)</f>
        <v>229527.01089510298</v>
      </c>
      <c r="BK51" s="16">
        <f t="shared" ref="BK51:BM51" si="132">SUM(BK52:BK53)</f>
        <v>233942.85520600041</v>
      </c>
      <c r="BL51" s="16">
        <f t="shared" si="132"/>
        <v>246252.06751156069</v>
      </c>
      <c r="BM51" s="16">
        <f t="shared" si="132"/>
        <v>249574.156387336</v>
      </c>
      <c r="BN51" s="16">
        <f>SUM(BJ51:BM51)</f>
        <v>959296.09</v>
      </c>
      <c r="BO51" s="16">
        <f>SUM(BO52:BO53)</f>
        <v>243732.31824793675</v>
      </c>
      <c r="BP51" s="16">
        <f t="shared" ref="BP51:BR51" si="133">SUM(BP52:BP53)</f>
        <v>246473.81205540604</v>
      </c>
      <c r="BQ51" s="16">
        <f t="shared" si="133"/>
        <v>261799.17811090895</v>
      </c>
      <c r="BR51" s="16">
        <f t="shared" si="133"/>
        <v>264915.79158574832</v>
      </c>
      <c r="BS51" s="16">
        <f>SUM(BO51:BR51)</f>
        <v>1016921.1000000001</v>
      </c>
      <c r="BT51" s="16">
        <f>SUM(BT52:BT53)</f>
        <v>238015.1673803622</v>
      </c>
      <c r="BU51" s="16">
        <f t="shared" ref="BU51:BW51" si="134">SUM(BU52:BU53)</f>
        <v>258710.08687337243</v>
      </c>
      <c r="BV51" s="16">
        <f t="shared" si="134"/>
        <v>258599.30159554142</v>
      </c>
      <c r="BW51" s="16">
        <f t="shared" si="134"/>
        <v>277774.83511751995</v>
      </c>
      <c r="BX51" s="16">
        <f>SUM(BT51:BW51)</f>
        <v>1033099.390966796</v>
      </c>
      <c r="BY51" s="16">
        <f>SUM(BY52:BY53)</f>
        <v>247514.7107171907</v>
      </c>
      <c r="BZ51" s="16">
        <f t="shared" ref="BZ51:CB51" si="135">SUM(BZ52:BZ53)</f>
        <v>253462.88459240069</v>
      </c>
      <c r="CA51" s="16">
        <f t="shared" si="135"/>
        <v>269168.14269608597</v>
      </c>
      <c r="CB51" s="16">
        <f t="shared" si="135"/>
        <v>270750.46999999997</v>
      </c>
      <c r="CC51" s="16">
        <f>SUM(BY51:CB51)</f>
        <v>1040896.2080056773</v>
      </c>
      <c r="CD51" s="16">
        <f>SUM(CD52:CD53)</f>
        <v>252824.4050035284</v>
      </c>
      <c r="CE51" s="16">
        <f t="shared" ref="CE51:CG51" si="136">SUM(CE52:CE53)</f>
        <v>260014.27500067253</v>
      </c>
      <c r="CF51" s="16">
        <f t="shared" si="136"/>
        <v>271486.98050886631</v>
      </c>
      <c r="CG51" s="16">
        <f t="shared" si="136"/>
        <v>279425.77893429331</v>
      </c>
      <c r="CH51" s="16">
        <f>SUM(CD51:CG51)</f>
        <v>1063751.4394473606</v>
      </c>
      <c r="CI51" s="16">
        <f>SUM(CI52:CI53)</f>
        <v>257699.07373473205</v>
      </c>
      <c r="CJ51" s="16">
        <f t="shared" ref="CJ51:CL51" si="137">SUM(CJ52:CJ53)</f>
        <v>262476.29524800292</v>
      </c>
      <c r="CK51" s="16">
        <f t="shared" si="137"/>
        <v>273460.95540077373</v>
      </c>
      <c r="CL51" s="16">
        <f t="shared" si="137"/>
        <v>281175.77893429296</v>
      </c>
      <c r="CM51" s="16">
        <f>SUM(CI51:CL51)</f>
        <v>1074812.1033178016</v>
      </c>
      <c r="CN51" s="16">
        <f>SUM(CN52:CN53)</f>
        <v>0</v>
      </c>
      <c r="CO51" s="16">
        <f t="shared" ref="CO51:CQ51" si="138">SUM(CO52:CO53)</f>
        <v>0</v>
      </c>
      <c r="CP51" s="16">
        <f t="shared" si="138"/>
        <v>0</v>
      </c>
      <c r="CQ51" s="16">
        <f t="shared" si="138"/>
        <v>0</v>
      </c>
      <c r="CR51" s="16">
        <f>SUM(CN51:CQ51)</f>
        <v>0</v>
      </c>
    </row>
    <row r="52" spans="1:96" s="9" customFormat="1" ht="15" x14ac:dyDescent="0.4">
      <c r="A52" s="18" t="s">
        <v>90</v>
      </c>
      <c r="B52" s="19">
        <v>50536.910382584378</v>
      </c>
      <c r="C52" s="19">
        <v>51668.557557393629</v>
      </c>
      <c r="D52" s="19">
        <v>53239.281051590893</v>
      </c>
      <c r="E52" s="19">
        <v>55932.819849607062</v>
      </c>
      <c r="F52" s="20">
        <f t="shared" ref="F52:F53" si="139">SUM(B52:E52)</f>
        <v>211377.56884117596</v>
      </c>
      <c r="G52" s="19">
        <v>48624.549822695793</v>
      </c>
      <c r="H52" s="19">
        <v>50053.629127593056</v>
      </c>
      <c r="I52" s="19">
        <v>52964.078852579361</v>
      </c>
      <c r="J52" s="19">
        <v>57548.184593655817</v>
      </c>
      <c r="K52" s="20">
        <f t="shared" ref="K52:K53" si="140">SUM(G52:J52)</f>
        <v>209190.44239652401</v>
      </c>
      <c r="L52" s="19">
        <v>51698.024277555225</v>
      </c>
      <c r="M52" s="19">
        <v>53635.086077317872</v>
      </c>
      <c r="N52" s="19">
        <v>56409.489034195532</v>
      </c>
      <c r="O52" s="19">
        <v>61144.033059150664</v>
      </c>
      <c r="P52" s="20">
        <f t="shared" ref="P52:P53" si="141">SUM(L52:O52)</f>
        <v>222886.63244821929</v>
      </c>
      <c r="Q52" s="19">
        <v>57475.339266832125</v>
      </c>
      <c r="R52" s="19" t="e">
        <v>#DIV/0!</v>
      </c>
      <c r="S52" s="19">
        <v>62029.078441924088</v>
      </c>
      <c r="T52" s="19">
        <v>67635.773590193508</v>
      </c>
      <c r="U52" s="20" t="e">
        <f t="shared" ref="U52:U53" si="142">SUM(Q52:T52)</f>
        <v>#DIV/0!</v>
      </c>
      <c r="V52" s="19">
        <v>71670.833166388431</v>
      </c>
      <c r="W52" s="19">
        <v>76364.639184472995</v>
      </c>
      <c r="X52" s="19">
        <v>77004.96291244957</v>
      </c>
      <c r="Y52" s="19">
        <v>79027.056928823964</v>
      </c>
      <c r="Z52" s="20">
        <f t="shared" ref="Z52:Z53" si="143">SUM(V52:Y52)</f>
        <v>304067.49219213496</v>
      </c>
      <c r="AA52" s="19">
        <v>82674.521334687714</v>
      </c>
      <c r="AB52" s="19">
        <v>79361.836328814607</v>
      </c>
      <c r="AC52" s="19">
        <v>82552.794506579288</v>
      </c>
      <c r="AD52" s="19">
        <v>86631.73959329733</v>
      </c>
      <c r="AE52" s="20">
        <f t="shared" ref="AE52:AE53" si="144">SUM(AA52:AD52)</f>
        <v>331220.89176337898</v>
      </c>
      <c r="AF52" s="19">
        <v>85781.163667786255</v>
      </c>
      <c r="AG52" s="19">
        <v>89589.991579460009</v>
      </c>
      <c r="AH52" s="19">
        <v>91617.597642774504</v>
      </c>
      <c r="AI52" s="19">
        <v>93857.311396464269</v>
      </c>
      <c r="AJ52" s="20">
        <f t="shared" ref="AJ52:AJ53" si="145">SUM(AF52:AI52)</f>
        <v>360846.06428648508</v>
      </c>
      <c r="AK52" s="19">
        <v>88511.617221214867</v>
      </c>
      <c r="AL52" s="19">
        <v>95508.615298860401</v>
      </c>
      <c r="AM52" s="19">
        <v>99793.26555566852</v>
      </c>
      <c r="AN52" s="19">
        <v>106828.86192425617</v>
      </c>
      <c r="AO52" s="20">
        <f t="shared" ref="AO52:AO53" si="146">SUM(AK52:AN52)</f>
        <v>390642.36</v>
      </c>
      <c r="AP52" s="19">
        <v>98175.079306120111</v>
      </c>
      <c r="AQ52" s="19">
        <v>101560.6280714708</v>
      </c>
      <c r="AR52" s="19">
        <v>106408.37086317588</v>
      </c>
      <c r="AS52" s="19">
        <v>112274.22175923325</v>
      </c>
      <c r="AT52" s="20">
        <f t="shared" ref="AT52:AT53" si="147">SUM(AP52:AS52)</f>
        <v>418418.30000000005</v>
      </c>
      <c r="AU52" s="19">
        <v>104898.11289799359</v>
      </c>
      <c r="AV52" s="19">
        <v>108500.20872399982</v>
      </c>
      <c r="AW52" s="19">
        <v>113001.49708181141</v>
      </c>
      <c r="AX52" s="19">
        <v>122920.7044173152</v>
      </c>
      <c r="AY52" s="20">
        <f t="shared" ref="AY52:AY53" si="148">SUM(AU52:AX52)</f>
        <v>449320.52312112</v>
      </c>
      <c r="AZ52" s="19">
        <v>113055.75511405933</v>
      </c>
      <c r="BA52" s="19">
        <v>116394.93902056319</v>
      </c>
      <c r="BB52" s="19">
        <v>119208.54132110969</v>
      </c>
      <c r="BC52" s="19">
        <v>123806.29454426782</v>
      </c>
      <c r="BD52" s="20">
        <f t="shared" ref="BD52:BD53" si="149">SUM(AZ52:BC52)</f>
        <v>472465.53</v>
      </c>
      <c r="BE52" s="19">
        <v>118864.58201995687</v>
      </c>
      <c r="BF52" s="19">
        <v>121953.31318204381</v>
      </c>
      <c r="BG52" s="19">
        <v>127986.04162797878</v>
      </c>
      <c r="BH52" s="19">
        <v>132922.49317001653</v>
      </c>
      <c r="BI52" s="20">
        <f t="shared" ref="BI52:BI53" si="150">SUM(BE52:BH52)</f>
        <v>501726.42999999598</v>
      </c>
      <c r="BJ52" s="19">
        <v>118625.19551954049</v>
      </c>
      <c r="BK52" s="19">
        <v>124596.76971743825</v>
      </c>
      <c r="BL52" s="19">
        <v>130895.42853242991</v>
      </c>
      <c r="BM52" s="19">
        <v>128643.94623059141</v>
      </c>
      <c r="BN52" s="20">
        <f t="shared" ref="BN52:BN53" si="151">SUM(BJ52:BM52)</f>
        <v>502761.34</v>
      </c>
      <c r="BO52" s="19">
        <v>122731.96993723266</v>
      </c>
      <c r="BP52" s="19">
        <v>128263.16684073683</v>
      </c>
      <c r="BQ52" s="19">
        <v>139015.97027507744</v>
      </c>
      <c r="BR52" s="19">
        <v>141909.65294695311</v>
      </c>
      <c r="BS52" s="20">
        <f t="shared" ref="BS52:BS53" si="152">SUM(BO52:BR52)</f>
        <v>531920.76</v>
      </c>
      <c r="BT52" s="19">
        <v>122558.46973921718</v>
      </c>
      <c r="BU52" s="19">
        <v>132963.78601089993</v>
      </c>
      <c r="BV52" s="19">
        <v>132470.22580254922</v>
      </c>
      <c r="BW52" s="19">
        <v>145127.87580286569</v>
      </c>
      <c r="BX52" s="20">
        <f t="shared" ref="BX52:BX53" si="153">SUM(BT52:BW52)</f>
        <v>533120.357355532</v>
      </c>
      <c r="BY52" s="19">
        <v>128233.2403629927</v>
      </c>
      <c r="BZ52" s="19">
        <v>124468.757791047</v>
      </c>
      <c r="CA52" s="19">
        <v>135890.40563083801</v>
      </c>
      <c r="CB52" s="19">
        <v>137025.95000000001</v>
      </c>
      <c r="CC52" s="20">
        <f t="shared" ref="CC52:CC53" si="154">SUM(BY52:CB52)</f>
        <v>525618.35378487781</v>
      </c>
      <c r="CD52" s="19">
        <v>128317.58986554347</v>
      </c>
      <c r="CE52" s="19">
        <v>130751.52266335685</v>
      </c>
      <c r="CF52" s="19">
        <v>135967.44811511037</v>
      </c>
      <c r="CG52" s="19">
        <v>139729.32339709502</v>
      </c>
      <c r="CH52" s="20">
        <f t="shared" ref="CH52:CH53" si="155">SUM(CD52:CG52)</f>
        <v>534765.88404110563</v>
      </c>
      <c r="CI52" s="19">
        <v>129389.280854722</v>
      </c>
      <c r="CJ52" s="19">
        <v>131764.19719329191</v>
      </c>
      <c r="CK52" s="19">
        <v>137761.22759238773</v>
      </c>
      <c r="CL52" s="19">
        <v>141119.323397095</v>
      </c>
      <c r="CM52" s="20">
        <f t="shared" ref="CM52:CM53" si="156">SUM(CI52:CL52)</f>
        <v>540034.02903749666</v>
      </c>
      <c r="CN52" s="19"/>
      <c r="CO52" s="19"/>
      <c r="CP52" s="19"/>
      <c r="CQ52" s="19"/>
      <c r="CR52" s="20">
        <f t="shared" ref="CR52:CR53" si="157">SUM(CN52:CQ52)</f>
        <v>0</v>
      </c>
    </row>
    <row r="53" spans="1:96" s="9" customFormat="1" ht="15" x14ac:dyDescent="0.4">
      <c r="A53" s="18" t="s">
        <v>91</v>
      </c>
      <c r="B53" s="21">
        <v>50085.106945350613</v>
      </c>
      <c r="C53" s="21">
        <v>50157.248202981093</v>
      </c>
      <c r="D53" s="21">
        <v>49531.062836079669</v>
      </c>
      <c r="E53" s="21">
        <v>50596.21690732408</v>
      </c>
      <c r="F53" s="20">
        <f t="shared" si="139"/>
        <v>200369.63489173545</v>
      </c>
      <c r="G53" s="21">
        <v>41728.716025457754</v>
      </c>
      <c r="H53" s="21">
        <v>42335.748946237072</v>
      </c>
      <c r="I53" s="21">
        <v>42322.767038893195</v>
      </c>
      <c r="J53" s="21">
        <v>42484.755826617984</v>
      </c>
      <c r="K53" s="20">
        <f t="shared" si="140"/>
        <v>168871.98783720599</v>
      </c>
      <c r="L53" s="21">
        <v>40676.328326637878</v>
      </c>
      <c r="M53" s="21">
        <v>52786.347924700094</v>
      </c>
      <c r="N53" s="21">
        <v>51411.424913879244</v>
      </c>
      <c r="O53" s="21">
        <v>47613.901524403227</v>
      </c>
      <c r="P53" s="20">
        <f t="shared" si="141"/>
        <v>192488.00268962045</v>
      </c>
      <c r="Q53" s="21">
        <v>58452.862519336537</v>
      </c>
      <c r="R53" s="21" t="e">
        <v>#DIV/0!</v>
      </c>
      <c r="S53" s="21">
        <v>63953.763760015361</v>
      </c>
      <c r="T53" s="21">
        <v>65534.915564607138</v>
      </c>
      <c r="U53" s="20" t="e">
        <f t="shared" si="142"/>
        <v>#DIV/0!</v>
      </c>
      <c r="V53" s="21">
        <v>71729.584493880364</v>
      </c>
      <c r="W53" s="21">
        <v>77989.108549237382</v>
      </c>
      <c r="X53" s="21">
        <v>79983.426011169591</v>
      </c>
      <c r="Y53" s="21">
        <v>79136.689835139841</v>
      </c>
      <c r="Z53" s="20">
        <f t="shared" si="143"/>
        <v>308838.80888942722</v>
      </c>
      <c r="AA53" s="21">
        <v>88488.177416468301</v>
      </c>
      <c r="AB53" s="21">
        <v>68091.180068370493</v>
      </c>
      <c r="AC53" s="21">
        <v>76842.119916696669</v>
      </c>
      <c r="AD53" s="21">
        <v>85885.026715168482</v>
      </c>
      <c r="AE53" s="20">
        <f t="shared" si="144"/>
        <v>319306.50411670399</v>
      </c>
      <c r="AF53" s="21">
        <v>91086.926754195461</v>
      </c>
      <c r="AG53" s="21">
        <v>74504.72996758623</v>
      </c>
      <c r="AH53" s="21">
        <v>79498.29662885888</v>
      </c>
      <c r="AI53" s="21">
        <v>88628.651994434433</v>
      </c>
      <c r="AJ53" s="20">
        <f t="shared" si="145"/>
        <v>333718.60534507502</v>
      </c>
      <c r="AK53" s="21">
        <v>82364.940362183581</v>
      </c>
      <c r="AL53" s="21">
        <v>85762.451205686215</v>
      </c>
      <c r="AM53" s="21">
        <v>90927.461800633289</v>
      </c>
      <c r="AN53" s="21">
        <v>99531.089631496972</v>
      </c>
      <c r="AO53" s="20">
        <f t="shared" si="146"/>
        <v>358585.94300000009</v>
      </c>
      <c r="AP53" s="21">
        <v>90876.994366019499</v>
      </c>
      <c r="AQ53" s="21">
        <v>93123.160515927651</v>
      </c>
      <c r="AR53" s="21">
        <v>97312.788638656813</v>
      </c>
      <c r="AS53" s="21">
        <v>105560.79647939604</v>
      </c>
      <c r="AT53" s="20">
        <f t="shared" si="147"/>
        <v>386873.74</v>
      </c>
      <c r="AU53" s="21">
        <v>97160.173345520088</v>
      </c>
      <c r="AV53" s="21">
        <v>100841.55641980824</v>
      </c>
      <c r="AW53" s="21">
        <v>103942.78960234624</v>
      </c>
      <c r="AX53" s="21">
        <v>106365.80394784546</v>
      </c>
      <c r="AY53" s="20">
        <f t="shared" si="148"/>
        <v>408310.32331552007</v>
      </c>
      <c r="AZ53" s="21">
        <v>104967.08642560616</v>
      </c>
      <c r="BA53" s="21">
        <v>105806.01117521719</v>
      </c>
      <c r="BB53" s="21">
        <v>107760.53129765514</v>
      </c>
      <c r="BC53" s="21">
        <v>109183.06110152155</v>
      </c>
      <c r="BD53" s="20">
        <f t="shared" si="149"/>
        <v>427716.69</v>
      </c>
      <c r="BE53" s="21">
        <v>105968.38371057277</v>
      </c>
      <c r="BF53" s="21">
        <v>109693.88063188687</v>
      </c>
      <c r="BG53" s="21">
        <v>115910.39857934775</v>
      </c>
      <c r="BH53" s="21">
        <v>121792.29807819167</v>
      </c>
      <c r="BI53" s="20">
        <f t="shared" si="150"/>
        <v>453364.96099999908</v>
      </c>
      <c r="BJ53" s="21">
        <v>110901.8153755625</v>
      </c>
      <c r="BK53" s="21">
        <v>109346.08548856217</v>
      </c>
      <c r="BL53" s="21">
        <v>115356.63897913076</v>
      </c>
      <c r="BM53" s="21">
        <v>120930.21015674459</v>
      </c>
      <c r="BN53" s="20">
        <f t="shared" si="151"/>
        <v>456534.75</v>
      </c>
      <c r="BO53" s="21">
        <v>121000.3483107041</v>
      </c>
      <c r="BP53" s="21">
        <v>118210.64521466923</v>
      </c>
      <c r="BQ53" s="21">
        <v>122783.2078358315</v>
      </c>
      <c r="BR53" s="21">
        <v>123006.13863879519</v>
      </c>
      <c r="BS53" s="20">
        <f t="shared" si="152"/>
        <v>485000.34</v>
      </c>
      <c r="BT53" s="21">
        <v>115456.69764114502</v>
      </c>
      <c r="BU53" s="21">
        <v>125746.3008624725</v>
      </c>
      <c r="BV53" s="21">
        <v>126129.0757929922</v>
      </c>
      <c r="BW53" s="21">
        <v>132646.95931465429</v>
      </c>
      <c r="BX53" s="20">
        <f t="shared" si="153"/>
        <v>499979.03361126402</v>
      </c>
      <c r="BY53" s="21">
        <v>119281.47035419798</v>
      </c>
      <c r="BZ53" s="21">
        <v>128994.12680135368</v>
      </c>
      <c r="CA53" s="21">
        <v>133277.73706524799</v>
      </c>
      <c r="CB53" s="21">
        <v>133724.51999999999</v>
      </c>
      <c r="CC53" s="20">
        <f t="shared" si="154"/>
        <v>515277.85422079964</v>
      </c>
      <c r="CD53" s="21">
        <v>124506.81513798493</v>
      </c>
      <c r="CE53" s="21">
        <v>129262.75233731567</v>
      </c>
      <c r="CF53" s="21">
        <v>135519.53239375594</v>
      </c>
      <c r="CG53" s="21">
        <v>139696.45553719826</v>
      </c>
      <c r="CH53" s="20">
        <f t="shared" si="155"/>
        <v>528985.55540625483</v>
      </c>
      <c r="CI53" s="21">
        <v>128309.79288001005</v>
      </c>
      <c r="CJ53" s="21">
        <v>130712.09805471101</v>
      </c>
      <c r="CK53" s="21">
        <v>135699.727808386</v>
      </c>
      <c r="CL53" s="21">
        <v>140056.45553719799</v>
      </c>
      <c r="CM53" s="20">
        <f t="shared" si="156"/>
        <v>534778.07428030507</v>
      </c>
      <c r="CN53" s="21"/>
      <c r="CO53" s="21"/>
      <c r="CP53" s="21"/>
      <c r="CQ53" s="21"/>
      <c r="CR53" s="20">
        <f t="shared" si="157"/>
        <v>0</v>
      </c>
    </row>
    <row r="54" spans="1:96" s="9" customFormat="1" ht="15" x14ac:dyDescent="0.4">
      <c r="A54" s="25"/>
      <c r="B54" s="22"/>
      <c r="C54" s="22"/>
      <c r="D54" s="22"/>
      <c r="E54" s="22"/>
      <c r="F54" s="24"/>
      <c r="G54" s="22"/>
      <c r="H54" s="22"/>
      <c r="I54" s="22"/>
      <c r="J54" s="22"/>
      <c r="K54" s="24"/>
      <c r="L54" s="22"/>
      <c r="M54" s="22"/>
      <c r="N54" s="22"/>
      <c r="O54" s="22"/>
      <c r="P54" s="24"/>
      <c r="Q54" s="22"/>
      <c r="R54" s="22"/>
      <c r="S54" s="22"/>
      <c r="T54" s="22"/>
      <c r="U54" s="24"/>
      <c r="V54" s="22"/>
      <c r="W54" s="22"/>
      <c r="X54" s="22"/>
      <c r="Y54" s="22"/>
      <c r="Z54" s="24"/>
      <c r="AA54" s="22"/>
      <c r="AB54" s="22"/>
      <c r="AC54" s="22"/>
      <c r="AD54" s="22"/>
      <c r="AE54" s="24"/>
      <c r="AF54" s="22"/>
      <c r="AG54" s="22"/>
      <c r="AH54" s="22"/>
      <c r="AI54" s="22"/>
      <c r="AJ54" s="24"/>
      <c r="AK54" s="22"/>
      <c r="AL54" s="22"/>
      <c r="AM54" s="22"/>
      <c r="AN54" s="22"/>
      <c r="AO54" s="24"/>
      <c r="AP54" s="22"/>
      <c r="AQ54" s="22"/>
      <c r="AR54" s="22"/>
      <c r="AS54" s="22"/>
      <c r="AT54" s="24"/>
      <c r="AU54" s="22"/>
      <c r="AV54" s="22"/>
      <c r="AW54" s="22"/>
      <c r="AX54" s="22"/>
      <c r="AY54" s="24"/>
      <c r="AZ54" s="22"/>
      <c r="BA54" s="22"/>
      <c r="BB54" s="22"/>
      <c r="BC54" s="22"/>
      <c r="BD54" s="24"/>
      <c r="BE54" s="22"/>
      <c r="BF54" s="22"/>
      <c r="BG54" s="22"/>
      <c r="BH54" s="22"/>
      <c r="BI54" s="24"/>
      <c r="BJ54" s="22"/>
      <c r="BK54" s="22"/>
      <c r="BL54" s="22"/>
      <c r="BM54" s="22"/>
      <c r="BN54" s="24"/>
      <c r="BO54" s="22"/>
      <c r="BP54" s="22"/>
      <c r="BQ54" s="22"/>
      <c r="BR54" s="22"/>
      <c r="BS54" s="24"/>
      <c r="BT54" s="22"/>
      <c r="BU54" s="22"/>
      <c r="BV54" s="22"/>
      <c r="BW54" s="22"/>
      <c r="BX54" s="24"/>
      <c r="BY54" s="22"/>
      <c r="BZ54" s="22"/>
      <c r="CA54" s="22"/>
      <c r="CB54" s="22"/>
      <c r="CC54" s="24"/>
      <c r="CD54" s="22"/>
      <c r="CE54" s="22"/>
      <c r="CF54" s="22"/>
      <c r="CG54" s="22"/>
      <c r="CH54" s="24"/>
      <c r="CI54" s="22"/>
      <c r="CJ54" s="22"/>
      <c r="CK54" s="22"/>
      <c r="CL54" s="22"/>
      <c r="CM54" s="24"/>
      <c r="CN54" s="22"/>
      <c r="CO54" s="22"/>
      <c r="CP54" s="22"/>
      <c r="CQ54" s="22"/>
      <c r="CR54" s="24"/>
    </row>
    <row r="55" spans="1:96" s="17" customFormat="1" ht="15" x14ac:dyDescent="0.4">
      <c r="A55" s="15" t="s">
        <v>92</v>
      </c>
      <c r="B55" s="16">
        <v>3419.3162193066742</v>
      </c>
      <c r="C55" s="16">
        <v>3268.7688890716508</v>
      </c>
      <c r="D55" s="16">
        <v>7679.5119061826535</v>
      </c>
      <c r="E55" s="16">
        <v>706.94652700252198</v>
      </c>
      <c r="F55" s="16">
        <f>SUM(B55:E55)</f>
        <v>15074.5435415635</v>
      </c>
      <c r="G55" s="16">
        <v>2346.1332594778228</v>
      </c>
      <c r="H55" s="16">
        <v>2412.9269455349377</v>
      </c>
      <c r="I55" s="16">
        <v>2852.2460796959499</v>
      </c>
      <c r="J55" s="16">
        <v>1552.5989186269906</v>
      </c>
      <c r="K55" s="16">
        <f>SUM(G55:J55)</f>
        <v>9163.9052033357002</v>
      </c>
      <c r="L55" s="16">
        <v>2503.7458855105488</v>
      </c>
      <c r="M55" s="16">
        <v>5248.5128680488551</v>
      </c>
      <c r="N55" s="16">
        <v>7173.6737381424336</v>
      </c>
      <c r="O55" s="16">
        <v>1826.2192582201419</v>
      </c>
      <c r="P55" s="16">
        <f>SUM(L55:O55)</f>
        <v>16752.151749921981</v>
      </c>
      <c r="Q55" s="16">
        <v>4858.9151612531532</v>
      </c>
      <c r="R55" s="16" t="e">
        <v>#DIV/0!</v>
      </c>
      <c r="S55" s="16">
        <v>3796.629429045086</v>
      </c>
      <c r="T55" s="16">
        <v>2487.7075627106087</v>
      </c>
      <c r="U55" s="16" t="e">
        <f>SUM(Q55:T55)</f>
        <v>#DIV/0!</v>
      </c>
      <c r="V55" s="16">
        <v>8653.766334488746</v>
      </c>
      <c r="W55" s="16">
        <v>7011.7410986900559</v>
      </c>
      <c r="X55" s="16">
        <v>4483.4702796900683</v>
      </c>
      <c r="Y55" s="16">
        <v>2900.5203805817473</v>
      </c>
      <c r="Z55" s="16">
        <f>SUM(V55:Y55)</f>
        <v>23049.498093450617</v>
      </c>
      <c r="AA55" s="16">
        <v>6561.9955802277818</v>
      </c>
      <c r="AB55" s="16">
        <v>6033.2927726774933</v>
      </c>
      <c r="AC55" s="16">
        <v>2842.4173823277956</v>
      </c>
      <c r="AD55" s="16">
        <v>2408.885523517632</v>
      </c>
      <c r="AE55" s="16">
        <f>SUM(AA55:AD55)</f>
        <v>17846.591258750701</v>
      </c>
      <c r="AF55" s="16">
        <v>5212.7352024504689</v>
      </c>
      <c r="AG55" s="16">
        <v>6310.2474656610702</v>
      </c>
      <c r="AH55" s="16">
        <v>5502.6635888940173</v>
      </c>
      <c r="AI55" s="16">
        <v>1865.5542307188414</v>
      </c>
      <c r="AJ55" s="16">
        <f>SUM(AF55:AI55)</f>
        <v>18891.200487724396</v>
      </c>
      <c r="AK55" s="16">
        <v>3335.4218346526045</v>
      </c>
      <c r="AL55" s="16">
        <v>3733.9024246572294</v>
      </c>
      <c r="AM55" s="16">
        <v>3989.0106596952119</v>
      </c>
      <c r="AN55" s="16">
        <v>4001.8090809949545</v>
      </c>
      <c r="AO55" s="16">
        <f>SUM(AK55:AN55)</f>
        <v>15060.144</v>
      </c>
      <c r="AP55" s="16">
        <v>3995.5935236270507</v>
      </c>
      <c r="AQ55" s="16">
        <v>3978.2673407299094</v>
      </c>
      <c r="AR55" s="16">
        <v>3918.9316201700935</v>
      </c>
      <c r="AS55" s="16">
        <v>3951.7355154729426</v>
      </c>
      <c r="AT55" s="16">
        <f>SUM(AP55:AS55)</f>
        <v>15844.527999999997</v>
      </c>
      <c r="AU55" s="16">
        <v>4027.0435886412411</v>
      </c>
      <c r="AV55" s="16">
        <v>4066.0698716890952</v>
      </c>
      <c r="AW55" s="16">
        <v>4142.929993579166</v>
      </c>
      <c r="AX55" s="16">
        <v>4183.4998695046543</v>
      </c>
      <c r="AY55" s="16">
        <f>SUM(AU55:AX55)</f>
        <v>16419.543323414156</v>
      </c>
      <c r="AZ55" s="16">
        <v>4196.3902524637715</v>
      </c>
      <c r="BA55" s="16">
        <v>4298.4416082069611</v>
      </c>
      <c r="BB55" s="16">
        <v>4362.9570840954157</v>
      </c>
      <c r="BC55" s="16">
        <v>4330.0701552338523</v>
      </c>
      <c r="BD55" s="16">
        <f>SUM(AZ55:BC55)</f>
        <v>17187.859100000001</v>
      </c>
      <c r="BE55" s="16">
        <v>4217.410302359036</v>
      </c>
      <c r="BF55" s="16">
        <v>4291.7199450966682</v>
      </c>
      <c r="BG55" s="16">
        <v>4324.6818052012786</v>
      </c>
      <c r="BH55" s="16">
        <v>4379.5815473431021</v>
      </c>
      <c r="BI55" s="16">
        <f>SUM(BE55:BH55)</f>
        <v>17213.393600000087</v>
      </c>
      <c r="BJ55" s="16">
        <v>4420.0739222078564</v>
      </c>
      <c r="BK55" s="16">
        <v>4377.356562159559</v>
      </c>
      <c r="BL55" s="16">
        <v>4426.4309569386105</v>
      </c>
      <c r="BM55" s="16">
        <v>4385.3055586940727</v>
      </c>
      <c r="BN55" s="16">
        <f>SUM(BJ55:BM55)</f>
        <v>17609.167000000096</v>
      </c>
      <c r="BO55" s="16">
        <v>4379.4724552869347</v>
      </c>
      <c r="BP55" s="16">
        <v>4179.5320176914129</v>
      </c>
      <c r="BQ55" s="16">
        <v>4067.5863377793817</v>
      </c>
      <c r="BR55" s="16">
        <v>4123.8591892422719</v>
      </c>
      <c r="BS55" s="16">
        <f>SUM(BO55:BR55)</f>
        <v>16750.45</v>
      </c>
      <c r="BT55" s="16">
        <v>4178.6270686183416</v>
      </c>
      <c r="BU55" s="16">
        <v>4189.1407783813856</v>
      </c>
      <c r="BV55" s="16">
        <v>4195.715821336451</v>
      </c>
      <c r="BW55" s="16">
        <v>4196.9224379655207</v>
      </c>
      <c r="BX55" s="16">
        <f>SUM(BT55:BW55)</f>
        <v>16760.4061063017</v>
      </c>
      <c r="BY55" s="16">
        <v>4289.2477919057865</v>
      </c>
      <c r="BZ55" s="16">
        <v>4247.492061379985</v>
      </c>
      <c r="CA55" s="16">
        <v>4171.0682218120401</v>
      </c>
      <c r="CB55" s="16">
        <v>4101.32</v>
      </c>
      <c r="CC55" s="16">
        <f>SUM(BY55:CB55)</f>
        <v>16809.128075097811</v>
      </c>
      <c r="CD55" s="16">
        <v>4295.1371723273296</v>
      </c>
      <c r="CE55" s="16">
        <v>4278.5091730676304</v>
      </c>
      <c r="CF55" s="16">
        <v>4280.1255764646412</v>
      </c>
      <c r="CG55" s="16">
        <v>4138.7159669842313</v>
      </c>
      <c r="CH55" s="16">
        <f>SUM(CD55:CG55)</f>
        <v>16992.487888843832</v>
      </c>
      <c r="CI55" s="16">
        <v>4310.9299242035504</v>
      </c>
      <c r="CJ55" s="16">
        <v>4112.0678508786305</v>
      </c>
      <c r="CK55" s="16">
        <v>4313.5082375196298</v>
      </c>
      <c r="CL55" s="16">
        <v>4273.7159669842304</v>
      </c>
      <c r="CM55" s="16">
        <f>SUM(CI55:CL55)</f>
        <v>17010.22197958604</v>
      </c>
      <c r="CN55" s="16"/>
      <c r="CO55" s="16"/>
      <c r="CP55" s="16"/>
      <c r="CQ55" s="16"/>
      <c r="CR55" s="16">
        <f>SUM(CN55:CQ55)</f>
        <v>0</v>
      </c>
    </row>
    <row r="56" spans="1:96" s="9" customFormat="1" ht="15" x14ac:dyDescent="0.4">
      <c r="A56" s="25"/>
      <c r="B56" s="22"/>
      <c r="C56" s="22"/>
      <c r="D56" s="22"/>
      <c r="E56" s="22"/>
      <c r="F56" s="24"/>
      <c r="G56" s="22"/>
      <c r="H56" s="22"/>
      <c r="I56" s="22"/>
      <c r="J56" s="22"/>
      <c r="K56" s="24"/>
      <c r="L56" s="22"/>
      <c r="M56" s="22"/>
      <c r="N56" s="22"/>
      <c r="O56" s="22"/>
      <c r="P56" s="24"/>
      <c r="Q56" s="22"/>
      <c r="R56" s="22"/>
      <c r="S56" s="22"/>
      <c r="T56" s="22"/>
      <c r="U56" s="24"/>
      <c r="V56" s="22"/>
      <c r="W56" s="22"/>
      <c r="X56" s="22"/>
      <c r="Y56" s="22"/>
      <c r="Z56" s="24"/>
      <c r="AA56" s="22"/>
      <c r="AB56" s="22"/>
      <c r="AC56" s="22"/>
      <c r="AD56" s="22"/>
      <c r="AE56" s="24"/>
      <c r="AF56" s="22"/>
      <c r="AG56" s="22"/>
      <c r="AH56" s="22"/>
      <c r="AI56" s="22"/>
      <c r="AJ56" s="24"/>
      <c r="AK56" s="22"/>
      <c r="AL56" s="22"/>
      <c r="AM56" s="22"/>
      <c r="AN56" s="22"/>
      <c r="AO56" s="24"/>
      <c r="AP56" s="22"/>
      <c r="AQ56" s="22"/>
      <c r="AR56" s="22"/>
      <c r="AS56" s="22"/>
      <c r="AT56" s="24"/>
      <c r="AU56" s="22"/>
      <c r="AV56" s="22"/>
      <c r="AW56" s="22"/>
      <c r="AX56" s="22"/>
      <c r="AY56" s="24"/>
      <c r="AZ56" s="22"/>
      <c r="BA56" s="22"/>
      <c r="BB56" s="22"/>
      <c r="BC56" s="22"/>
      <c r="BD56" s="24"/>
      <c r="BE56" s="22"/>
      <c r="BF56" s="22"/>
      <c r="BG56" s="22"/>
      <c r="BH56" s="22"/>
      <c r="BI56" s="24"/>
      <c r="BJ56" s="22"/>
      <c r="BK56" s="22"/>
      <c r="BL56" s="22"/>
      <c r="BM56" s="22"/>
      <c r="BN56" s="24"/>
      <c r="BO56" s="22"/>
      <c r="BP56" s="22"/>
      <c r="BQ56" s="22"/>
      <c r="BR56" s="22"/>
      <c r="BS56" s="24"/>
      <c r="BT56" s="22"/>
      <c r="BU56" s="22"/>
      <c r="BV56" s="22"/>
      <c r="BW56" s="22"/>
      <c r="BX56" s="24"/>
      <c r="BY56" s="22"/>
      <c r="BZ56" s="22"/>
      <c r="CA56" s="22"/>
      <c r="CB56" s="22"/>
      <c r="CC56" s="24"/>
      <c r="CD56" s="22"/>
      <c r="CE56" s="22"/>
      <c r="CF56" s="22"/>
      <c r="CG56" s="22"/>
      <c r="CH56" s="24"/>
      <c r="CI56" s="22"/>
      <c r="CJ56" s="22"/>
      <c r="CK56" s="22"/>
      <c r="CL56" s="22"/>
      <c r="CM56" s="24"/>
      <c r="CN56" s="22"/>
      <c r="CO56" s="22"/>
      <c r="CP56" s="22"/>
      <c r="CQ56" s="22"/>
      <c r="CR56" s="24"/>
    </row>
    <row r="57" spans="1:96" s="17" customFormat="1" ht="15" x14ac:dyDescent="0.4">
      <c r="A57" s="15" t="s">
        <v>93</v>
      </c>
      <c r="B57" s="16">
        <v>15559.968878841941</v>
      </c>
      <c r="C57" s="16">
        <v>18469.143300917407</v>
      </c>
      <c r="D57" s="16">
        <v>2998.2172723981494</v>
      </c>
      <c r="E57" s="16">
        <v>50030.885558806796</v>
      </c>
      <c r="F57" s="16">
        <f>SUM(B57:E57)</f>
        <v>87058.215010964297</v>
      </c>
      <c r="G57" s="16">
        <v>20286.360785436063</v>
      </c>
      <c r="H57" s="16">
        <v>18061.230974816048</v>
      </c>
      <c r="I57" s="16">
        <v>21841.042222203883</v>
      </c>
      <c r="J57" s="16">
        <v>53502.729952131944</v>
      </c>
      <c r="K57" s="16">
        <f>SUM(G57:J57)</f>
        <v>113691.36393458793</v>
      </c>
      <c r="L57" s="16">
        <v>8601.3790877852407</v>
      </c>
      <c r="M57" s="16">
        <v>12063.409754320724</v>
      </c>
      <c r="N57" s="16">
        <v>1910.629324362355</v>
      </c>
      <c r="O57" s="16">
        <v>107226.50016968531</v>
      </c>
      <c r="P57" s="16">
        <f>SUM(L57:O57)</f>
        <v>129801.91833615364</v>
      </c>
      <c r="Q57" s="16">
        <v>17644.372179350015</v>
      </c>
      <c r="R57" s="16" t="e">
        <v>#DIV/0!</v>
      </c>
      <c r="S57" s="16">
        <v>14147.632306580905</v>
      </c>
      <c r="T57" s="16">
        <v>68331.567618137022</v>
      </c>
      <c r="U57" s="16" t="e">
        <f>SUM(Q57:T57)</f>
        <v>#DIV/0!</v>
      </c>
      <c r="V57" s="16">
        <v>26807.48371904275</v>
      </c>
      <c r="W57" s="16">
        <v>59335.240215090933</v>
      </c>
      <c r="X57" s="16">
        <v>37616.943390686814</v>
      </c>
      <c r="Y57" s="16">
        <v>41020.273507746919</v>
      </c>
      <c r="Z57" s="16">
        <f>SUM(V57:Y57)</f>
        <v>164779.94083256743</v>
      </c>
      <c r="AA57" s="16">
        <v>23530.118425399502</v>
      </c>
      <c r="AB57" s="16">
        <v>62699.177007616003</v>
      </c>
      <c r="AC57" s="16">
        <v>44093.130779079002</v>
      </c>
      <c r="AD57" s="16">
        <v>50157.470915482598</v>
      </c>
      <c r="AE57" s="16">
        <f>SUM(AA57:AD57)</f>
        <v>180479.8971275771</v>
      </c>
      <c r="AF57" s="16">
        <v>20746.986023240101</v>
      </c>
      <c r="AG57" s="16">
        <v>48617.623632754949</v>
      </c>
      <c r="AH57" s="16">
        <v>50227.856759004717</v>
      </c>
      <c r="AI57" s="16">
        <v>54916.121745837139</v>
      </c>
      <c r="AJ57" s="16">
        <f>SUM(AF57:AI57)</f>
        <v>174508.58816083689</v>
      </c>
      <c r="AK57" s="16">
        <v>35269.865966570214</v>
      </c>
      <c r="AL57" s="16">
        <v>42561.999151060983</v>
      </c>
      <c r="AM57" s="16">
        <v>43345.278471745805</v>
      </c>
      <c r="AN57" s="16">
        <v>56628.09732004322</v>
      </c>
      <c r="AO57" s="16">
        <f>SUM(AK57:AN57)</f>
        <v>177805.24090942022</v>
      </c>
      <c r="AP57" s="16">
        <v>37125.329213977202</v>
      </c>
      <c r="AQ57" s="16">
        <v>41692.454602740538</v>
      </c>
      <c r="AR57" s="16">
        <v>49282.849658300918</v>
      </c>
      <c r="AS57" s="16">
        <v>57602.435357976334</v>
      </c>
      <c r="AT57" s="16">
        <f>SUM(AP57:AS57)</f>
        <v>185703.06883299499</v>
      </c>
      <c r="AU57" s="16">
        <v>33014.717962741524</v>
      </c>
      <c r="AV57" s="16">
        <v>40781.607860692871</v>
      </c>
      <c r="AW57" s="16">
        <v>53631.704222495908</v>
      </c>
      <c r="AX57" s="16">
        <v>63192.404209593653</v>
      </c>
      <c r="AY57" s="16">
        <f>SUM(AU57:AX57)</f>
        <v>190620.43425552396</v>
      </c>
      <c r="AZ57" s="16">
        <v>30956.391480180042</v>
      </c>
      <c r="BA57" s="16">
        <v>45765.068609352435</v>
      </c>
      <c r="BB57" s="16">
        <v>51834.310829519411</v>
      </c>
      <c r="BC57" s="16">
        <v>64984.779080948065</v>
      </c>
      <c r="BD57" s="16">
        <f>SUM(AZ57:BC57)</f>
        <v>193540.54999999996</v>
      </c>
      <c r="BE57" s="16">
        <v>6544.4517007455297</v>
      </c>
      <c r="BF57" s="16">
        <v>28530.839702715792</v>
      </c>
      <c r="BG57" s="16">
        <v>45057.786556739957</v>
      </c>
      <c r="BH57" s="16">
        <v>113536.88903979855</v>
      </c>
      <c r="BI57" s="16">
        <f>SUM(BE57:BH57)</f>
        <v>193669.96699999983</v>
      </c>
      <c r="BJ57" s="16">
        <v>31677.578185879898</v>
      </c>
      <c r="BK57" s="16">
        <v>8384.5548507293497</v>
      </c>
      <c r="BL57" s="16">
        <v>56040.412542028382</v>
      </c>
      <c r="BM57" s="16">
        <v>22656.774421361333</v>
      </c>
      <c r="BN57" s="16">
        <f>SUM(BJ57:BM57)</f>
        <v>118759.31999999896</v>
      </c>
      <c r="BO57" s="16">
        <v>18775.68716865663</v>
      </c>
      <c r="BP57" s="16">
        <v>25108.656449447593</v>
      </c>
      <c r="BQ57" s="16">
        <v>33266.080431999624</v>
      </c>
      <c r="BR57" s="16">
        <v>31714.385949896154</v>
      </c>
      <c r="BS57" s="16">
        <f>SUM(BO57:BR57)</f>
        <v>108864.81</v>
      </c>
      <c r="BT57" s="16">
        <v>26528.80892136454</v>
      </c>
      <c r="BU57" s="16">
        <v>29449.722518639661</v>
      </c>
      <c r="BV57" s="16">
        <v>22686.638443748026</v>
      </c>
      <c r="BW57" s="16">
        <v>32293.050360379726</v>
      </c>
      <c r="BX57" s="16">
        <f>SUM(BT57:BW57)</f>
        <v>110958.22024413195</v>
      </c>
      <c r="BY57" s="16">
        <v>24593.398257532714</v>
      </c>
      <c r="BZ57" s="16">
        <v>28459.844194858539</v>
      </c>
      <c r="CA57" s="16">
        <v>20008.814063934784</v>
      </c>
      <c r="CB57" s="16">
        <v>20835.949999999997</v>
      </c>
      <c r="CC57" s="16">
        <f>SUM(BY57:CB57)</f>
        <v>93898.00651632603</v>
      </c>
      <c r="CD57" s="16">
        <v>28405.024114252024</v>
      </c>
      <c r="CE57" s="16">
        <v>23543.283005944795</v>
      </c>
      <c r="CF57" s="16">
        <v>27988.569948798369</v>
      </c>
      <c r="CG57" s="16">
        <v>20877.29087513117</v>
      </c>
      <c r="CH57" s="16">
        <f>SUM(CD57:CG57)</f>
        <v>100814.16794412635</v>
      </c>
      <c r="CI57" s="16">
        <v>20198.6409235262</v>
      </c>
      <c r="CJ57" s="16">
        <v>18730.574525371499</v>
      </c>
      <c r="CK57" s="16">
        <v>21917.839487089448</v>
      </c>
      <c r="CL57" s="16">
        <v>23877.290875131199</v>
      </c>
      <c r="CM57" s="16">
        <f>SUM(CI57:CL57)</f>
        <v>84724.345811118343</v>
      </c>
      <c r="CN57" s="16"/>
      <c r="CO57" s="16"/>
      <c r="CP57" s="16"/>
      <c r="CQ57" s="16"/>
      <c r="CR57" s="16">
        <f>SUM(CN57:CQ57)</f>
        <v>0</v>
      </c>
    </row>
    <row r="58" spans="1:96" s="9" customFormat="1" ht="15" x14ac:dyDescent="0.4">
      <c r="A58" s="25"/>
      <c r="B58" s="22"/>
      <c r="C58" s="22"/>
      <c r="D58" s="22"/>
      <c r="E58" s="22"/>
      <c r="F58" s="24"/>
      <c r="G58" s="22"/>
      <c r="H58" s="22"/>
      <c r="I58" s="22"/>
      <c r="J58" s="22"/>
      <c r="K58" s="24"/>
      <c r="L58" s="22"/>
      <c r="M58" s="22"/>
      <c r="N58" s="22"/>
      <c r="O58" s="22"/>
      <c r="P58" s="24"/>
      <c r="Q58" s="22"/>
      <c r="R58" s="22"/>
      <c r="S58" s="22"/>
      <c r="T58" s="22"/>
      <c r="U58" s="24"/>
      <c r="V58" s="22"/>
      <c r="W58" s="22"/>
      <c r="X58" s="22"/>
      <c r="Y58" s="22"/>
      <c r="Z58" s="24"/>
      <c r="AA58" s="22"/>
      <c r="AB58" s="22"/>
      <c r="AC58" s="22"/>
      <c r="AD58" s="22"/>
      <c r="AE58" s="24"/>
      <c r="AF58" s="22"/>
      <c r="AG58" s="22"/>
      <c r="AH58" s="22"/>
      <c r="AI58" s="22"/>
      <c r="AJ58" s="24"/>
      <c r="AK58" s="22"/>
      <c r="AL58" s="22"/>
      <c r="AM58" s="22"/>
      <c r="AN58" s="22"/>
      <c r="AO58" s="24"/>
      <c r="AP58" s="22"/>
      <c r="AQ58" s="22"/>
      <c r="AR58" s="22"/>
      <c r="AS58" s="22"/>
      <c r="AT58" s="24"/>
      <c r="AU58" s="22"/>
      <c r="AV58" s="22"/>
      <c r="AW58" s="22"/>
      <c r="AX58" s="22"/>
      <c r="AY58" s="24"/>
      <c r="AZ58" s="22"/>
      <c r="BA58" s="22"/>
      <c r="BB58" s="22"/>
      <c r="BC58" s="22"/>
      <c r="BD58" s="24"/>
      <c r="BE58" s="22"/>
      <c r="BF58" s="22"/>
      <c r="BG58" s="22"/>
      <c r="BH58" s="22"/>
      <c r="BI58" s="24"/>
      <c r="BJ58" s="22"/>
      <c r="BK58" s="22"/>
      <c r="BL58" s="22"/>
      <c r="BM58" s="22"/>
      <c r="BN58" s="24"/>
      <c r="BO58" s="22"/>
      <c r="BP58" s="22"/>
      <c r="BQ58" s="22"/>
      <c r="BR58" s="22"/>
      <c r="BS58" s="24"/>
      <c r="BT58" s="22"/>
      <c r="BU58" s="22"/>
      <c r="BV58" s="22"/>
      <c r="BW58" s="22"/>
      <c r="BX58" s="24"/>
      <c r="BY58" s="22"/>
      <c r="BZ58" s="22"/>
      <c r="CA58" s="22"/>
      <c r="CB58" s="22"/>
      <c r="CC58" s="24"/>
      <c r="CD58" s="22"/>
      <c r="CE58" s="22"/>
      <c r="CF58" s="22"/>
      <c r="CG58" s="22"/>
      <c r="CH58" s="24"/>
      <c r="CI58" s="22"/>
      <c r="CJ58" s="22"/>
      <c r="CK58" s="22"/>
      <c r="CL58" s="22"/>
      <c r="CM58" s="24"/>
      <c r="CN58" s="22"/>
      <c r="CO58" s="22"/>
      <c r="CP58" s="22"/>
      <c r="CQ58" s="22"/>
      <c r="CR58" s="24"/>
    </row>
    <row r="59" spans="1:96" s="17" customFormat="1" ht="15" x14ac:dyDescent="0.4">
      <c r="A59" s="15" t="s">
        <v>94</v>
      </c>
      <c r="B59" s="16">
        <v>187143.19682251802</v>
      </c>
      <c r="C59" s="16">
        <v>209091.97713267896</v>
      </c>
      <c r="D59" s="16">
        <v>213705.38810977316</v>
      </c>
      <c r="E59" s="16">
        <v>259982.54884989175</v>
      </c>
      <c r="F59" s="16">
        <f>SUM(B59:E59)</f>
        <v>869923.1109148619</v>
      </c>
      <c r="G59" s="16">
        <v>193102.27133883865</v>
      </c>
      <c r="H59" s="16">
        <v>209716.93337298324</v>
      </c>
      <c r="I59" s="16">
        <v>223901.1487285801</v>
      </c>
      <c r="J59" s="16">
        <v>277436.29546496255</v>
      </c>
      <c r="K59" s="16">
        <f>SUM(G59:J59)</f>
        <v>904156.64890536456</v>
      </c>
      <c r="L59" s="16">
        <v>184791.83278659172</v>
      </c>
      <c r="M59" s="16">
        <v>213415.57773712368</v>
      </c>
      <c r="N59" s="16">
        <v>217508.91821205022</v>
      </c>
      <c r="O59" s="16">
        <v>349261.077874852</v>
      </c>
      <c r="P59" s="16">
        <f>SUM(L59:O59)</f>
        <v>964977.40661061765</v>
      </c>
      <c r="Q59" s="16">
        <v>215426.24411533962</v>
      </c>
      <c r="R59" s="16" t="e">
        <v>#DIV/0!</v>
      </c>
      <c r="S59" s="16">
        <v>262859.16757653671</v>
      </c>
      <c r="T59" s="16">
        <v>328489.99023212207</v>
      </c>
      <c r="U59" s="16" t="e">
        <f>SUM(Q59:T59)</f>
        <v>#DIV/0!</v>
      </c>
      <c r="V59" s="16">
        <v>251002.59696378745</v>
      </c>
      <c r="W59" s="16">
        <v>328881.34033576871</v>
      </c>
      <c r="X59" s="16">
        <v>325843.31030006183</v>
      </c>
      <c r="Y59" s="16">
        <v>342499.58637644321</v>
      </c>
      <c r="Z59" s="16">
        <f>SUM(V59:Y59)</f>
        <v>1248226.8339760611</v>
      </c>
      <c r="AA59" s="16">
        <v>296096.41558225866</v>
      </c>
      <c r="AB59" s="16">
        <v>340306.01456332277</v>
      </c>
      <c r="AC59" s="16">
        <v>343605.65517430869</v>
      </c>
      <c r="AD59" s="16">
        <v>370934.21263741003</v>
      </c>
      <c r="AE59" s="16">
        <f>SUM(AA59:AD59)</f>
        <v>1350942.2979573002</v>
      </c>
      <c r="AF59" s="16">
        <v>299971.63261471526</v>
      </c>
      <c r="AG59" s="16">
        <v>340105.84869209229</v>
      </c>
      <c r="AH59" s="16">
        <v>368300.00239457632</v>
      </c>
      <c r="AI59" s="16">
        <v>409622.33984957106</v>
      </c>
      <c r="AJ59" s="16">
        <f>SUM(AF59:AI59)</f>
        <v>1417999.8235509549</v>
      </c>
      <c r="AK59" s="16">
        <v>328275.13143725396</v>
      </c>
      <c r="AL59" s="16">
        <v>364981.02717776567</v>
      </c>
      <c r="AM59" s="16">
        <v>393572.82395581744</v>
      </c>
      <c r="AN59" s="16">
        <v>450999.06233858311</v>
      </c>
      <c r="AO59" s="16">
        <f>SUM(AK59:AN59)</f>
        <v>1537828.0449094202</v>
      </c>
      <c r="AP59" s="16">
        <v>363882.46996239375</v>
      </c>
      <c r="AQ59" s="16">
        <v>381409.0544405696</v>
      </c>
      <c r="AR59" s="16">
        <v>409311.9123415869</v>
      </c>
      <c r="AS59" s="16">
        <v>454301.33648844401</v>
      </c>
      <c r="AT59" s="16">
        <f>SUM(AP59:AS59)</f>
        <v>1608904.7732329941</v>
      </c>
      <c r="AU59" s="16">
        <v>366795.20989037224</v>
      </c>
      <c r="AV59" s="16">
        <v>393349.67484872858</v>
      </c>
      <c r="AW59" s="16">
        <v>435118.83208826836</v>
      </c>
      <c r="AX59" s="16">
        <v>476896.23841586336</v>
      </c>
      <c r="AY59" s="16">
        <f>SUM(AU59:AX59)</f>
        <v>1672159.9552432327</v>
      </c>
      <c r="AZ59" s="16">
        <v>374780.96284796065</v>
      </c>
      <c r="BA59" s="16">
        <v>406771.03798645741</v>
      </c>
      <c r="BB59" s="16">
        <v>434362.49292357609</v>
      </c>
      <c r="BC59" s="16">
        <v>480362.87281139207</v>
      </c>
      <c r="BD59" s="16">
        <f>SUM(AZ59:BC59)</f>
        <v>1696277.3665693863</v>
      </c>
      <c r="BE59" s="16">
        <v>356164.13138123299</v>
      </c>
      <c r="BF59" s="16">
        <v>398309.18804965058</v>
      </c>
      <c r="BG59" s="16">
        <v>450935.55831419362</v>
      </c>
      <c r="BH59" s="16">
        <v>535036.17696734343</v>
      </c>
      <c r="BI59" s="16">
        <f>SUM(BE59:BH59)</f>
        <v>1740445.0547124203</v>
      </c>
      <c r="BJ59" s="16">
        <v>319635.61328151828</v>
      </c>
      <c r="BK59" s="16">
        <v>327052.19244941708</v>
      </c>
      <c r="BL59" s="16">
        <v>394988.91659063357</v>
      </c>
      <c r="BM59" s="16">
        <v>411315.58176608779</v>
      </c>
      <c r="BN59" s="16">
        <f>SUM(BJ59:BM59)</f>
        <v>1452992.3040876568</v>
      </c>
      <c r="BO59" s="16">
        <v>285525.05979844322</v>
      </c>
      <c r="BP59" s="16">
        <v>367477.25448884966</v>
      </c>
      <c r="BQ59" s="16">
        <v>356142.78106317698</v>
      </c>
      <c r="BR59" s="16">
        <v>456018.82779328368</v>
      </c>
      <c r="BS59" s="16">
        <f>SUM(BO59:BR59)</f>
        <v>1465163.9231437535</v>
      </c>
      <c r="BT59" s="16">
        <v>287753.39563745627</v>
      </c>
      <c r="BU59" s="16">
        <v>330848.39807161549</v>
      </c>
      <c r="BV59" s="16">
        <v>355125.19932778645</v>
      </c>
      <c r="BW59" s="16">
        <v>446532.68167523987</v>
      </c>
      <c r="BX59" s="16">
        <f>SUM(BT59:BW59)</f>
        <v>1420259.6747120982</v>
      </c>
      <c r="BY59" s="16">
        <v>284316.79249471403</v>
      </c>
      <c r="BZ59" s="16">
        <v>337686.21105668502</v>
      </c>
      <c r="CA59" s="16">
        <v>337536.09203019302</v>
      </c>
      <c r="CB59" s="16">
        <v>412519.25922882598</v>
      </c>
      <c r="CC59" s="16">
        <f>SUM(BY59:CB59)</f>
        <v>1372058.3548104181</v>
      </c>
      <c r="CD59" s="16">
        <v>298032.12713878794</v>
      </c>
      <c r="CE59" s="16">
        <v>338894.39396663901</v>
      </c>
      <c r="CF59" s="16">
        <v>338212.55935841199</v>
      </c>
      <c r="CG59" s="16">
        <v>418110.41953027499</v>
      </c>
      <c r="CH59" s="16">
        <f>SUM(CD59:CG59)</f>
        <v>1393249.499994114</v>
      </c>
      <c r="CI59" s="16">
        <v>295669.931188168</v>
      </c>
      <c r="CJ59" s="16">
        <f>315328.512922712-4000</f>
        <v>311328.51292271202</v>
      </c>
      <c r="CK59" s="16">
        <f>322214.649784561-4205.35201992409</f>
        <v>318009.29776463693</v>
      </c>
      <c r="CL59" s="16">
        <f>361779.457641307-100</f>
        <v>361679.45764130697</v>
      </c>
      <c r="CM59" s="16">
        <f>SUM(CI59:CL59)</f>
        <v>1286687.199516824</v>
      </c>
      <c r="CN59" s="16"/>
      <c r="CO59" s="16"/>
      <c r="CP59" s="16"/>
      <c r="CQ59" s="16"/>
      <c r="CR59" s="16">
        <f>SUM(CN59:CQ59)</f>
        <v>0</v>
      </c>
    </row>
    <row r="60" spans="1:96" s="9" customFormat="1" ht="15" x14ac:dyDescent="0.4">
      <c r="A60" s="25"/>
      <c r="B60" s="22"/>
      <c r="C60" s="22"/>
      <c r="D60" s="22"/>
      <c r="E60" s="22"/>
      <c r="F60" s="24"/>
      <c r="G60" s="22"/>
      <c r="H60" s="22"/>
      <c r="I60" s="22"/>
      <c r="J60" s="22"/>
      <c r="K60" s="24"/>
      <c r="L60" s="22"/>
      <c r="M60" s="22"/>
      <c r="N60" s="22"/>
      <c r="O60" s="22"/>
      <c r="P60" s="24"/>
      <c r="Q60" s="22"/>
      <c r="R60" s="22"/>
      <c r="S60" s="22"/>
      <c r="T60" s="22"/>
      <c r="U60" s="24"/>
      <c r="V60" s="22"/>
      <c r="W60" s="22"/>
      <c r="X60" s="22"/>
      <c r="Y60" s="22"/>
      <c r="Z60" s="24"/>
      <c r="AA60" s="22"/>
      <c r="AB60" s="22"/>
      <c r="AC60" s="22"/>
      <c r="AD60" s="22"/>
      <c r="AE60" s="24"/>
      <c r="AF60" s="22"/>
      <c r="AG60" s="22"/>
      <c r="AH60" s="22"/>
      <c r="AI60" s="22"/>
      <c r="AJ60" s="24"/>
      <c r="AK60" s="22"/>
      <c r="AL60" s="22"/>
      <c r="AM60" s="22"/>
      <c r="AN60" s="22"/>
      <c r="AO60" s="24"/>
      <c r="AP60" s="22"/>
      <c r="AQ60" s="22"/>
      <c r="AR60" s="22"/>
      <c r="AS60" s="22"/>
      <c r="AT60" s="24"/>
      <c r="AU60" s="22"/>
      <c r="AV60" s="22"/>
      <c r="AW60" s="22"/>
      <c r="AX60" s="22"/>
      <c r="AY60" s="24"/>
      <c r="AZ60" s="22"/>
      <c r="BA60" s="22"/>
      <c r="BB60" s="22"/>
      <c r="BC60" s="22"/>
      <c r="BD60" s="24"/>
      <c r="BE60" s="22"/>
      <c r="BF60" s="22"/>
      <c r="BG60" s="22"/>
      <c r="BH60" s="22"/>
      <c r="BI60" s="24"/>
      <c r="BJ60" s="22"/>
      <c r="BK60" s="22"/>
      <c r="BL60" s="22"/>
      <c r="BM60" s="22"/>
      <c r="BN60" s="24"/>
      <c r="BO60" s="22"/>
      <c r="BP60" s="22"/>
      <c r="BQ60" s="22"/>
      <c r="BR60" s="22"/>
      <c r="BS60" s="24"/>
      <c r="BT60" s="22"/>
      <c r="BU60" s="22"/>
      <c r="BV60" s="22"/>
      <c r="BW60" s="22"/>
      <c r="BX60" s="24"/>
      <c r="BY60" s="22"/>
      <c r="BZ60" s="22"/>
      <c r="CA60" s="22"/>
      <c r="CB60" s="22"/>
      <c r="CC60" s="24"/>
      <c r="CD60" s="22"/>
      <c r="CE60" s="22"/>
      <c r="CF60" s="22"/>
      <c r="CG60" s="22"/>
      <c r="CH60" s="24"/>
      <c r="CI60" s="22"/>
      <c r="CJ60" s="22"/>
      <c r="CK60" s="22"/>
      <c r="CL60" s="22"/>
      <c r="CM60" s="24"/>
      <c r="CN60" s="22"/>
      <c r="CO60" s="22"/>
      <c r="CP60" s="22"/>
      <c r="CQ60" s="22"/>
      <c r="CR60" s="24"/>
    </row>
    <row r="61" spans="1:96" s="9" customFormat="1" ht="23.25" customHeight="1" thickBot="1" x14ac:dyDescent="0.35">
      <c r="A61" s="26" t="s">
        <v>95</v>
      </c>
      <c r="B61" s="27">
        <f t="shared" ref="B61:BM61" si="158">B38+B47+B49+B51+B55+B57-B59</f>
        <v>204690.51582291606</v>
      </c>
      <c r="C61" s="27">
        <f t="shared" si="158"/>
        <v>209938.88655618537</v>
      </c>
      <c r="D61" s="27">
        <f t="shared" si="158"/>
        <v>213142.98019550683</v>
      </c>
      <c r="E61" s="27">
        <f t="shared" si="158"/>
        <v>221043.0666322225</v>
      </c>
      <c r="F61" s="27">
        <f t="shared" si="158"/>
        <v>848815.44920683058</v>
      </c>
      <c r="G61" s="27">
        <f t="shared" si="158"/>
        <v>219943.46734978628</v>
      </c>
      <c r="H61" s="27">
        <f t="shared" si="158"/>
        <v>223262.23589538794</v>
      </c>
      <c r="I61" s="27">
        <f t="shared" si="158"/>
        <v>228368.29816655291</v>
      </c>
      <c r="J61" s="27">
        <f t="shared" si="158"/>
        <v>237497.94534398871</v>
      </c>
      <c r="K61" s="27">
        <f t="shared" si="158"/>
        <v>909071.94675571588</v>
      </c>
      <c r="L61" s="27">
        <f t="shared" si="158"/>
        <v>235433.74864992424</v>
      </c>
      <c r="M61" s="27">
        <f t="shared" si="158"/>
        <v>243376.10939622912</v>
      </c>
      <c r="N61" s="27">
        <f t="shared" si="158"/>
        <v>247997.63320619898</v>
      </c>
      <c r="O61" s="27">
        <f t="shared" si="158"/>
        <v>253746.26728271472</v>
      </c>
      <c r="P61" s="27">
        <f t="shared" si="158"/>
        <v>980553.75853506709</v>
      </c>
      <c r="Q61" s="27">
        <f t="shared" si="158"/>
        <v>251974.08932349589</v>
      </c>
      <c r="R61" s="27" t="e">
        <f t="shared" si="158"/>
        <v>#DIV/0!</v>
      </c>
      <c r="S61" s="27">
        <f t="shared" si="158"/>
        <v>266205.29508251214</v>
      </c>
      <c r="T61" s="27">
        <f t="shared" si="158"/>
        <v>279570.86982108705</v>
      </c>
      <c r="U61" s="27" t="e">
        <f t="shared" si="158"/>
        <v>#DIV/0!</v>
      </c>
      <c r="V61" s="27">
        <f t="shared" si="158"/>
        <v>274233.92594230466</v>
      </c>
      <c r="W61" s="27">
        <f t="shared" si="158"/>
        <v>281611.8837494874</v>
      </c>
      <c r="X61" s="27">
        <f t="shared" si="158"/>
        <v>283402.02501838014</v>
      </c>
      <c r="Y61" s="27">
        <f t="shared" si="158"/>
        <v>288180.69946256903</v>
      </c>
      <c r="Z61" s="27">
        <f t="shared" si="158"/>
        <v>1127428.5341727412</v>
      </c>
      <c r="AA61" s="27">
        <f t="shared" si="158"/>
        <v>281348.40570648835</v>
      </c>
      <c r="AB61" s="27">
        <f t="shared" si="158"/>
        <v>289039.51716479962</v>
      </c>
      <c r="AC61" s="27">
        <f t="shared" si="158"/>
        <v>299404.4251495332</v>
      </c>
      <c r="AD61" s="27">
        <f t="shared" si="158"/>
        <v>315696.29517753352</v>
      </c>
      <c r="AE61" s="27">
        <f t="shared" si="158"/>
        <v>1185488.6431983546</v>
      </c>
      <c r="AF61" s="27">
        <f t="shared" si="158"/>
        <v>306375.51883717324</v>
      </c>
      <c r="AG61" s="27">
        <f t="shared" si="158"/>
        <v>310953.56020430388</v>
      </c>
      <c r="AH61" s="27">
        <f t="shared" si="158"/>
        <v>318470.59120244056</v>
      </c>
      <c r="AI61" s="27">
        <f t="shared" si="158"/>
        <v>326450.93984819943</v>
      </c>
      <c r="AJ61" s="27">
        <f t="shared" si="158"/>
        <v>1262250.6100921175</v>
      </c>
      <c r="AK61" s="27">
        <f t="shared" si="158"/>
        <v>319315.71473029017</v>
      </c>
      <c r="AL61" s="27">
        <f t="shared" si="158"/>
        <v>329059.29636226123</v>
      </c>
      <c r="AM61" s="27">
        <f t="shared" si="158"/>
        <v>338923.55099182395</v>
      </c>
      <c r="AN61" s="27">
        <f t="shared" si="158"/>
        <v>351044.05691562447</v>
      </c>
      <c r="AO61" s="27">
        <f t="shared" si="158"/>
        <v>1338342.6190000002</v>
      </c>
      <c r="AP61" s="27">
        <f t="shared" si="158"/>
        <v>338637.66417222761</v>
      </c>
      <c r="AQ61" s="27">
        <f t="shared" si="158"/>
        <v>351212.43363101047</v>
      </c>
      <c r="AR61" s="27">
        <f t="shared" si="158"/>
        <v>358144.93817718362</v>
      </c>
      <c r="AS61" s="27">
        <f t="shared" si="158"/>
        <v>369200.88961957837</v>
      </c>
      <c r="AT61" s="27">
        <f t="shared" si="158"/>
        <v>1417195.9255999997</v>
      </c>
      <c r="AU61" s="27">
        <f t="shared" si="158"/>
        <v>360737.67765325401</v>
      </c>
      <c r="AV61" s="27">
        <f t="shared" si="158"/>
        <v>370535.33822858497</v>
      </c>
      <c r="AW61" s="27">
        <f t="shared" si="158"/>
        <v>379578.56300216366</v>
      </c>
      <c r="AX61" s="27">
        <f t="shared" si="158"/>
        <v>389939.20548180328</v>
      </c>
      <c r="AY61" s="27">
        <f t="shared" si="158"/>
        <v>1500790.7843658058</v>
      </c>
      <c r="AZ61" s="27">
        <f t="shared" si="158"/>
        <v>380458.74166850443</v>
      </c>
      <c r="BA61" s="27">
        <f t="shared" si="158"/>
        <v>390956.84504270362</v>
      </c>
      <c r="BB61" s="27">
        <f t="shared" si="158"/>
        <v>405325.86406087625</v>
      </c>
      <c r="BC61" s="27">
        <f t="shared" si="158"/>
        <v>413984.31035852933</v>
      </c>
      <c r="BD61" s="27">
        <f t="shared" si="158"/>
        <v>1590725.7611306128</v>
      </c>
      <c r="BE61" s="27">
        <f t="shared" si="158"/>
        <v>405125.25547514658</v>
      </c>
      <c r="BF61" s="27">
        <f t="shared" si="158"/>
        <v>417734.23154236242</v>
      </c>
      <c r="BG61" s="27">
        <f t="shared" si="158"/>
        <v>427688.20877948811</v>
      </c>
      <c r="BH61" s="27">
        <f t="shared" si="158"/>
        <v>435268.38319060032</v>
      </c>
      <c r="BI61" s="27">
        <f t="shared" si="158"/>
        <v>1685816.078987598</v>
      </c>
      <c r="BJ61" s="27">
        <f t="shared" si="158"/>
        <v>422980.34085571062</v>
      </c>
      <c r="BK61" s="27">
        <f t="shared" si="158"/>
        <v>417199.38125792553</v>
      </c>
      <c r="BL61" s="27">
        <f t="shared" si="158"/>
        <v>422192.31274523947</v>
      </c>
      <c r="BM61" s="27">
        <f t="shared" si="158"/>
        <v>422945.80544112693</v>
      </c>
      <c r="BN61" s="27">
        <f t="shared" ref="BN61:CR61" si="159">BN38+BN47+BN49+BN51+BN55+BN57-BN59</f>
        <v>1685317.8403000024</v>
      </c>
      <c r="BO61" s="27">
        <f t="shared" si="159"/>
        <v>419656.38387866376</v>
      </c>
      <c r="BP61" s="27">
        <f t="shared" si="159"/>
        <v>438728.22511264344</v>
      </c>
      <c r="BQ61" s="27">
        <f t="shared" si="159"/>
        <v>438865.09709268861</v>
      </c>
      <c r="BR61" s="27">
        <f t="shared" si="159"/>
        <v>452556.84077225049</v>
      </c>
      <c r="BS61" s="27">
        <f t="shared" si="159"/>
        <v>1749806.5468562467</v>
      </c>
      <c r="BT61" s="27">
        <f t="shared" si="159"/>
        <v>436361.01279076288</v>
      </c>
      <c r="BU61" s="27">
        <f t="shared" si="159"/>
        <v>462596.23247280763</v>
      </c>
      <c r="BV61" s="27">
        <f t="shared" si="159"/>
        <v>466817.31839503534</v>
      </c>
      <c r="BW61" s="27">
        <f t="shared" si="159"/>
        <v>482965.42173141247</v>
      </c>
      <c r="BX61" s="27">
        <f t="shared" si="159"/>
        <v>1848739.9853900182</v>
      </c>
      <c r="BY61" s="27">
        <f t="shared" si="159"/>
        <v>460698.128985691</v>
      </c>
      <c r="BZ61" s="27">
        <f t="shared" si="159"/>
        <v>487337.61858694669</v>
      </c>
      <c r="CA61" s="27">
        <f t="shared" si="159"/>
        <v>486337.23082544416</v>
      </c>
      <c r="CB61" s="27">
        <f t="shared" si="159"/>
        <v>495927.17077117384</v>
      </c>
      <c r="CC61" s="27">
        <f t="shared" si="159"/>
        <v>1930300.149169256</v>
      </c>
      <c r="CD61" s="27">
        <f t="shared" si="159"/>
        <v>483844.22438895487</v>
      </c>
      <c r="CE61" s="27">
        <f t="shared" si="159"/>
        <v>503778.23209157871</v>
      </c>
      <c r="CF61" s="27">
        <f t="shared" si="159"/>
        <v>510838.67430900462</v>
      </c>
      <c r="CG61" s="27">
        <f t="shared" si="159"/>
        <v>520984.06901575351</v>
      </c>
      <c r="CH61" s="27">
        <f t="shared" si="159"/>
        <v>2019445.1998052909</v>
      </c>
      <c r="CI61" s="27">
        <f t="shared" si="159"/>
        <v>509243.95785081375</v>
      </c>
      <c r="CJ61" s="27">
        <f t="shared" si="159"/>
        <v>522964.15696744097</v>
      </c>
      <c r="CK61" s="27">
        <f t="shared" si="159"/>
        <v>531374.44158540701</v>
      </c>
      <c r="CL61" s="27">
        <f t="shared" si="159"/>
        <v>548654.03090472147</v>
      </c>
      <c r="CM61" s="27">
        <f t="shared" si="159"/>
        <v>2112236.5873083835</v>
      </c>
      <c r="CN61" s="27">
        <f t="shared" si="159"/>
        <v>0</v>
      </c>
      <c r="CO61" s="27">
        <f t="shared" si="159"/>
        <v>0</v>
      </c>
      <c r="CP61" s="27">
        <f t="shared" si="159"/>
        <v>0</v>
      </c>
      <c r="CQ61" s="27">
        <f t="shared" si="159"/>
        <v>0</v>
      </c>
      <c r="CR61" s="27">
        <f t="shared" si="159"/>
        <v>0</v>
      </c>
    </row>
    <row r="62" spans="1:96" s="9" customFormat="1" ht="15" x14ac:dyDescent="0.4">
      <c r="A62" s="28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  <c r="BQ62" s="29"/>
      <c r="BR62" s="29"/>
      <c r="BS62" s="29"/>
      <c r="BT62" s="29"/>
      <c r="BU62" s="29"/>
      <c r="BV62" s="29"/>
      <c r="BW62" s="29"/>
      <c r="BX62" s="29"/>
      <c r="BY62" s="29"/>
      <c r="BZ62" s="29"/>
      <c r="CA62" s="29"/>
      <c r="CB62" s="29"/>
      <c r="CC62" s="29"/>
      <c r="CD62" s="29"/>
      <c r="CE62" s="29"/>
      <c r="CF62" s="29"/>
      <c r="CG62" s="29"/>
      <c r="CH62" s="29"/>
      <c r="CI62" s="29"/>
      <c r="CJ62" s="29"/>
      <c r="CK62" s="29"/>
      <c r="CL62" s="29"/>
      <c r="CM62" s="29"/>
      <c r="CN62" s="29"/>
      <c r="CO62" s="29"/>
      <c r="CP62" s="29"/>
      <c r="CQ62" s="29"/>
      <c r="CR62" s="29"/>
    </row>
    <row r="63" spans="1:96" s="31" customFormat="1" ht="15" x14ac:dyDescent="0.4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  <c r="BU63" s="30"/>
      <c r="BV63" s="30"/>
      <c r="BW63" s="30"/>
      <c r="BX63" s="30"/>
      <c r="BY63" s="30"/>
      <c r="BZ63" s="30"/>
      <c r="CA63" s="30"/>
      <c r="CB63" s="30"/>
      <c r="CC63" s="30"/>
      <c r="CD63" s="30"/>
      <c r="CE63" s="30"/>
      <c r="CF63" s="30"/>
      <c r="CG63" s="30"/>
      <c r="CH63" s="30"/>
      <c r="CI63" s="30"/>
      <c r="CJ63" s="30"/>
      <c r="CK63" s="30"/>
      <c r="CL63" s="30"/>
      <c r="CM63" s="30"/>
      <c r="CN63" s="30"/>
      <c r="CO63" s="30"/>
      <c r="CP63" s="30"/>
      <c r="CQ63" s="30"/>
      <c r="CR63" s="30"/>
    </row>
    <row r="64" spans="1:96" s="31" customFormat="1" ht="15" x14ac:dyDescent="0.4">
      <c r="A64" s="32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  <c r="BU64" s="33"/>
      <c r="BV64" s="33"/>
      <c r="BW64" s="33"/>
      <c r="BX64" s="33"/>
      <c r="BY64" s="33"/>
      <c r="BZ64" s="33"/>
      <c r="CA64" s="33"/>
      <c r="CB64" s="33"/>
      <c r="CC64" s="33"/>
      <c r="CD64" s="33"/>
      <c r="CE64" s="33"/>
      <c r="CF64" s="33"/>
      <c r="CG64" s="33"/>
      <c r="CH64" s="33"/>
      <c r="CI64" s="33"/>
      <c r="CJ64" s="33"/>
      <c r="CK64" s="33"/>
      <c r="CL64" s="33"/>
      <c r="CM64" s="33"/>
      <c r="CN64" s="33"/>
      <c r="CO64" s="33"/>
      <c r="CP64" s="33"/>
      <c r="CQ64" s="33"/>
      <c r="CR64" s="33"/>
    </row>
    <row r="65" spans="1:96" ht="20" x14ac:dyDescent="0.4">
      <c r="A65" s="1" t="s">
        <v>97</v>
      </c>
    </row>
    <row r="66" spans="1:96" ht="20.5" thickBot="1" x14ac:dyDescent="0.45">
      <c r="A66" s="1" t="str">
        <f>A34</f>
        <v>Kabupaten/Kota :</v>
      </c>
      <c r="B66" s="34" t="str">
        <f>B34</f>
        <v>Kepuluauan Tanimbar</v>
      </c>
      <c r="L66" s="35"/>
      <c r="V66" s="35"/>
      <c r="AF66" s="35"/>
      <c r="AP66" s="35"/>
      <c r="AZ66" s="35"/>
      <c r="BJ66" s="35"/>
      <c r="BT66" s="35"/>
    </row>
    <row r="67" spans="1:96" s="9" customFormat="1" ht="24" customHeight="1" thickBot="1" x14ac:dyDescent="0.35">
      <c r="A67" s="5" t="s">
        <v>2</v>
      </c>
      <c r="B67" s="6" t="s">
        <v>3</v>
      </c>
      <c r="C67" s="6" t="s">
        <v>4</v>
      </c>
      <c r="D67" s="6" t="s">
        <v>5</v>
      </c>
      <c r="E67" s="6" t="s">
        <v>6</v>
      </c>
      <c r="F67" s="6">
        <v>2008</v>
      </c>
      <c r="G67" s="7" t="s">
        <v>7</v>
      </c>
      <c r="H67" s="7" t="s">
        <v>8</v>
      </c>
      <c r="I67" s="7" t="s">
        <v>9</v>
      </c>
      <c r="J67" s="7" t="s">
        <v>10</v>
      </c>
      <c r="K67" s="7">
        <v>2009</v>
      </c>
      <c r="L67" s="6" t="s">
        <v>11</v>
      </c>
      <c r="M67" s="6" t="s">
        <v>12</v>
      </c>
      <c r="N67" s="6" t="s">
        <v>13</v>
      </c>
      <c r="O67" s="6" t="s">
        <v>14</v>
      </c>
      <c r="P67" s="6">
        <v>2010</v>
      </c>
      <c r="Q67" s="7" t="s">
        <v>15</v>
      </c>
      <c r="R67" s="7" t="s">
        <v>16</v>
      </c>
      <c r="S67" s="7" t="s">
        <v>17</v>
      </c>
      <c r="T67" s="7" t="s">
        <v>18</v>
      </c>
      <c r="U67" s="7">
        <v>2011</v>
      </c>
      <c r="V67" s="6" t="s">
        <v>19</v>
      </c>
      <c r="W67" s="6" t="s">
        <v>20</v>
      </c>
      <c r="X67" s="6" t="s">
        <v>21</v>
      </c>
      <c r="Y67" s="6" t="s">
        <v>22</v>
      </c>
      <c r="Z67" s="6">
        <v>2012</v>
      </c>
      <c r="AA67" s="7" t="s">
        <v>23</v>
      </c>
      <c r="AB67" s="7" t="s">
        <v>24</v>
      </c>
      <c r="AC67" s="7" t="s">
        <v>25</v>
      </c>
      <c r="AD67" s="7" t="s">
        <v>26</v>
      </c>
      <c r="AE67" s="7">
        <v>2013</v>
      </c>
      <c r="AF67" s="6" t="s">
        <v>27</v>
      </c>
      <c r="AG67" s="6" t="s">
        <v>28</v>
      </c>
      <c r="AH67" s="6" t="s">
        <v>29</v>
      </c>
      <c r="AI67" s="6" t="s">
        <v>30</v>
      </c>
      <c r="AJ67" s="6">
        <v>2014</v>
      </c>
      <c r="AK67" s="7" t="s">
        <v>31</v>
      </c>
      <c r="AL67" s="7" t="s">
        <v>32</v>
      </c>
      <c r="AM67" s="7" t="s">
        <v>33</v>
      </c>
      <c r="AN67" s="7" t="s">
        <v>34</v>
      </c>
      <c r="AO67" s="7">
        <v>2015</v>
      </c>
      <c r="AP67" s="6" t="s">
        <v>35</v>
      </c>
      <c r="AQ67" s="6" t="s">
        <v>36</v>
      </c>
      <c r="AR67" s="6" t="s">
        <v>37</v>
      </c>
      <c r="AS67" s="6" t="s">
        <v>38</v>
      </c>
      <c r="AT67" s="6">
        <v>2016</v>
      </c>
      <c r="AU67" s="7" t="s">
        <v>39</v>
      </c>
      <c r="AV67" s="7" t="s">
        <v>40</v>
      </c>
      <c r="AW67" s="7" t="s">
        <v>41</v>
      </c>
      <c r="AX67" s="7" t="s">
        <v>42</v>
      </c>
      <c r="AY67" s="7">
        <v>2017</v>
      </c>
      <c r="AZ67" s="6" t="s">
        <v>43</v>
      </c>
      <c r="BA67" s="6" t="s">
        <v>44</v>
      </c>
      <c r="BB67" s="6" t="s">
        <v>45</v>
      </c>
      <c r="BC67" s="6" t="s">
        <v>46</v>
      </c>
      <c r="BD67" s="6">
        <v>2018</v>
      </c>
      <c r="BE67" s="7" t="s">
        <v>47</v>
      </c>
      <c r="BF67" s="7" t="s">
        <v>48</v>
      </c>
      <c r="BG67" s="7" t="s">
        <v>49</v>
      </c>
      <c r="BH67" s="7" t="s">
        <v>50</v>
      </c>
      <c r="BI67" s="7">
        <v>2019</v>
      </c>
      <c r="BJ67" s="6" t="s">
        <v>51</v>
      </c>
      <c r="BK67" s="6" t="s">
        <v>52</v>
      </c>
      <c r="BL67" s="6" t="s">
        <v>53</v>
      </c>
      <c r="BM67" s="6" t="s">
        <v>54</v>
      </c>
      <c r="BN67" s="6">
        <v>2020</v>
      </c>
      <c r="BO67" s="7" t="s">
        <v>55</v>
      </c>
      <c r="BP67" s="7" t="s">
        <v>56</v>
      </c>
      <c r="BQ67" s="7" t="s">
        <v>57</v>
      </c>
      <c r="BR67" s="7" t="s">
        <v>58</v>
      </c>
      <c r="BS67" s="7">
        <v>2021</v>
      </c>
      <c r="BT67" s="6" t="s">
        <v>59</v>
      </c>
      <c r="BU67" s="6" t="s">
        <v>60</v>
      </c>
      <c r="BV67" s="6" t="s">
        <v>61</v>
      </c>
      <c r="BW67" s="6" t="s">
        <v>62</v>
      </c>
      <c r="BX67" s="6">
        <v>2022</v>
      </c>
      <c r="BY67" s="7" t="s">
        <v>63</v>
      </c>
      <c r="BZ67" s="7" t="s">
        <v>64</v>
      </c>
      <c r="CA67" s="7" t="s">
        <v>65</v>
      </c>
      <c r="CB67" s="7" t="s">
        <v>66</v>
      </c>
      <c r="CC67" s="7">
        <v>2023</v>
      </c>
      <c r="CD67" s="8" t="s">
        <v>67</v>
      </c>
      <c r="CE67" s="8" t="s">
        <v>68</v>
      </c>
      <c r="CF67" s="8" t="s">
        <v>69</v>
      </c>
      <c r="CG67" s="8" t="s">
        <v>70</v>
      </c>
      <c r="CH67" s="8">
        <v>2024</v>
      </c>
      <c r="CI67" s="7" t="s">
        <v>71</v>
      </c>
      <c r="CJ67" s="7" t="s">
        <v>72</v>
      </c>
      <c r="CK67" s="7" t="s">
        <v>73</v>
      </c>
      <c r="CL67" s="7" t="s">
        <v>74</v>
      </c>
      <c r="CM67" s="7">
        <v>2025</v>
      </c>
      <c r="CN67" s="8" t="s">
        <v>75</v>
      </c>
      <c r="CO67" s="8" t="s">
        <v>76</v>
      </c>
      <c r="CP67" s="8" t="s">
        <v>77</v>
      </c>
      <c r="CQ67" s="8" t="s">
        <v>78</v>
      </c>
      <c r="CR67" s="8">
        <v>2026</v>
      </c>
    </row>
    <row r="68" spans="1:96" s="9" customFormat="1" ht="13.5" thickBot="1" x14ac:dyDescent="0.35">
      <c r="A68" s="10">
        <v>-1</v>
      </c>
      <c r="B68" s="11">
        <f>Table336101918101131415161718191101111121[[#This Row],[Komponen Pengeluaran]]-1</f>
        <v>-2</v>
      </c>
      <c r="C68" s="11">
        <f>B68-1</f>
        <v>-3</v>
      </c>
      <c r="D68" s="11">
        <f t="shared" ref="D68:BO68" si="160">C68-1</f>
        <v>-4</v>
      </c>
      <c r="E68" s="11">
        <f t="shared" si="160"/>
        <v>-5</v>
      </c>
      <c r="F68" s="11">
        <f t="shared" si="160"/>
        <v>-6</v>
      </c>
      <c r="G68" s="11">
        <f t="shared" si="160"/>
        <v>-7</v>
      </c>
      <c r="H68" s="11">
        <f t="shared" si="160"/>
        <v>-8</v>
      </c>
      <c r="I68" s="11">
        <f t="shared" si="160"/>
        <v>-9</v>
      </c>
      <c r="J68" s="11">
        <f t="shared" si="160"/>
        <v>-10</v>
      </c>
      <c r="K68" s="11">
        <f t="shared" si="160"/>
        <v>-11</v>
      </c>
      <c r="L68" s="11">
        <f t="shared" si="160"/>
        <v>-12</v>
      </c>
      <c r="M68" s="11">
        <f t="shared" si="160"/>
        <v>-13</v>
      </c>
      <c r="N68" s="11">
        <f t="shared" si="160"/>
        <v>-14</v>
      </c>
      <c r="O68" s="11">
        <f t="shared" si="160"/>
        <v>-15</v>
      </c>
      <c r="P68" s="11">
        <f t="shared" si="160"/>
        <v>-16</v>
      </c>
      <c r="Q68" s="11">
        <f t="shared" si="160"/>
        <v>-17</v>
      </c>
      <c r="R68" s="11">
        <f t="shared" si="160"/>
        <v>-18</v>
      </c>
      <c r="S68" s="11">
        <f t="shared" si="160"/>
        <v>-19</v>
      </c>
      <c r="T68" s="11">
        <f t="shared" si="160"/>
        <v>-20</v>
      </c>
      <c r="U68" s="11">
        <f t="shared" si="160"/>
        <v>-21</v>
      </c>
      <c r="V68" s="11">
        <f t="shared" si="160"/>
        <v>-22</v>
      </c>
      <c r="W68" s="11">
        <f t="shared" si="160"/>
        <v>-23</v>
      </c>
      <c r="X68" s="11">
        <f t="shared" si="160"/>
        <v>-24</v>
      </c>
      <c r="Y68" s="11">
        <f t="shared" si="160"/>
        <v>-25</v>
      </c>
      <c r="Z68" s="11">
        <f t="shared" si="160"/>
        <v>-26</v>
      </c>
      <c r="AA68" s="11">
        <f t="shared" si="160"/>
        <v>-27</v>
      </c>
      <c r="AB68" s="11">
        <f t="shared" si="160"/>
        <v>-28</v>
      </c>
      <c r="AC68" s="11">
        <f t="shared" si="160"/>
        <v>-29</v>
      </c>
      <c r="AD68" s="11">
        <f t="shared" si="160"/>
        <v>-30</v>
      </c>
      <c r="AE68" s="11">
        <f t="shared" si="160"/>
        <v>-31</v>
      </c>
      <c r="AF68" s="11">
        <f t="shared" si="160"/>
        <v>-32</v>
      </c>
      <c r="AG68" s="11">
        <f t="shared" si="160"/>
        <v>-33</v>
      </c>
      <c r="AH68" s="11">
        <f t="shared" si="160"/>
        <v>-34</v>
      </c>
      <c r="AI68" s="11">
        <f t="shared" si="160"/>
        <v>-35</v>
      </c>
      <c r="AJ68" s="11">
        <f t="shared" si="160"/>
        <v>-36</v>
      </c>
      <c r="AK68" s="11">
        <f t="shared" si="160"/>
        <v>-37</v>
      </c>
      <c r="AL68" s="11">
        <f t="shared" si="160"/>
        <v>-38</v>
      </c>
      <c r="AM68" s="11">
        <f t="shared" si="160"/>
        <v>-39</v>
      </c>
      <c r="AN68" s="11">
        <f t="shared" si="160"/>
        <v>-40</v>
      </c>
      <c r="AO68" s="11">
        <f t="shared" si="160"/>
        <v>-41</v>
      </c>
      <c r="AP68" s="11">
        <f t="shared" si="160"/>
        <v>-42</v>
      </c>
      <c r="AQ68" s="11">
        <f t="shared" si="160"/>
        <v>-43</v>
      </c>
      <c r="AR68" s="11">
        <f t="shared" si="160"/>
        <v>-44</v>
      </c>
      <c r="AS68" s="11">
        <f t="shared" si="160"/>
        <v>-45</v>
      </c>
      <c r="AT68" s="11">
        <f t="shared" si="160"/>
        <v>-46</v>
      </c>
      <c r="AU68" s="11">
        <f t="shared" si="160"/>
        <v>-47</v>
      </c>
      <c r="AV68" s="11">
        <f t="shared" si="160"/>
        <v>-48</v>
      </c>
      <c r="AW68" s="11">
        <f t="shared" si="160"/>
        <v>-49</v>
      </c>
      <c r="AX68" s="11">
        <f t="shared" si="160"/>
        <v>-50</v>
      </c>
      <c r="AY68" s="11">
        <f t="shared" si="160"/>
        <v>-51</v>
      </c>
      <c r="AZ68" s="11">
        <f t="shared" si="160"/>
        <v>-52</v>
      </c>
      <c r="BA68" s="11">
        <f t="shared" si="160"/>
        <v>-53</v>
      </c>
      <c r="BB68" s="11">
        <f t="shared" si="160"/>
        <v>-54</v>
      </c>
      <c r="BC68" s="11">
        <f t="shared" si="160"/>
        <v>-55</v>
      </c>
      <c r="BD68" s="11">
        <f t="shared" si="160"/>
        <v>-56</v>
      </c>
      <c r="BE68" s="11">
        <f t="shared" si="160"/>
        <v>-57</v>
      </c>
      <c r="BF68" s="11">
        <f t="shared" si="160"/>
        <v>-58</v>
      </c>
      <c r="BG68" s="11">
        <f t="shared" si="160"/>
        <v>-59</v>
      </c>
      <c r="BH68" s="11">
        <f t="shared" si="160"/>
        <v>-60</v>
      </c>
      <c r="BI68" s="11">
        <f t="shared" si="160"/>
        <v>-61</v>
      </c>
      <c r="BJ68" s="11">
        <f t="shared" si="160"/>
        <v>-62</v>
      </c>
      <c r="BK68" s="11">
        <f t="shared" si="160"/>
        <v>-63</v>
      </c>
      <c r="BL68" s="11">
        <f t="shared" si="160"/>
        <v>-64</v>
      </c>
      <c r="BM68" s="11">
        <f t="shared" si="160"/>
        <v>-65</v>
      </c>
      <c r="BN68" s="11">
        <f t="shared" si="160"/>
        <v>-66</v>
      </c>
      <c r="BO68" s="11">
        <f t="shared" si="160"/>
        <v>-67</v>
      </c>
      <c r="BP68" s="11">
        <f t="shared" ref="BP68:CR68" si="161">BO68-1</f>
        <v>-68</v>
      </c>
      <c r="BQ68" s="11">
        <f t="shared" si="161"/>
        <v>-69</v>
      </c>
      <c r="BR68" s="11">
        <f t="shared" si="161"/>
        <v>-70</v>
      </c>
      <c r="BS68" s="11">
        <f t="shared" si="161"/>
        <v>-71</v>
      </c>
      <c r="BT68" s="11">
        <f t="shared" si="161"/>
        <v>-72</v>
      </c>
      <c r="BU68" s="11">
        <f t="shared" si="161"/>
        <v>-73</v>
      </c>
      <c r="BV68" s="11">
        <f t="shared" si="161"/>
        <v>-74</v>
      </c>
      <c r="BW68" s="11">
        <f t="shared" si="161"/>
        <v>-75</v>
      </c>
      <c r="BX68" s="11">
        <f t="shared" si="161"/>
        <v>-76</v>
      </c>
      <c r="BY68" s="11">
        <f t="shared" si="161"/>
        <v>-77</v>
      </c>
      <c r="BZ68" s="11">
        <f t="shared" si="161"/>
        <v>-78</v>
      </c>
      <c r="CA68" s="11">
        <f t="shared" si="161"/>
        <v>-79</v>
      </c>
      <c r="CB68" s="11">
        <f t="shared" si="161"/>
        <v>-80</v>
      </c>
      <c r="CC68" s="11">
        <f t="shared" si="161"/>
        <v>-81</v>
      </c>
      <c r="CD68" s="11">
        <f t="shared" si="161"/>
        <v>-82</v>
      </c>
      <c r="CE68" s="11">
        <f t="shared" si="161"/>
        <v>-83</v>
      </c>
      <c r="CF68" s="11">
        <f t="shared" si="161"/>
        <v>-84</v>
      </c>
      <c r="CG68" s="11">
        <f t="shared" si="161"/>
        <v>-85</v>
      </c>
      <c r="CH68" s="11">
        <f t="shared" si="161"/>
        <v>-86</v>
      </c>
      <c r="CI68" s="11">
        <f t="shared" si="161"/>
        <v>-87</v>
      </c>
      <c r="CJ68" s="11">
        <f t="shared" si="161"/>
        <v>-88</v>
      </c>
      <c r="CK68" s="11">
        <f t="shared" si="161"/>
        <v>-89</v>
      </c>
      <c r="CL68" s="11">
        <f t="shared" si="161"/>
        <v>-90</v>
      </c>
      <c r="CM68" s="11">
        <f t="shared" si="161"/>
        <v>-91</v>
      </c>
      <c r="CN68" s="11">
        <f t="shared" si="161"/>
        <v>-92</v>
      </c>
      <c r="CO68" s="11">
        <f t="shared" si="161"/>
        <v>-93</v>
      </c>
      <c r="CP68" s="11">
        <f t="shared" si="161"/>
        <v>-94</v>
      </c>
      <c r="CQ68" s="11">
        <f t="shared" si="161"/>
        <v>-95</v>
      </c>
      <c r="CR68" s="11">
        <f t="shared" si="161"/>
        <v>-96</v>
      </c>
    </row>
    <row r="69" spans="1:96" s="9" customFormat="1" ht="16.5" thickTop="1" x14ac:dyDescent="0.4">
      <c r="A69" s="12"/>
      <c r="B69" s="36"/>
      <c r="C69" s="13"/>
      <c r="D69" s="13"/>
      <c r="E69" s="13"/>
      <c r="F69" s="36"/>
      <c r="G69" s="13"/>
      <c r="H69" s="13"/>
      <c r="I69" s="13"/>
      <c r="J69" s="13"/>
      <c r="K69" s="14"/>
      <c r="L69" s="13"/>
      <c r="M69" s="13"/>
      <c r="N69" s="13"/>
      <c r="O69" s="13"/>
      <c r="P69" s="14"/>
      <c r="Q69" s="13"/>
      <c r="R69" s="13"/>
      <c r="S69" s="13"/>
      <c r="T69" s="13"/>
      <c r="U69" s="14"/>
      <c r="V69" s="13"/>
      <c r="W69" s="13"/>
      <c r="X69" s="13"/>
      <c r="Y69" s="13"/>
      <c r="Z69" s="14"/>
      <c r="AA69" s="13"/>
      <c r="AB69" s="13"/>
      <c r="AC69" s="13"/>
      <c r="AD69" s="13"/>
      <c r="AE69" s="14"/>
      <c r="AF69" s="13"/>
      <c r="AG69" s="13"/>
      <c r="AH69" s="13"/>
      <c r="AI69" s="13"/>
      <c r="AJ69" s="14"/>
      <c r="AK69" s="13"/>
      <c r="AL69" s="13"/>
      <c r="AM69" s="13"/>
      <c r="AN69" s="13"/>
      <c r="AO69" s="14"/>
      <c r="AP69" s="13"/>
      <c r="AQ69" s="13"/>
      <c r="AR69" s="13"/>
      <c r="AS69" s="13"/>
      <c r="AT69" s="14"/>
      <c r="AU69" s="13"/>
      <c r="AV69" s="13"/>
      <c r="AW69" s="13"/>
      <c r="AX69" s="13"/>
      <c r="AY69" s="14"/>
      <c r="AZ69" s="13"/>
      <c r="BA69" s="13"/>
      <c r="BB69" s="13"/>
      <c r="BC69" s="13"/>
      <c r="BD69" s="14"/>
      <c r="BE69" s="13"/>
      <c r="BF69" s="13"/>
      <c r="BG69" s="13"/>
      <c r="BH69" s="13"/>
      <c r="BI69" s="14"/>
      <c r="BJ69" s="13"/>
      <c r="BK69" s="13"/>
      <c r="BL69" s="13"/>
      <c r="BM69" s="13"/>
      <c r="BN69" s="14"/>
      <c r="BO69" s="13"/>
      <c r="BP69" s="13"/>
      <c r="BQ69" s="13"/>
      <c r="BR69" s="13"/>
      <c r="BS69" s="14"/>
      <c r="BT69" s="13"/>
      <c r="BU69" s="13"/>
      <c r="BV69" s="13"/>
      <c r="BW69" s="13"/>
      <c r="BX69" s="14"/>
      <c r="BY69" s="13"/>
      <c r="BZ69" s="13"/>
      <c r="CA69" s="13"/>
      <c r="CB69" s="13"/>
      <c r="CC69" s="14"/>
      <c r="CD69" s="13"/>
      <c r="CE69" s="13"/>
      <c r="CF69" s="13"/>
      <c r="CG69" s="13"/>
      <c r="CH69" s="14"/>
      <c r="CI69" s="13"/>
      <c r="CJ69" s="13"/>
      <c r="CK69" s="13"/>
      <c r="CL69" s="13"/>
      <c r="CM69" s="14"/>
      <c r="CN69" s="13"/>
      <c r="CO69" s="13"/>
      <c r="CP69" s="13"/>
      <c r="CQ69" s="13"/>
      <c r="CR69" s="14"/>
    </row>
    <row r="70" spans="1:96" s="17" customFormat="1" ht="15" x14ac:dyDescent="0.4">
      <c r="A70" s="15" t="s">
        <v>79</v>
      </c>
      <c r="B70" s="37"/>
      <c r="C70" s="16">
        <f>IFERROR(C38/B38*100-100,"")</f>
        <v>1.2721150583885787</v>
      </c>
      <c r="D70" s="16">
        <f t="shared" ref="D70:E71" si="162">IFERROR(D38/C38*100-100,"")</f>
        <v>3.6901910415085837</v>
      </c>
      <c r="E70" s="16">
        <f t="shared" si="162"/>
        <v>3.5596402996373371</v>
      </c>
      <c r="F70" s="37"/>
      <c r="G70" s="16">
        <f>IFERROR(G38/E38*100-100,"")</f>
        <v>-2.7581580756968549</v>
      </c>
      <c r="H70" s="16">
        <f>IFERROR(H38/G38*100-100,"")</f>
        <v>2.1574994111335712</v>
      </c>
      <c r="I70" s="16">
        <f t="shared" ref="I70:J71" si="163">IFERROR(I38/H38*100-100,"")</f>
        <v>5.5580669470668482</v>
      </c>
      <c r="J70" s="16">
        <f t="shared" si="163"/>
        <v>4.1276629591391583</v>
      </c>
      <c r="K70" s="16">
        <f>IFERROR(K38/F38*100-100,"")</f>
        <v>7.5953055159416749</v>
      </c>
      <c r="L70" s="16">
        <f>IFERROR(L38/J38*100-100,"")</f>
        <v>-4.6729848853612026</v>
      </c>
      <c r="M70" s="16">
        <f>IFERROR(M38/L38*100-100,"")</f>
        <v>1.7722551658609262</v>
      </c>
      <c r="N70" s="16">
        <f t="shared" ref="N70:O71" si="164">IFERROR(N38/M38*100-100,"")</f>
        <v>4.8011884237333646</v>
      </c>
      <c r="O70" s="16">
        <f t="shared" si="164"/>
        <v>5.4100435386595223</v>
      </c>
      <c r="P70" s="16">
        <f>IFERROR(P38/K38*100-100,"")</f>
        <v>6.6795026093941345</v>
      </c>
      <c r="Q70" s="16">
        <f>IFERROR(Q38/O38*100-100,"")</f>
        <v>-7.9578214404548788</v>
      </c>
      <c r="R70" s="16" t="str">
        <f>IFERROR(R38/Q38*100-100,"")</f>
        <v/>
      </c>
      <c r="S70" s="16" t="str">
        <f t="shared" ref="S70:T71" si="165">IFERROR(S38/R38*100-100,"")</f>
        <v/>
      </c>
      <c r="T70" s="16">
        <f t="shared" si="165"/>
        <v>2.1753481014928724</v>
      </c>
      <c r="U70" s="16" t="str">
        <f>IFERROR(U38/P38*100-100,"")</f>
        <v/>
      </c>
      <c r="V70" s="16">
        <f>IFERROR(V38/T38*100-100,"")</f>
        <v>-7.5586052428236172</v>
      </c>
      <c r="W70" s="16">
        <f>IFERROR(W38/V38*100-100,"")</f>
        <v>4.2435507902088858</v>
      </c>
      <c r="X70" s="16">
        <f t="shared" ref="X70:Y71" si="166">IFERROR(X38/W38*100-100,"")</f>
        <v>6.4971173008309364</v>
      </c>
      <c r="Y70" s="16">
        <f t="shared" si="166"/>
        <v>2.6493510940703828</v>
      </c>
      <c r="Z70" s="16" t="str">
        <f>IFERROR(Z38/U38*100-100,"")</f>
        <v/>
      </c>
      <c r="AA70" s="16">
        <f>IFERROR(AA38/Y38*100-100,"")</f>
        <v>-7.2398253014158911</v>
      </c>
      <c r="AB70" s="16">
        <f>IFERROR(AB38/AA38*100-100,"")</f>
        <v>3.6790688461573211</v>
      </c>
      <c r="AC70" s="16">
        <f t="shared" ref="AC70:AD71" si="167">IFERROR(AC38/AB38*100-100,"")</f>
        <v>6.1938666682379164</v>
      </c>
      <c r="AD70" s="16">
        <f t="shared" si="167"/>
        <v>4.7144918960297701</v>
      </c>
      <c r="AE70" s="16">
        <f>IFERROR(AE38/Z38*100-100,"")</f>
        <v>5.6712708266658041</v>
      </c>
      <c r="AF70" s="16">
        <f>IFERROR(AF38/AD38*100-100,"")</f>
        <v>-6.9394477871995974</v>
      </c>
      <c r="AG70" s="16">
        <f>IFERROR(AG38/AF38*100-100,"")</f>
        <v>3.6006706096659116</v>
      </c>
      <c r="AH70" s="16">
        <f t="shared" ref="AH70:AI71" si="168">IFERROR(AH38/AG38*100-100,"")</f>
        <v>5.2718616673396355</v>
      </c>
      <c r="AI70" s="16">
        <f t="shared" si="168"/>
        <v>6.3944918371981743</v>
      </c>
      <c r="AJ70" s="16">
        <f>IFERROR(AJ38/AE38*100-100,"")</f>
        <v>7.1978862128214303</v>
      </c>
      <c r="AK70" s="16">
        <f>IFERROR(AK38/AI38*100-100,"")</f>
        <v>-6.2946849819474835</v>
      </c>
      <c r="AL70" s="16">
        <f>IFERROR(AL38/AK38*100-100,"")</f>
        <v>3.9211802329413246</v>
      </c>
      <c r="AM70" s="16">
        <f t="shared" ref="AM70:AN71" si="169">IFERROR(AM38/AL38*100-100,"")</f>
        <v>4.5634732872188408</v>
      </c>
      <c r="AN70" s="16">
        <f t="shared" si="169"/>
        <v>7.1364658080377694</v>
      </c>
      <c r="AO70" s="16">
        <f>IFERROR(AO38/AJ38*100-100,"")</f>
        <v>8.8092566185490284</v>
      </c>
      <c r="AP70" s="16">
        <f>IFERROR(AP38/AN38*100-100,"")</f>
        <v>-6.7308932346200976</v>
      </c>
      <c r="AQ70" s="16">
        <f>IFERROR(AQ38/AP38*100-100,"")</f>
        <v>3.074423804299343</v>
      </c>
      <c r="AR70" s="16">
        <f t="shared" ref="AR70:AS71" si="170">IFERROR(AR38/AQ38*100-100,"")</f>
        <v>1.8511459949888973</v>
      </c>
      <c r="AS70" s="16">
        <f t="shared" si="170"/>
        <v>3.8837825235642072</v>
      </c>
      <c r="AT70" s="16">
        <f>IFERROR(AT38/AO38*100-100,"")</f>
        <v>5.5738399978486228</v>
      </c>
      <c r="AU70" s="16">
        <f>IFERROR(AU38/AS38*100-100,"")</f>
        <v>-4.7614210731821203</v>
      </c>
      <c r="AV70" s="16">
        <f>IFERROR(AV38/AU38*100-100,"")</f>
        <v>3.8573191398614028</v>
      </c>
      <c r="AW70" s="16">
        <f t="shared" ref="AW70:AX71" si="171">IFERROR(AW38/AV38*100-100,"")</f>
        <v>4.0177770513194986</v>
      </c>
      <c r="AX70" s="16">
        <f t="shared" si="171"/>
        <v>4.4326019026425882</v>
      </c>
      <c r="AY70" s="16">
        <f>IFERROR(AY38/AT38*100-100,"")</f>
        <v>5.7568116132955112</v>
      </c>
      <c r="AZ70" s="16">
        <f>IFERROR(AZ38/AX38*100-100,"")</f>
        <v>-7.3505457264585772</v>
      </c>
      <c r="BA70" s="16">
        <f>IFERROR(BA38/AZ38*100-100,"")</f>
        <v>4.1231606046979437</v>
      </c>
      <c r="BB70" s="16">
        <f t="shared" ref="BB70:BC71" si="172">IFERROR(BB38/BA38*100-100,"")</f>
        <v>4.4009502888118703</v>
      </c>
      <c r="BC70" s="16">
        <f t="shared" si="172"/>
        <v>5.9720692246396396</v>
      </c>
      <c r="BD70" s="16">
        <f>IFERROR(BD38/AY38*100-100,"")</f>
        <v>5.3429939306337531</v>
      </c>
      <c r="BE70" s="16">
        <f>IFERROR(BE38/BC38*100-100,"")</f>
        <v>-6.553534215794329</v>
      </c>
      <c r="BF70" s="16">
        <f>IFERROR(BF38/BE38*100-100,"")</f>
        <v>4.618571129242028</v>
      </c>
      <c r="BG70" s="16">
        <f t="shared" ref="BG70:BH71" si="173">IFERROR(BG38/BF38*100-100,"")</f>
        <v>3.9028404376905428</v>
      </c>
      <c r="BH70" s="16">
        <f t="shared" si="173"/>
        <v>1.1117062664660153</v>
      </c>
      <c r="BI70" s="16">
        <f>IFERROR(BI38/BD38*100-100,"")</f>
        <v>6.4418627182471653</v>
      </c>
      <c r="BJ70" s="16">
        <f>IFERROR(BJ38/BH38*100-100,"")</f>
        <v>-2.8772169075849661</v>
      </c>
      <c r="BK70" s="16">
        <f>IFERROR(BK38/BJ38*100-100,"")</f>
        <v>-1.2898394445173977</v>
      </c>
      <c r="BL70" s="16">
        <f t="shared" ref="BL70:BM71" si="174">IFERROR(BL38/BK38*100-100,"")</f>
        <v>0.97390620983279064</v>
      </c>
      <c r="BM70" s="16">
        <f t="shared" si="174"/>
        <v>1.0289071506510084</v>
      </c>
      <c r="BN70" s="16">
        <f>IFERROR(BN38/BI38*100-100,"")</f>
        <v>0.65619443178439951</v>
      </c>
      <c r="BO70" s="16">
        <f>IFERROR(BO38/BM38*100-100,"")</f>
        <v>-1.8223624738783997</v>
      </c>
      <c r="BP70" s="16">
        <f>IFERROR(BP38/BO38*100-100,"")</f>
        <v>0.66363667360825218</v>
      </c>
      <c r="BQ70" s="16">
        <f t="shared" ref="BQ70:BR71" si="175">IFERROR(BQ38/BP38*100-100,"")</f>
        <v>0.29533986794767486</v>
      </c>
      <c r="BR70" s="16">
        <f t="shared" si="175"/>
        <v>4.4831538142154841</v>
      </c>
      <c r="BS70" s="16">
        <f>IFERROR(BS38/BN38*100-100,"")</f>
        <v>0.85195756799778621</v>
      </c>
      <c r="BT70" s="16">
        <f>IFERROR(BT38/BR38*100-100,"")</f>
        <v>-1.254656243774221</v>
      </c>
      <c r="BU70" s="16">
        <f>IFERROR(BU38/BT38*100-100,"")</f>
        <v>1.8776366653798391</v>
      </c>
      <c r="BV70" s="16">
        <f t="shared" ref="BV70:BW71" si="176">IFERROR(BV38/BU38*100-100,"")</f>
        <v>1.0407368610617596</v>
      </c>
      <c r="BW70" s="16">
        <f t="shared" si="176"/>
        <v>2.0830751561799303</v>
      </c>
      <c r="BX70" s="16">
        <f>IFERROR(BX38/BS38*100-100,"")</f>
        <v>4.8764947096071154</v>
      </c>
      <c r="BY70" s="16">
        <f>IFERROR(BY38/BW38*100-100,"")</f>
        <v>-2.0222211650862363</v>
      </c>
      <c r="BZ70" s="16">
        <f>IFERROR(BZ38/BY38*100-100,"")</f>
        <v>1.4088816351873135</v>
      </c>
      <c r="CA70" s="16">
        <f t="shared" ref="CA70:CB71" si="177">IFERROR(CA38/BZ38*100-100,"")</f>
        <v>0.62582710199920655</v>
      </c>
      <c r="CB70" s="16">
        <f t="shared" si="177"/>
        <v>2.4085269921300778</v>
      </c>
      <c r="CC70" s="16">
        <f>IFERROR(CC38/BX38*100-100,"")</f>
        <v>2.4688897527159099</v>
      </c>
      <c r="CD70" s="16">
        <f>IFERROR(CD38/CB38*100-100,"")</f>
        <v>8.2069279422995578E-2</v>
      </c>
      <c r="CE70" s="16">
        <f>IFERROR(CE38/CD38*100-100,"")</f>
        <v>0.36954806592206069</v>
      </c>
      <c r="CF70" s="16">
        <f t="shared" ref="CF70:CG77" si="178">IFERROR(CF38/CE38*100-100,"")</f>
        <v>0.12766514833590747</v>
      </c>
      <c r="CG70" s="16">
        <f t="shared" si="178"/>
        <v>3.5161204548663108</v>
      </c>
      <c r="CH70" s="16">
        <f>IFERROR(CH38/CC38*100-100,"")</f>
        <v>3.8037889304888779</v>
      </c>
      <c r="CI70" s="16">
        <f>IFERROR(CI38/CG38*100-100,"")</f>
        <v>-0.31669998848616387</v>
      </c>
      <c r="CJ70" s="16">
        <f>IFERROR(CJ38/CI38*100-100,"")</f>
        <v>0.392404030970539</v>
      </c>
      <c r="CK70" s="16">
        <f t="shared" ref="CK70:CL77" si="179">IFERROR(CK38/CJ38*100-100,"")</f>
        <v>0.14203664723714837</v>
      </c>
      <c r="CL70" s="16">
        <f t="shared" si="179"/>
        <v>3.7856668979282517</v>
      </c>
      <c r="CM70" s="16">
        <f>IFERROR(CM38/CH38*100-100,"")</f>
        <v>3.7965455183498875</v>
      </c>
      <c r="CN70" s="16">
        <f>IFERROR(CN38/CL38*100-100,"")</f>
        <v>-100</v>
      </c>
      <c r="CO70" s="16" t="str">
        <f>IFERROR(CO38/CN38*100-100,"")</f>
        <v/>
      </c>
      <c r="CP70" s="16" t="str">
        <f t="shared" ref="CP70:CQ77" si="180">IFERROR(CP38/CO38*100-100,"")</f>
        <v/>
      </c>
      <c r="CQ70" s="16" t="str">
        <f t="shared" si="180"/>
        <v/>
      </c>
      <c r="CR70" s="16">
        <f>IFERROR(CR38/CM38*100-100,"")</f>
        <v>-100</v>
      </c>
    </row>
    <row r="71" spans="1:96" s="9" customFormat="1" ht="15" x14ac:dyDescent="0.4">
      <c r="A71" s="18" t="s">
        <v>80</v>
      </c>
      <c r="B71" s="38"/>
      <c r="C71" s="39">
        <f>IFERROR(C39/B39*100-100,"")</f>
        <v>1.0895212535875061</v>
      </c>
      <c r="D71" s="39">
        <f t="shared" si="162"/>
        <v>2.7637381701779447</v>
      </c>
      <c r="E71" s="39">
        <f t="shared" si="162"/>
        <v>2.1222195522108507</v>
      </c>
      <c r="F71" s="38"/>
      <c r="G71" s="39">
        <f>IFERROR(G39/E39*100-100,"")</f>
        <v>-1.5656439377677458</v>
      </c>
      <c r="H71" s="39">
        <f>IFERROR(H39/G39*100-100,"")</f>
        <v>2.6561851693602421</v>
      </c>
      <c r="I71" s="39">
        <f t="shared" si="163"/>
        <v>5.1599789255696464</v>
      </c>
      <c r="J71" s="39">
        <f t="shared" si="163"/>
        <v>3.8094926505209799</v>
      </c>
      <c r="K71" s="40">
        <f>IFERROR(K39/F39*100-100,"")</f>
        <v>7.3775482311147584</v>
      </c>
      <c r="L71" s="39">
        <f>IFERROR(L39/J39*100-100,"")</f>
        <v>-4.939060674075364</v>
      </c>
      <c r="M71" s="39">
        <f>IFERROR(M39/L39*100-100,"")</f>
        <v>2.8580402965059761</v>
      </c>
      <c r="N71" s="39">
        <f t="shared" si="164"/>
        <v>5.0062892212998378</v>
      </c>
      <c r="O71" s="39">
        <f t="shared" si="164"/>
        <v>5.1083717677541358</v>
      </c>
      <c r="P71" s="40">
        <f>IFERROR(P39/K39*100-100,"")</f>
        <v>6.9629934199783463</v>
      </c>
      <c r="Q71" s="39">
        <f>IFERROR(Q39/O39*100-100,"")</f>
        <v>-8.0746203995629457</v>
      </c>
      <c r="R71" s="39" t="str">
        <f>IFERROR(R39/Q39*100-100,"")</f>
        <v/>
      </c>
      <c r="S71" s="39" t="str">
        <f t="shared" si="165"/>
        <v/>
      </c>
      <c r="T71" s="39">
        <f t="shared" si="165"/>
        <v>0.40451417482442764</v>
      </c>
      <c r="U71" s="40" t="str">
        <f>IFERROR(U39/P39*100-100,"")</f>
        <v/>
      </c>
      <c r="V71" s="39">
        <f>IFERROR(V39/T39*100-100,"")</f>
        <v>-7.2297055125503675</v>
      </c>
      <c r="W71" s="39">
        <f>IFERROR(W39/V39*100-100,"")</f>
        <v>5.0478604607896642</v>
      </c>
      <c r="X71" s="39">
        <f t="shared" si="166"/>
        <v>5.8397422169752957</v>
      </c>
      <c r="Y71" s="39">
        <f t="shared" si="166"/>
        <v>1.3445899923683982</v>
      </c>
      <c r="Z71" s="40" t="str">
        <f>IFERROR(Z39/U39*100-100,"")</f>
        <v/>
      </c>
      <c r="AA71" s="39">
        <f>IFERROR(AA39/Y39*100-100,"")</f>
        <v>-6.4940052846554011</v>
      </c>
      <c r="AB71" s="39">
        <f>IFERROR(AB39/AA39*100-100,"")</f>
        <v>4.8383393805650883</v>
      </c>
      <c r="AC71" s="39">
        <f t="shared" si="167"/>
        <v>6.0135514407975137</v>
      </c>
      <c r="AD71" s="39">
        <f t="shared" si="167"/>
        <v>3.9888244484592548</v>
      </c>
      <c r="AE71" s="40">
        <f>IFERROR(AE39/Z39*100-100,"")</f>
        <v>6.0109641785178241</v>
      </c>
      <c r="AF71" s="39">
        <f>IFERROR(AF39/AD39*100-100,"")</f>
        <v>-6.2173615617074063</v>
      </c>
      <c r="AG71" s="39">
        <f>IFERROR(AG39/AF39*100-100,"")</f>
        <v>4.132154644033406</v>
      </c>
      <c r="AH71" s="39">
        <f t="shared" si="168"/>
        <v>4.9345681360185978</v>
      </c>
      <c r="AI71" s="39">
        <f t="shared" si="168"/>
        <v>6.2009255215739216</v>
      </c>
      <c r="AJ71" s="40">
        <f>IFERROR(AJ39/AE39*100-100,"")</f>
        <v>7.8608740013816742</v>
      </c>
      <c r="AK71" s="39">
        <f>IFERROR(AK39/AI39*100-100,"")</f>
        <v>-5.7772607415078596</v>
      </c>
      <c r="AL71" s="39">
        <f>IFERROR(AL39/AK39*100-100,"")</f>
        <v>4.3862209984030898</v>
      </c>
      <c r="AM71" s="39">
        <f t="shared" si="169"/>
        <v>4.5468700254297119</v>
      </c>
      <c r="AN71" s="39">
        <f t="shared" si="169"/>
        <v>7.648364616069486</v>
      </c>
      <c r="AO71" s="40">
        <f>IFERROR(AO39/AJ39*100-100,"")</f>
        <v>9.7364860628581766</v>
      </c>
      <c r="AP71" s="39">
        <f>IFERROR(AP39/AN39*100-100,"")</f>
        <v>-7.0314191093762872</v>
      </c>
      <c r="AQ71" s="39">
        <f>IFERROR(AQ39/AP39*100-100,"")</f>
        <v>3.6393479717833088</v>
      </c>
      <c r="AR71" s="39">
        <f t="shared" si="170"/>
        <v>1.6290730128427668</v>
      </c>
      <c r="AS71" s="39">
        <f t="shared" si="170"/>
        <v>3.2497908174011343</v>
      </c>
      <c r="AT71" s="40">
        <f>IFERROR(AT39/AO39*100-100,"")</f>
        <v>5.8535282468786107</v>
      </c>
      <c r="AU71" s="39">
        <f>IFERROR(AU39/AS39*100-100,"")</f>
        <v>-5.0204316842298766</v>
      </c>
      <c r="AV71" s="39">
        <f>IFERROR(AV39/AU39*100-100,"")</f>
        <v>4.2577872919968627</v>
      </c>
      <c r="AW71" s="39">
        <f t="shared" si="171"/>
        <v>4.9167536594153063</v>
      </c>
      <c r="AX71" s="39">
        <f t="shared" si="171"/>
        <v>5.2467216181426579</v>
      </c>
      <c r="AY71" s="40">
        <f>IFERROR(AY39/AT39*100-100,"")</f>
        <v>6.0225105381659887</v>
      </c>
      <c r="AZ71" s="39">
        <f>IFERROR(AZ39/AX39*100-100,"")</f>
        <v>-8.235366567284828</v>
      </c>
      <c r="BA71" s="39">
        <f>IFERROR(BA39/AZ39*100-100,"")</f>
        <v>4.3775950197145761</v>
      </c>
      <c r="BB71" s="39">
        <f t="shared" si="172"/>
        <v>5.0209934136600936</v>
      </c>
      <c r="BC71" s="39">
        <f t="shared" si="172"/>
        <v>6.8591389848076716</v>
      </c>
      <c r="BD71" s="40">
        <f>IFERROR(BD39/AY39*100-100,"")</f>
        <v>6.2257544538097278</v>
      </c>
      <c r="BE71" s="39">
        <f>IFERROR(BE39/BC39*100-100,"")</f>
        <v>-7.5079789025579515</v>
      </c>
      <c r="BF71" s="39">
        <f>IFERROR(BF39/BE39*100-100,"")</f>
        <v>4.6560219839688131</v>
      </c>
      <c r="BG71" s="39">
        <f t="shared" si="173"/>
        <v>4.2333857567490583</v>
      </c>
      <c r="BH71" s="39">
        <f t="shared" si="173"/>
        <v>0.42184427703857352</v>
      </c>
      <c r="BI71" s="40">
        <f>IFERROR(BI39/BD39*100-100,"")</f>
        <v>6.3714426276530958</v>
      </c>
      <c r="BJ71" s="39">
        <f>IFERROR(BJ39/BH39*100-100,"")</f>
        <v>-1.8210015945600162</v>
      </c>
      <c r="BK71" s="39">
        <f>IFERROR(BK39/BJ39*100-100,"")</f>
        <v>0.29911181801365672</v>
      </c>
      <c r="BL71" s="39">
        <f t="shared" si="174"/>
        <v>1.0451385490740392</v>
      </c>
      <c r="BM71" s="39">
        <f t="shared" si="174"/>
        <v>0.35750805476783398</v>
      </c>
      <c r="BN71" s="40">
        <f>IFERROR(BN39/BI39*100-100,"")</f>
        <v>2.4871386661794617</v>
      </c>
      <c r="BO71" s="39">
        <f>IFERROR(BO39/BM39*100-100,"")</f>
        <v>-1.1134359596846934</v>
      </c>
      <c r="BP71" s="39">
        <f>IFERROR(BP39/BO39*100-100,"")</f>
        <v>-0.80722664073253725</v>
      </c>
      <c r="BQ71" s="39">
        <f t="shared" si="175"/>
        <v>3.3339040440893086E-2</v>
      </c>
      <c r="BR71" s="39">
        <f t="shared" si="175"/>
        <v>5.8917823623106074</v>
      </c>
      <c r="BS71" s="40">
        <f>IFERROR(BS39/BN39*100-100,"")</f>
        <v>0.61075207652083918</v>
      </c>
      <c r="BT71" s="39">
        <f>IFERROR(BT39/BR39*100-100,"")</f>
        <v>-0.90276422871438911</v>
      </c>
      <c r="BU71" s="39">
        <f>IFERROR(BU39/BT39*100-100,"")</f>
        <v>1.0271047080528461</v>
      </c>
      <c r="BV71" s="39">
        <f t="shared" si="176"/>
        <v>0.34098418429546484</v>
      </c>
      <c r="BW71" s="39">
        <f t="shared" si="176"/>
        <v>2.4569766142509337</v>
      </c>
      <c r="BX71" s="40">
        <f>IFERROR(BX39/BS39*100-100,"")</f>
        <v>4.8383643645700829</v>
      </c>
      <c r="BY71" s="39">
        <f>IFERROR(BY39/BW39*100-100,"")</f>
        <v>-1.822526432907722</v>
      </c>
      <c r="BZ71" s="39">
        <f>IFERROR(BZ39/BY39*100-100,"")</f>
        <v>1.6153210320064346</v>
      </c>
      <c r="CA71" s="39">
        <f t="shared" si="177"/>
        <v>0.25428731005668226</v>
      </c>
      <c r="CB71" s="39">
        <f t="shared" si="177"/>
        <v>2.7755258944240211</v>
      </c>
      <c r="CC71" s="40">
        <f>IFERROR(CC39/BX39*100-100,"")</f>
        <v>2.4535994908411567</v>
      </c>
      <c r="CD71" s="39">
        <f>IFERROR(CD39/CB39*100-100,"")</f>
        <v>0.25311921411346816</v>
      </c>
      <c r="CE71" s="39">
        <f>IFERROR(CE39/CD39*100-100,"")</f>
        <v>0.40803218305475752</v>
      </c>
      <c r="CF71" s="39">
        <f t="shared" si="178"/>
        <v>2.9669475275511559E-2</v>
      </c>
      <c r="CG71" s="39">
        <f t="shared" si="178"/>
        <v>4.0576274496358025</v>
      </c>
      <c r="CH71" s="40">
        <f>IFERROR(CH39/CC39*100-100,"")</f>
        <v>4.238218646884178</v>
      </c>
      <c r="CI71" s="39">
        <f>IFERROR(CI39/CG39*100-100,"")</f>
        <v>4.5083520726606707E-2</v>
      </c>
      <c r="CJ71" s="39">
        <f>IFERROR(CJ39/CI39*100-100,"")</f>
        <v>-2.4036393513597432E-2</v>
      </c>
      <c r="CK71" s="39">
        <f t="shared" si="179"/>
        <v>0.15643055649468351</v>
      </c>
      <c r="CL71" s="39">
        <f t="shared" si="179"/>
        <v>4.2608439446067052</v>
      </c>
      <c r="CM71" s="40">
        <f>IFERROR(CM39/CH39*100-100,"")</f>
        <v>4.3405876941153423</v>
      </c>
      <c r="CN71" s="39">
        <f>IFERROR(CN39/CL39*100-100,"")</f>
        <v>-100</v>
      </c>
      <c r="CO71" s="39" t="str">
        <f>IFERROR(CO39/CN39*100-100,"")</f>
        <v/>
      </c>
      <c r="CP71" s="39" t="str">
        <f t="shared" si="180"/>
        <v/>
      </c>
      <c r="CQ71" s="39" t="str">
        <f t="shared" si="180"/>
        <v/>
      </c>
      <c r="CR71" s="40">
        <f>IFERROR(CR39/CM39*100-100,"")</f>
        <v>-100</v>
      </c>
    </row>
    <row r="72" spans="1:96" s="9" customFormat="1" ht="15" x14ac:dyDescent="0.4">
      <c r="A72" s="18" t="s">
        <v>81</v>
      </c>
      <c r="B72" s="41"/>
      <c r="C72" s="39">
        <f t="shared" ref="C72:E77" si="181">IFERROR(C40/B40*100-100,"")</f>
        <v>8.4392722209645257</v>
      </c>
      <c r="D72" s="39">
        <f t="shared" si="181"/>
        <v>12.791114902674309</v>
      </c>
      <c r="E72" s="39">
        <f t="shared" si="181"/>
        <v>18.996805011282561</v>
      </c>
      <c r="F72" s="38"/>
      <c r="G72" s="39">
        <f t="shared" ref="G72:G77" si="182">IFERROR(G40/E40*100-100,"")</f>
        <v>7.1815142508288687</v>
      </c>
      <c r="H72" s="39">
        <f t="shared" ref="H72:J77" si="183">IFERROR(H40/G40*100-100,"")</f>
        <v>12.251186773591783</v>
      </c>
      <c r="I72" s="39">
        <f t="shared" si="183"/>
        <v>14.14396257395137</v>
      </c>
      <c r="J72" s="39">
        <f t="shared" si="183"/>
        <v>11.520473685591725</v>
      </c>
      <c r="K72" s="40">
        <f t="shared" ref="K72:K77" si="184">IFERROR(K40/F40*100-100,"")</f>
        <v>58.281321215588264</v>
      </c>
      <c r="L72" s="39">
        <f t="shared" ref="L72:L77" si="185">IFERROR(L40/J40*100-100,"")</f>
        <v>-11.864638371437763</v>
      </c>
      <c r="M72" s="39">
        <f t="shared" ref="M72:O77" si="186">IFERROR(M40/L40*100-100,"")</f>
        <v>-3.0465728720400875</v>
      </c>
      <c r="N72" s="39">
        <f t="shared" si="186"/>
        <v>1.0612113875148452</v>
      </c>
      <c r="O72" s="39">
        <f t="shared" si="186"/>
        <v>5.594082043147182</v>
      </c>
      <c r="P72" s="40">
        <f t="shared" ref="P72:P77" si="187">IFERROR(P40/K40*100-100,"")</f>
        <v>3.8195458936250049</v>
      </c>
      <c r="Q72" s="39">
        <f t="shared" ref="Q72:Q77" si="188">IFERROR(Q40/O40*100-100,"")</f>
        <v>-8.6706143697564357</v>
      </c>
      <c r="R72" s="39" t="str">
        <f t="shared" ref="R72:T77" si="189">IFERROR(R40/Q40*100-100,"")</f>
        <v/>
      </c>
      <c r="S72" s="39" t="str">
        <f t="shared" si="189"/>
        <v/>
      </c>
      <c r="T72" s="39">
        <f t="shared" si="189"/>
        <v>10.091544738615539</v>
      </c>
      <c r="U72" s="40" t="str">
        <f t="shared" ref="U72:U77" si="190">IFERROR(U40/P40*100-100,"")</f>
        <v/>
      </c>
      <c r="V72" s="39">
        <f t="shared" ref="V72:V77" si="191">IFERROR(V40/T40*100-100,"")</f>
        <v>-11.945701698539963</v>
      </c>
      <c r="W72" s="39">
        <f t="shared" ref="W72:Y77" si="192">IFERROR(W40/V40*100-100,"")</f>
        <v>4.8051152047617052</v>
      </c>
      <c r="X72" s="39">
        <f t="shared" si="192"/>
        <v>9.1695037301200273</v>
      </c>
      <c r="Y72" s="39">
        <f t="shared" si="192"/>
        <v>9.2195366555398977</v>
      </c>
      <c r="Z72" s="40" t="str">
        <f t="shared" ref="Z72:Z77" si="193">IFERROR(Z40/U40*100-100,"")</f>
        <v/>
      </c>
      <c r="AA72" s="39">
        <f t="shared" ref="AA72:AA77" si="194">IFERROR(AA40/Y40*100-100,"")</f>
        <v>-13.244086467718404</v>
      </c>
      <c r="AB72" s="39">
        <f t="shared" ref="AB72:AD77" si="195">IFERROR(AB40/AA40*100-100,"")</f>
        <v>2.4817203433584751</v>
      </c>
      <c r="AC72" s="39">
        <f t="shared" si="195"/>
        <v>5.0075103257427855</v>
      </c>
      <c r="AD72" s="39">
        <f t="shared" si="195"/>
        <v>7.8022409866910891</v>
      </c>
      <c r="AE72" s="40">
        <f t="shared" ref="AE72:AE77" si="196">IFERROR(AE40/Z40*100-100,"")</f>
        <v>4.0008357052648336</v>
      </c>
      <c r="AF72" s="39">
        <f t="shared" ref="AF72:AF77" si="197">IFERROR(AF40/AD40*100-100,"")</f>
        <v>-11.550749948489198</v>
      </c>
      <c r="AG72" s="39">
        <f t="shared" ref="AG72:AI77" si="198">IFERROR(AG40/AF40*100-100,"")</f>
        <v>5.04486999232941</v>
      </c>
      <c r="AH72" s="39">
        <f t="shared" si="198"/>
        <v>6.0602594384070443</v>
      </c>
      <c r="AI72" s="39">
        <f t="shared" si="198"/>
        <v>9.1391204386274865</v>
      </c>
      <c r="AJ72" s="40">
        <f t="shared" ref="AJ72:AJ77" si="199">IFERROR(AJ40/AE40*100-100,"")</f>
        <v>5.4858858799808417</v>
      </c>
      <c r="AK72" s="39">
        <f t="shared" ref="AK72:AK77" si="200">IFERROR(AK40/AI40*100-100,"")</f>
        <v>-13.740420471108493</v>
      </c>
      <c r="AL72" s="39">
        <f t="shared" ref="AL72:AN77" si="201">IFERROR(AL40/AK40*100-100,"")</f>
        <v>5.9365139811038006</v>
      </c>
      <c r="AM72" s="39">
        <f t="shared" si="201"/>
        <v>6.7796069111570461</v>
      </c>
      <c r="AN72" s="39">
        <f t="shared" si="201"/>
        <v>9.2465384255372243</v>
      </c>
      <c r="AO72" s="40">
        <f t="shared" ref="AO72:AO77" si="202">IFERROR(AO40/AJ40*100-100,"")</f>
        <v>5.9832163380124683</v>
      </c>
      <c r="AP72" s="39">
        <f t="shared" ref="AP72:AP77" si="203">IFERROR(AP40/AN40*100-100,"")</f>
        <v>-9.8418022763074049</v>
      </c>
      <c r="AQ72" s="39">
        <f t="shared" ref="AQ72:AS77" si="204">IFERROR(AQ40/AP40*100-100,"")</f>
        <v>2.3411309066967192</v>
      </c>
      <c r="AR72" s="39">
        <f t="shared" si="204"/>
        <v>3.5976386731107795</v>
      </c>
      <c r="AS72" s="39">
        <f t="shared" si="204"/>
        <v>8.0498455609999269</v>
      </c>
      <c r="AT72" s="40">
        <f t="shared" ref="AT72:AT77" si="205">IFERROR(AT40/AO40*100-100,"")</f>
        <v>6.4542349815184679</v>
      </c>
      <c r="AU72" s="39">
        <f t="shared" ref="AU72:AU77" si="206">IFERROR(AU40/AS40*100-100,"")</f>
        <v>-9.4143034804136079</v>
      </c>
      <c r="AV72" s="39">
        <f t="shared" ref="AV72:AX77" si="207">IFERROR(AV40/AU40*100-100,"")</f>
        <v>2.935468407227944</v>
      </c>
      <c r="AW72" s="39">
        <f t="shared" si="207"/>
        <v>2.8371960109262915</v>
      </c>
      <c r="AX72" s="39">
        <f t="shared" si="207"/>
        <v>5.9334088228113302</v>
      </c>
      <c r="AY72" s="40">
        <f t="shared" ref="AY72:AY77" si="208">IFERROR(AY40/AT40*100-100,"")</f>
        <v>3.2837084430982912</v>
      </c>
      <c r="AZ72" s="39">
        <f t="shared" ref="AZ72:AZ77" si="209">IFERROR(AZ40/AX40*100-100,"")</f>
        <v>-5.9649647017353971</v>
      </c>
      <c r="BA72" s="39">
        <f t="shared" ref="BA72:BC77" si="210">IFERROR(BA40/AZ40*100-100,"")</f>
        <v>3.6141928212571486</v>
      </c>
      <c r="BB72" s="39">
        <f t="shared" si="210"/>
        <v>2.2811769200749268</v>
      </c>
      <c r="BC72" s="39">
        <f t="shared" si="210"/>
        <v>7.3114928763354072</v>
      </c>
      <c r="BD72" s="40">
        <f t="shared" ref="BD72:BD77" si="211">IFERROR(BD40/AY40*100-100,"")</f>
        <v>6.0466576481460947</v>
      </c>
      <c r="BE72" s="39">
        <f t="shared" ref="BE72:BE77" si="212">IFERROR(BE40/BC40*100-100,"")</f>
        <v>-7.0125781093711765</v>
      </c>
      <c r="BF72" s="39">
        <f t="shared" ref="BF72:BH77" si="213">IFERROR(BF40/BE40*100-100,"")</f>
        <v>7.566071078504379</v>
      </c>
      <c r="BG72" s="39">
        <f t="shared" si="213"/>
        <v>-2.8739479764070097E-2</v>
      </c>
      <c r="BH72" s="39">
        <f t="shared" si="213"/>
        <v>5.9812111720775505</v>
      </c>
      <c r="BI72" s="40">
        <f t="shared" ref="BI72:BI77" si="214">IFERROR(BI40/BD40*100-100,"")</f>
        <v>7.1876371499212155</v>
      </c>
      <c r="BJ72" s="39">
        <f t="shared" ref="BJ72:BJ77" si="215">IFERROR(BJ40/BH40*100-100,"")</f>
        <v>-9.2718339890688952</v>
      </c>
      <c r="BK72" s="39">
        <f t="shared" ref="BK72:BM77" si="216">IFERROR(BK40/BJ40*100-100,"")</f>
        <v>-17.316199506717354</v>
      </c>
      <c r="BL72" s="39">
        <f t="shared" si="216"/>
        <v>-8.7018747249314288</v>
      </c>
      <c r="BM72" s="39">
        <f t="shared" si="216"/>
        <v>1.1148999355923763</v>
      </c>
      <c r="BN72" s="40">
        <f t="shared" ref="BN72:BN77" si="217">IFERROR(BN40/BI40*100-100,"")</f>
        <v>-19.388869927942608</v>
      </c>
      <c r="BO72" s="39">
        <f t="shared" ref="BO72:BO77" si="218">IFERROR(BO40/BM40*100-100,"")</f>
        <v>-6.7987836956929186</v>
      </c>
      <c r="BP72" s="39">
        <f t="shared" ref="BP72:BR77" si="219">IFERROR(BP40/BO40*100-100,"")</f>
        <v>8.9292117411960561</v>
      </c>
      <c r="BQ72" s="39">
        <f t="shared" si="219"/>
        <v>-2.7498273085523266</v>
      </c>
      <c r="BR72" s="39">
        <f t="shared" si="219"/>
        <v>3.0662690366028329</v>
      </c>
      <c r="BS72" s="40">
        <f t="shared" ref="BS72:BS77" si="220">IFERROR(BS40/BN40*100-100,"")</f>
        <v>-9.8156554384051731</v>
      </c>
      <c r="BT72" s="39">
        <f t="shared" ref="BT72:BT77" si="221">IFERROR(BT40/BR40*100-100,"")</f>
        <v>-7.6384189788418837</v>
      </c>
      <c r="BU72" s="39">
        <f t="shared" ref="BU72:BW77" si="222">IFERROR(BU40/BT40*100-100,"")</f>
        <v>9.4721285194696776</v>
      </c>
      <c r="BV72" s="39">
        <f t="shared" si="222"/>
        <v>0.50805386374881323</v>
      </c>
      <c r="BW72" s="39">
        <f t="shared" si="222"/>
        <v>3.3631829052557407</v>
      </c>
      <c r="BX72" s="40">
        <f t="shared" ref="BX72:BX77" si="223">IFERROR(BX40/BS40*100-100,"")</f>
        <v>3.0263463456867044</v>
      </c>
      <c r="BY72" s="39">
        <f t="shared" ref="BY72:BY77" si="224">IFERROR(BY40/BW40*100-100,"")</f>
        <v>-4.1421768991020258</v>
      </c>
      <c r="BZ72" s="39">
        <f t="shared" ref="BZ72:CB77" si="225">IFERROR(BZ40/BY40*100-100,"")</f>
        <v>1.447700954924386</v>
      </c>
      <c r="CA72" s="39">
        <f t="shared" si="225"/>
        <v>0.11486989853075613</v>
      </c>
      <c r="CB72" s="39">
        <f t="shared" si="225"/>
        <v>3.0655866933590374</v>
      </c>
      <c r="CC72" s="40">
        <f t="shared" ref="CC72:CC77" si="226">IFERROR(CC40/BX40*100-100,"")</f>
        <v>2.5911496376975123</v>
      </c>
      <c r="CD72" s="39">
        <f t="shared" ref="CD72:CD77" si="227">IFERROR(CD40/CB40*100-100,"")</f>
        <v>0.24223653904329012</v>
      </c>
      <c r="CE72" s="39">
        <f t="shared" ref="CE72:CE77" si="228">IFERROR(CE40/CD40*100-100,"")</f>
        <v>0.24548244371051453</v>
      </c>
      <c r="CF72" s="39">
        <f t="shared" si="178"/>
        <v>-0.44735151616428936</v>
      </c>
      <c r="CG72" s="39">
        <f t="shared" si="178"/>
        <v>4.4013605638057811</v>
      </c>
      <c r="CH72" s="40">
        <f t="shared" ref="CH72:CH77" si="229">IFERROR(CH40/CC40*100-100,"")</f>
        <v>4.0413885566053835</v>
      </c>
      <c r="CI72" s="39">
        <f t="shared" ref="CI72:CI77" si="230">IFERROR(CI40/CG40*100-100,"")</f>
        <v>-0.75491316014570486</v>
      </c>
      <c r="CJ72" s="39">
        <f t="shared" ref="CJ72:CJ77" si="231">IFERROR(CJ40/CI40*100-100,"")</f>
        <v>0.26113812629205313</v>
      </c>
      <c r="CK72" s="39">
        <f t="shared" si="179"/>
        <v>-1.0379111492461561</v>
      </c>
      <c r="CL72" s="39">
        <f t="shared" si="179"/>
        <v>7.1120354022237109</v>
      </c>
      <c r="CM72" s="40">
        <f t="shared" ref="CM72:CM77" si="232">IFERROR(CM40/CH40*100-100,"")</f>
        <v>3.7934754973955904</v>
      </c>
      <c r="CN72" s="39">
        <f t="shared" ref="CN72:CN77" si="233">IFERROR(CN40/CL40*100-100,"")</f>
        <v>-100</v>
      </c>
      <c r="CO72" s="39" t="str">
        <f t="shared" ref="CO72:CO77" si="234">IFERROR(CO40/CN40*100-100,"")</f>
        <v/>
      </c>
      <c r="CP72" s="39" t="str">
        <f t="shared" si="180"/>
        <v/>
      </c>
      <c r="CQ72" s="39" t="str">
        <f t="shared" si="180"/>
        <v/>
      </c>
      <c r="CR72" s="40">
        <f t="shared" ref="CR72:CR77" si="235">IFERROR(CR40/CM40*100-100,"")</f>
        <v>-100</v>
      </c>
    </row>
    <row r="73" spans="1:96" s="9" customFormat="1" ht="15" x14ac:dyDescent="0.4">
      <c r="A73" s="18" t="s">
        <v>82</v>
      </c>
      <c r="B73" s="38"/>
      <c r="C73" s="39">
        <f t="shared" si="181"/>
        <v>5.324612946562695</v>
      </c>
      <c r="D73" s="39">
        <f t="shared" si="181"/>
        <v>5.1410525242249463</v>
      </c>
      <c r="E73" s="39">
        <f t="shared" si="181"/>
        <v>8.1204211521946235</v>
      </c>
      <c r="F73" s="38"/>
      <c r="G73" s="39">
        <f t="shared" si="182"/>
        <v>-9.3814079928290113</v>
      </c>
      <c r="H73" s="39">
        <f t="shared" si="183"/>
        <v>1.171433731967781</v>
      </c>
      <c r="I73" s="39">
        <f t="shared" si="183"/>
        <v>5.0201982189226726</v>
      </c>
      <c r="J73" s="39">
        <f t="shared" si="183"/>
        <v>-0.64210296480283091</v>
      </c>
      <c r="K73" s="40">
        <f t="shared" si="184"/>
        <v>2.8214384733926039</v>
      </c>
      <c r="L73" s="39">
        <f t="shared" si="185"/>
        <v>-5.4177314851786491</v>
      </c>
      <c r="M73" s="39">
        <f t="shared" si="186"/>
        <v>-0.70217701865800564</v>
      </c>
      <c r="N73" s="39">
        <f t="shared" si="186"/>
        <v>5.4954607475009141</v>
      </c>
      <c r="O73" s="39">
        <f t="shared" si="186"/>
        <v>6.5525659125843987</v>
      </c>
      <c r="P73" s="40">
        <f t="shared" si="187"/>
        <v>0.49705027905746135</v>
      </c>
      <c r="Q73" s="39">
        <f t="shared" si="188"/>
        <v>-9.5543766027410726</v>
      </c>
      <c r="R73" s="39" t="str">
        <f t="shared" si="189"/>
        <v/>
      </c>
      <c r="S73" s="39" t="str">
        <f t="shared" si="189"/>
        <v/>
      </c>
      <c r="T73" s="39">
        <f t="shared" si="189"/>
        <v>7.967325133120255</v>
      </c>
      <c r="U73" s="40" t="str">
        <f t="shared" si="190"/>
        <v/>
      </c>
      <c r="V73" s="39">
        <f t="shared" si="191"/>
        <v>-9.6695154907466758</v>
      </c>
      <c r="W73" s="39">
        <f t="shared" si="192"/>
        <v>0.41285372765342743</v>
      </c>
      <c r="X73" s="39">
        <f t="shared" si="192"/>
        <v>6.2891995169990906</v>
      </c>
      <c r="Y73" s="39">
        <f t="shared" si="192"/>
        <v>6.4134643119190287</v>
      </c>
      <c r="Z73" s="40" t="str">
        <f t="shared" si="193"/>
        <v/>
      </c>
      <c r="AA73" s="39">
        <f t="shared" si="194"/>
        <v>-7.1933221254667075</v>
      </c>
      <c r="AB73" s="39">
        <f t="shared" si="195"/>
        <v>3.1168463345030943</v>
      </c>
      <c r="AC73" s="39">
        <f t="shared" si="195"/>
        <v>4.5310633141738066</v>
      </c>
      <c r="AD73" s="39">
        <f t="shared" si="195"/>
        <v>4.7517231520247236</v>
      </c>
      <c r="AE73" s="40">
        <f t="shared" si="196"/>
        <v>6.1807462040760726</v>
      </c>
      <c r="AF73" s="39">
        <f t="shared" si="197"/>
        <v>-8.9767278345384938</v>
      </c>
      <c r="AG73" s="39">
        <f t="shared" si="198"/>
        <v>4.0492268397619</v>
      </c>
      <c r="AH73" s="39">
        <f t="shared" si="198"/>
        <v>6.6918759883189125</v>
      </c>
      <c r="AI73" s="39">
        <f t="shared" si="198"/>
        <v>6.3544924906993003</v>
      </c>
      <c r="AJ73" s="40">
        <f t="shared" si="199"/>
        <v>5.0330948395525894</v>
      </c>
      <c r="AK73" s="39">
        <f t="shared" si="200"/>
        <v>-7.2330141343429233</v>
      </c>
      <c r="AL73" s="39">
        <f t="shared" si="201"/>
        <v>4.0055621594109709</v>
      </c>
      <c r="AM73" s="39">
        <f t="shared" si="201"/>
        <v>3.1109198493333992</v>
      </c>
      <c r="AN73" s="39">
        <f t="shared" si="201"/>
        <v>5.4957172108286443</v>
      </c>
      <c r="AO73" s="40">
        <f t="shared" si="202"/>
        <v>7.3148851462555342</v>
      </c>
      <c r="AP73" s="39">
        <f t="shared" si="203"/>
        <v>-5.9544784466049663</v>
      </c>
      <c r="AQ73" s="39">
        <f t="shared" si="204"/>
        <v>2.0229369914074482</v>
      </c>
      <c r="AR73" s="39">
        <f t="shared" si="204"/>
        <v>1.8158200838296068</v>
      </c>
      <c r="AS73" s="39">
        <f t="shared" si="204"/>
        <v>5.2004312544405451</v>
      </c>
      <c r="AT73" s="40">
        <f t="shared" si="205"/>
        <v>4.0902248132690318</v>
      </c>
      <c r="AU73" s="39">
        <f t="shared" si="206"/>
        <v>-5.2926543859714315</v>
      </c>
      <c r="AV73" s="39">
        <f t="shared" si="207"/>
        <v>1.8859183195084768</v>
      </c>
      <c r="AW73" s="39">
        <f t="shared" si="207"/>
        <v>1.7800432487041604</v>
      </c>
      <c r="AX73" s="39">
        <f t="shared" si="207"/>
        <v>2.9829240381968418</v>
      </c>
      <c r="AY73" s="40">
        <f t="shared" si="208"/>
        <v>2.7964001627236001</v>
      </c>
      <c r="AZ73" s="39">
        <f t="shared" si="209"/>
        <v>-6.7654851903440942</v>
      </c>
      <c r="BA73" s="39">
        <f t="shared" si="210"/>
        <v>2.6981864893499363</v>
      </c>
      <c r="BB73" s="39">
        <f t="shared" si="210"/>
        <v>1.4070169295210349</v>
      </c>
      <c r="BC73" s="39">
        <f t="shared" si="210"/>
        <v>3.6078181138491345</v>
      </c>
      <c r="BD73" s="40">
        <f t="shared" si="211"/>
        <v>0.13843356271019047</v>
      </c>
      <c r="BE73" s="39">
        <f t="shared" si="212"/>
        <v>-4.4018698694113709</v>
      </c>
      <c r="BF73" s="39">
        <f t="shared" si="213"/>
        <v>3.7240117688871521</v>
      </c>
      <c r="BG73" s="39">
        <f t="shared" si="213"/>
        <v>2.1336480934873521</v>
      </c>
      <c r="BH73" s="39">
        <f t="shared" si="213"/>
        <v>2.1517983703942321</v>
      </c>
      <c r="BI73" s="40">
        <f t="shared" si="214"/>
        <v>3.930778445738099</v>
      </c>
      <c r="BJ73" s="39">
        <f t="shared" si="215"/>
        <v>-3.2994271619840703</v>
      </c>
      <c r="BK73" s="39">
        <f t="shared" si="216"/>
        <v>-1.6601979066520016</v>
      </c>
      <c r="BL73" s="39">
        <f t="shared" si="216"/>
        <v>-0.86273421802168571</v>
      </c>
      <c r="BM73" s="39">
        <f t="shared" si="216"/>
        <v>5.437768594408638</v>
      </c>
      <c r="BN73" s="40">
        <f t="shared" si="217"/>
        <v>-0.17546569755751307</v>
      </c>
      <c r="BO73" s="39">
        <f t="shared" si="218"/>
        <v>-0.16524295111763365</v>
      </c>
      <c r="BP73" s="39">
        <f t="shared" si="219"/>
        <v>1.019125245669855</v>
      </c>
      <c r="BQ73" s="39">
        <f t="shared" si="219"/>
        <v>-0.287616283810749</v>
      </c>
      <c r="BR73" s="39">
        <f t="shared" si="219"/>
        <v>0.8469305895915511</v>
      </c>
      <c r="BS73" s="40">
        <f t="shared" si="220"/>
        <v>3.8342718347079199</v>
      </c>
      <c r="BT73" s="39">
        <f t="shared" si="221"/>
        <v>-2.8487478451250894</v>
      </c>
      <c r="BU73" s="39">
        <f t="shared" si="222"/>
        <v>3.553389757367853</v>
      </c>
      <c r="BV73" s="39">
        <f t="shared" si="222"/>
        <v>4.2031363385754474</v>
      </c>
      <c r="BW73" s="39">
        <f t="shared" si="222"/>
        <v>1.8820416549170034</v>
      </c>
      <c r="BX73" s="40">
        <f t="shared" si="223"/>
        <v>3.1084645650000198</v>
      </c>
      <c r="BY73" s="39">
        <f t="shared" si="224"/>
        <v>-3.4238437877471313</v>
      </c>
      <c r="BZ73" s="39">
        <f t="shared" si="225"/>
        <v>0.42600928496008805</v>
      </c>
      <c r="CA73" s="39">
        <f t="shared" si="225"/>
        <v>1.4283414036827509</v>
      </c>
      <c r="CB73" s="39">
        <f t="shared" si="225"/>
        <v>1.8876137162720852</v>
      </c>
      <c r="CC73" s="40">
        <f t="shared" si="226"/>
        <v>2.3111026013526583</v>
      </c>
      <c r="CD73" s="39">
        <f t="shared" si="227"/>
        <v>-0.97667099349139619</v>
      </c>
      <c r="CE73" s="39">
        <f t="shared" si="228"/>
        <v>-0.81628252889493069</v>
      </c>
      <c r="CF73" s="39">
        <f t="shared" si="178"/>
        <v>-5.1207829647580638E-2</v>
      </c>
      <c r="CG73" s="39">
        <f t="shared" si="178"/>
        <v>1.9149506031232306</v>
      </c>
      <c r="CH73" s="40">
        <f t="shared" si="229"/>
        <v>1.0683970608266691</v>
      </c>
      <c r="CI73" s="39">
        <f t="shared" si="230"/>
        <v>-2.0699301490012374</v>
      </c>
      <c r="CJ73" s="39">
        <f t="shared" si="231"/>
        <v>0.6190739152332867</v>
      </c>
      <c r="CK73" s="39">
        <f t="shared" si="179"/>
        <v>1.5187912971683915</v>
      </c>
      <c r="CL73" s="39">
        <f t="shared" si="179"/>
        <v>1.9663293858030499</v>
      </c>
      <c r="CM73" s="40">
        <f t="shared" si="232"/>
        <v>0.81654519756966693</v>
      </c>
      <c r="CN73" s="39">
        <f t="shared" si="233"/>
        <v>-100</v>
      </c>
      <c r="CO73" s="39" t="str">
        <f t="shared" si="234"/>
        <v/>
      </c>
      <c r="CP73" s="39" t="str">
        <f t="shared" si="180"/>
        <v/>
      </c>
      <c r="CQ73" s="39" t="str">
        <f t="shared" si="180"/>
        <v/>
      </c>
      <c r="CR73" s="40">
        <f t="shared" si="235"/>
        <v>-100</v>
      </c>
    </row>
    <row r="74" spans="1:96" s="9" customFormat="1" ht="15" x14ac:dyDescent="0.4">
      <c r="A74" s="18" t="s">
        <v>83</v>
      </c>
      <c r="B74" s="41"/>
      <c r="C74" s="39">
        <f t="shared" si="181"/>
        <v>4.2327115426615336</v>
      </c>
      <c r="D74" s="39">
        <f t="shared" si="181"/>
        <v>9.0778920875708309</v>
      </c>
      <c r="E74" s="39">
        <f t="shared" si="181"/>
        <v>0.61277746482876694</v>
      </c>
      <c r="F74" s="38"/>
      <c r="G74" s="39">
        <f t="shared" si="182"/>
        <v>-8.7645204663436118</v>
      </c>
      <c r="H74" s="39">
        <f t="shared" si="183"/>
        <v>3.9505245385695673</v>
      </c>
      <c r="I74" s="39">
        <f t="shared" si="183"/>
        <v>7.5563954216628417</v>
      </c>
      <c r="J74" s="39">
        <f t="shared" si="183"/>
        <v>2.2039798269713771</v>
      </c>
      <c r="K74" s="40">
        <f t="shared" si="184"/>
        <v>3.8119927241650373</v>
      </c>
      <c r="L74" s="39">
        <f t="shared" si="185"/>
        <v>-4.3817593675648254</v>
      </c>
      <c r="M74" s="39">
        <f t="shared" si="186"/>
        <v>-3.5908937428554708</v>
      </c>
      <c r="N74" s="39">
        <f t="shared" si="186"/>
        <v>5.9933239634115409</v>
      </c>
      <c r="O74" s="39">
        <f t="shared" si="186"/>
        <v>4.4848043952759014</v>
      </c>
      <c r="P74" s="40">
        <f t="shared" si="187"/>
        <v>2.9970979421715072</v>
      </c>
      <c r="Q74" s="39">
        <f t="shared" si="188"/>
        <v>-6.1842582166734843</v>
      </c>
      <c r="R74" s="39" t="str">
        <f t="shared" si="189"/>
        <v/>
      </c>
      <c r="S74" s="39" t="str">
        <f t="shared" si="189"/>
        <v/>
      </c>
      <c r="T74" s="39">
        <f t="shared" si="189"/>
        <v>-1.1071886846526837</v>
      </c>
      <c r="U74" s="40" t="str">
        <f t="shared" si="190"/>
        <v/>
      </c>
      <c r="V74" s="39">
        <f t="shared" si="191"/>
        <v>-7.9439712760112542</v>
      </c>
      <c r="W74" s="39">
        <f t="shared" si="192"/>
        <v>8.2239292446264471</v>
      </c>
      <c r="X74" s="39">
        <f t="shared" si="192"/>
        <v>8.3932687181219876</v>
      </c>
      <c r="Y74" s="39">
        <f t="shared" si="192"/>
        <v>1.8753498078615252</v>
      </c>
      <c r="Z74" s="40" t="str">
        <f t="shared" si="193"/>
        <v/>
      </c>
      <c r="AA74" s="39">
        <f t="shared" si="194"/>
        <v>-8.9501054311569419</v>
      </c>
      <c r="AB74" s="39">
        <f t="shared" si="195"/>
        <v>3.0072965702106842</v>
      </c>
      <c r="AC74" s="39">
        <f t="shared" si="195"/>
        <v>7.3451746095780663</v>
      </c>
      <c r="AD74" s="39">
        <f t="shared" si="195"/>
        <v>3.2200112363153863</v>
      </c>
      <c r="AE74" s="40">
        <f t="shared" si="196"/>
        <v>4.5755844504758301</v>
      </c>
      <c r="AF74" s="39">
        <f t="shared" si="197"/>
        <v>-4.669574021627426</v>
      </c>
      <c r="AG74" s="39">
        <f t="shared" si="198"/>
        <v>2.4050807276646253</v>
      </c>
      <c r="AH74" s="39">
        <f t="shared" si="198"/>
        <v>4.1407380779967013</v>
      </c>
      <c r="AI74" s="39">
        <f t="shared" si="198"/>
        <v>4.9055793495418527</v>
      </c>
      <c r="AJ74" s="40">
        <f t="shared" si="199"/>
        <v>7.0777534190502109</v>
      </c>
      <c r="AK74" s="39">
        <f t="shared" si="200"/>
        <v>-4.1368445657889623</v>
      </c>
      <c r="AL74" s="39">
        <f t="shared" si="201"/>
        <v>4.4658453494087098</v>
      </c>
      <c r="AM74" s="39">
        <f t="shared" si="201"/>
        <v>4.3114257306911838</v>
      </c>
      <c r="AN74" s="39">
        <f t="shared" si="201"/>
        <v>4.4400692967667652</v>
      </c>
      <c r="AO74" s="40">
        <f t="shared" si="202"/>
        <v>8.8581548738883527</v>
      </c>
      <c r="AP74" s="39">
        <f t="shared" si="203"/>
        <v>-5.3661361825039506</v>
      </c>
      <c r="AQ74" s="39">
        <f t="shared" si="204"/>
        <v>1.8526442456336554</v>
      </c>
      <c r="AR74" s="39">
        <f t="shared" si="204"/>
        <v>1.9740105124231633</v>
      </c>
      <c r="AS74" s="39">
        <f t="shared" si="204"/>
        <v>3.3926786700900777</v>
      </c>
      <c r="AT74" s="40">
        <f t="shared" si="205"/>
        <v>4.1363462118358001</v>
      </c>
      <c r="AU74" s="39">
        <f t="shared" si="206"/>
        <v>-3.0947719611412339</v>
      </c>
      <c r="AV74" s="39">
        <f t="shared" si="207"/>
        <v>5.2802321036715512</v>
      </c>
      <c r="AW74" s="39">
        <f t="shared" si="207"/>
        <v>1.9224016697531709</v>
      </c>
      <c r="AX74" s="39">
        <f t="shared" si="207"/>
        <v>1.0216716207538354</v>
      </c>
      <c r="AY74" s="40">
        <f t="shared" si="208"/>
        <v>6.0491144724637707</v>
      </c>
      <c r="AZ74" s="39">
        <f t="shared" si="209"/>
        <v>-6.0766668419557561</v>
      </c>
      <c r="BA74" s="39">
        <f t="shared" si="210"/>
        <v>4.910747281304964</v>
      </c>
      <c r="BB74" s="39">
        <f t="shared" si="210"/>
        <v>3.8966117616174927</v>
      </c>
      <c r="BC74" s="39">
        <f t="shared" si="210"/>
        <v>3.4948339223643643</v>
      </c>
      <c r="BD74" s="40">
        <f t="shared" si="211"/>
        <v>3.1997278784309628</v>
      </c>
      <c r="BE74" s="39">
        <f t="shared" si="212"/>
        <v>-5.6377390265487577</v>
      </c>
      <c r="BF74" s="39">
        <f t="shared" si="213"/>
        <v>6.6972926754589253</v>
      </c>
      <c r="BG74" s="39">
        <f t="shared" si="213"/>
        <v>5.1515926176122662</v>
      </c>
      <c r="BH74" s="39">
        <f t="shared" si="213"/>
        <v>2.7190850822618415</v>
      </c>
      <c r="BI74" s="40">
        <f t="shared" si="214"/>
        <v>8.2987571372679696</v>
      </c>
      <c r="BJ74" s="39">
        <f t="shared" si="215"/>
        <v>-4.8553758630765884</v>
      </c>
      <c r="BK74" s="39">
        <f t="shared" si="216"/>
        <v>3.3898513888713779</v>
      </c>
      <c r="BL74" s="39">
        <f t="shared" si="216"/>
        <v>5.2133895056811781</v>
      </c>
      <c r="BM74" s="39">
        <f t="shared" si="216"/>
        <v>2.6864615163679133</v>
      </c>
      <c r="BN74" s="40">
        <f t="shared" si="217"/>
        <v>7.056725474354721</v>
      </c>
      <c r="BO74" s="39">
        <f t="shared" si="218"/>
        <v>-10.822666902545507</v>
      </c>
      <c r="BP74" s="39">
        <f t="shared" si="219"/>
        <v>3.7496970240876664</v>
      </c>
      <c r="BQ74" s="39">
        <f t="shared" si="219"/>
        <v>9.1970656428572113</v>
      </c>
      <c r="BR74" s="39">
        <f t="shared" si="219"/>
        <v>-1.2233133115184671</v>
      </c>
      <c r="BS74" s="40">
        <f t="shared" si="220"/>
        <v>0.80577500865138063</v>
      </c>
      <c r="BT74" s="39">
        <f t="shared" si="221"/>
        <v>-2.3202309336946456</v>
      </c>
      <c r="BU74" s="39">
        <f t="shared" si="222"/>
        <v>1.1991353235997195</v>
      </c>
      <c r="BV74" s="39">
        <f t="shared" si="222"/>
        <v>5.6427244964138481</v>
      </c>
      <c r="BW74" s="39">
        <f t="shared" si="222"/>
        <v>0.23952698836293962</v>
      </c>
      <c r="BX74" s="40">
        <f t="shared" si="223"/>
        <v>5.824987649999855</v>
      </c>
      <c r="BY74" s="39">
        <f t="shared" si="224"/>
        <v>-3.6942595263171398</v>
      </c>
      <c r="BZ74" s="39">
        <f t="shared" si="225"/>
        <v>0.92039859573722538</v>
      </c>
      <c r="CA74" s="39">
        <f t="shared" si="225"/>
        <v>3.0087105219426888</v>
      </c>
      <c r="CB74" s="39">
        <f t="shared" si="225"/>
        <v>1.009819639430205</v>
      </c>
      <c r="CC74" s="40">
        <f t="shared" si="226"/>
        <v>1.8669481071616616</v>
      </c>
      <c r="CD74" s="39">
        <f t="shared" si="227"/>
        <v>8.3520614482068822E-2</v>
      </c>
      <c r="CE74" s="39">
        <f t="shared" si="228"/>
        <v>0.64072434173807835</v>
      </c>
      <c r="CF74" s="39">
        <f t="shared" si="178"/>
        <v>0.48073146814384415</v>
      </c>
      <c r="CG74" s="39">
        <f t="shared" si="178"/>
        <v>2.039436716019452</v>
      </c>
      <c r="CH74" s="40">
        <f t="shared" si="229"/>
        <v>3.8298138049423898</v>
      </c>
      <c r="CI74" s="39">
        <f t="shared" si="230"/>
        <v>-0.70981282020755998</v>
      </c>
      <c r="CJ74" s="39">
        <f t="shared" si="231"/>
        <v>2.9275068397617048</v>
      </c>
      <c r="CK74" s="39">
        <f t="shared" si="179"/>
        <v>-0.75818697617904718</v>
      </c>
      <c r="CL74" s="39">
        <f t="shared" si="179"/>
        <v>1.6051884831025092</v>
      </c>
      <c r="CM74" s="40">
        <f t="shared" si="232"/>
        <v>3.443526240388465</v>
      </c>
      <c r="CN74" s="39">
        <f t="shared" si="233"/>
        <v>-100</v>
      </c>
      <c r="CO74" s="39" t="str">
        <f t="shared" si="234"/>
        <v/>
      </c>
      <c r="CP74" s="39" t="str">
        <f t="shared" si="180"/>
        <v/>
      </c>
      <c r="CQ74" s="39" t="str">
        <f t="shared" si="180"/>
        <v/>
      </c>
      <c r="CR74" s="40">
        <f t="shared" si="235"/>
        <v>-100</v>
      </c>
    </row>
    <row r="75" spans="1:96" s="9" customFormat="1" ht="15" x14ac:dyDescent="0.4">
      <c r="A75" s="18" t="s">
        <v>84</v>
      </c>
      <c r="B75" s="38"/>
      <c r="C75" s="39">
        <f t="shared" si="181"/>
        <v>-9.6799824095366205</v>
      </c>
      <c r="D75" s="39">
        <f t="shared" si="181"/>
        <v>4.5777404463928093</v>
      </c>
      <c r="E75" s="39">
        <f t="shared" si="181"/>
        <v>8.6163735486118043</v>
      </c>
      <c r="F75" s="38"/>
      <c r="G75" s="39">
        <f t="shared" si="182"/>
        <v>4.729029215333469E-2</v>
      </c>
      <c r="H75" s="39">
        <f t="shared" si="183"/>
        <v>-8.8994173404591095</v>
      </c>
      <c r="I75" s="39">
        <f t="shared" si="183"/>
        <v>4.5639549253335048</v>
      </c>
      <c r="J75" s="39">
        <f t="shared" si="183"/>
        <v>9.7675540847628355</v>
      </c>
      <c r="K75" s="40">
        <f t="shared" si="184"/>
        <v>3.5833966703862075</v>
      </c>
      <c r="L75" s="39">
        <f t="shared" si="185"/>
        <v>7.58530579401355</v>
      </c>
      <c r="M75" s="39">
        <f t="shared" si="186"/>
        <v>5.4662174082260151</v>
      </c>
      <c r="N75" s="39">
        <f t="shared" si="186"/>
        <v>6.6031494358072251</v>
      </c>
      <c r="O75" s="39">
        <f t="shared" si="186"/>
        <v>9.1384170263118563</v>
      </c>
      <c r="P75" s="40">
        <f t="shared" si="187"/>
        <v>26.790274117554304</v>
      </c>
      <c r="Q75" s="39">
        <f t="shared" si="188"/>
        <v>-11.150699094627697</v>
      </c>
      <c r="R75" s="39" t="str">
        <f t="shared" si="189"/>
        <v/>
      </c>
      <c r="S75" s="39" t="str">
        <f t="shared" si="189"/>
        <v/>
      </c>
      <c r="T75" s="39">
        <f t="shared" si="189"/>
        <v>7.1037789201549657</v>
      </c>
      <c r="U75" s="40" t="str">
        <f t="shared" si="190"/>
        <v/>
      </c>
      <c r="V75" s="39">
        <f t="shared" si="191"/>
        <v>-2.1143779483753491</v>
      </c>
      <c r="W75" s="39">
        <f t="shared" si="192"/>
        <v>-2.3089669424002324</v>
      </c>
      <c r="X75" s="39">
        <f t="shared" si="192"/>
        <v>11.501392953642096</v>
      </c>
      <c r="Y75" s="39">
        <f t="shared" si="192"/>
        <v>11.314973258380519</v>
      </c>
      <c r="Z75" s="40" t="str">
        <f t="shared" si="193"/>
        <v/>
      </c>
      <c r="AA75" s="39">
        <f t="shared" si="194"/>
        <v>-12.12096551780192</v>
      </c>
      <c r="AB75" s="39">
        <f t="shared" si="195"/>
        <v>-1.8311177730105328</v>
      </c>
      <c r="AC75" s="39">
        <f t="shared" si="195"/>
        <v>6.8823733061927896</v>
      </c>
      <c r="AD75" s="39">
        <f t="shared" si="195"/>
        <v>11.146967000286722</v>
      </c>
      <c r="AE75" s="40">
        <f t="shared" si="196"/>
        <v>4.5242470049438879</v>
      </c>
      <c r="AF75" s="39">
        <f t="shared" si="197"/>
        <v>-8.9312150463596822</v>
      </c>
      <c r="AG75" s="39">
        <f t="shared" si="198"/>
        <v>1.142144689490479</v>
      </c>
      <c r="AH75" s="39">
        <f t="shared" si="198"/>
        <v>5.4706491471667533</v>
      </c>
      <c r="AI75" s="39">
        <f t="shared" si="198"/>
        <v>8.9713221793469131</v>
      </c>
      <c r="AJ75" s="40">
        <f t="shared" si="199"/>
        <v>7.3056339888346145</v>
      </c>
      <c r="AK75" s="39">
        <f t="shared" si="200"/>
        <v>-5.4604072485068116</v>
      </c>
      <c r="AL75" s="39">
        <f t="shared" si="201"/>
        <v>-0.57933156500895677</v>
      </c>
      <c r="AM75" s="39">
        <f t="shared" si="201"/>
        <v>4.6215408352309879</v>
      </c>
      <c r="AN75" s="39">
        <f t="shared" si="201"/>
        <v>6.9894817701493253</v>
      </c>
      <c r="AO75" s="40">
        <f t="shared" si="202"/>
        <v>7.4771653781906053</v>
      </c>
      <c r="AP75" s="39">
        <f t="shared" si="203"/>
        <v>-6.0346150400292942</v>
      </c>
      <c r="AQ75" s="39">
        <f t="shared" si="204"/>
        <v>1.5064197675707334</v>
      </c>
      <c r="AR75" s="39">
        <f t="shared" si="204"/>
        <v>3.343458678930773</v>
      </c>
      <c r="AS75" s="39">
        <f t="shared" si="204"/>
        <v>6.1138363210615978</v>
      </c>
      <c r="AT75" s="40">
        <f t="shared" si="205"/>
        <v>5.3260156668577565</v>
      </c>
      <c r="AU75" s="39">
        <f t="shared" si="206"/>
        <v>-4.0463554937497435</v>
      </c>
      <c r="AV75" s="39">
        <f t="shared" si="207"/>
        <v>2.3090381554016233</v>
      </c>
      <c r="AW75" s="39">
        <f t="shared" si="207"/>
        <v>2.1435995388905127</v>
      </c>
      <c r="AX75" s="39">
        <f t="shared" si="207"/>
        <v>3.6685484343612842</v>
      </c>
      <c r="AY75" s="40">
        <f t="shared" si="208"/>
        <v>6.1515387332973432</v>
      </c>
      <c r="AZ75" s="39">
        <f t="shared" si="209"/>
        <v>-4.19950877129763</v>
      </c>
      <c r="BA75" s="39">
        <f t="shared" si="210"/>
        <v>2.9370683988542794</v>
      </c>
      <c r="BB75" s="39">
        <f t="shared" si="210"/>
        <v>2.3885960177415058</v>
      </c>
      <c r="BC75" s="39">
        <f t="shared" si="210"/>
        <v>4.1758481054552163</v>
      </c>
      <c r="BD75" s="40">
        <f t="shared" si="211"/>
        <v>4.5319833124473519</v>
      </c>
      <c r="BE75" s="39">
        <f t="shared" si="212"/>
        <v>-2.3137344564534743</v>
      </c>
      <c r="BF75" s="39">
        <f t="shared" si="213"/>
        <v>4.2120762990633978</v>
      </c>
      <c r="BG75" s="39">
        <f t="shared" si="213"/>
        <v>3.5434346621619426</v>
      </c>
      <c r="BH75" s="39">
        <f t="shared" si="213"/>
        <v>3.2699842164154518</v>
      </c>
      <c r="BI75" s="40">
        <f t="shared" si="214"/>
        <v>8.6469389893749877</v>
      </c>
      <c r="BJ75" s="39">
        <f t="shared" si="215"/>
        <v>-4.5678000951097175</v>
      </c>
      <c r="BK75" s="39">
        <f t="shared" si="216"/>
        <v>-11.552558133610617</v>
      </c>
      <c r="BL75" s="39">
        <f t="shared" si="216"/>
        <v>6.909360157219794</v>
      </c>
      <c r="BM75" s="39">
        <f t="shared" si="216"/>
        <v>1.568313922141428</v>
      </c>
      <c r="BN75" s="40">
        <f t="shared" si="217"/>
        <v>-4.8303087542370093</v>
      </c>
      <c r="BO75" s="39">
        <f t="shared" si="218"/>
        <v>0.16850013098168404</v>
      </c>
      <c r="BP75" s="39">
        <f t="shared" si="219"/>
        <v>2.8903854035415009</v>
      </c>
      <c r="BQ75" s="39">
        <f t="shared" si="219"/>
        <v>-2.7916581062868318E-2</v>
      </c>
      <c r="BR75" s="39">
        <f t="shared" si="219"/>
        <v>4.7307347245778715</v>
      </c>
      <c r="BS75" s="40">
        <f t="shared" si="220"/>
        <v>4.9423978332033158</v>
      </c>
      <c r="BT75" s="39">
        <f t="shared" si="221"/>
        <v>-1.2585052063384126</v>
      </c>
      <c r="BU75" s="39">
        <f t="shared" si="222"/>
        <v>3.6734343433222563</v>
      </c>
      <c r="BV75" s="39">
        <f t="shared" si="222"/>
        <v>1.2917430457023045</v>
      </c>
      <c r="BW75" s="39">
        <f t="shared" si="222"/>
        <v>0.9341291546154622</v>
      </c>
      <c r="BX75" s="40">
        <f t="shared" si="223"/>
        <v>6.6806818634807712</v>
      </c>
      <c r="BY75" s="39">
        <f t="shared" si="224"/>
        <v>-1.762308420730605</v>
      </c>
      <c r="BZ75" s="39">
        <f t="shared" si="225"/>
        <v>0.61904339335873715</v>
      </c>
      <c r="CA75" s="39">
        <f t="shared" si="225"/>
        <v>0.63063394949874407</v>
      </c>
      <c r="CB75" s="39">
        <f t="shared" si="225"/>
        <v>1.303028375079947</v>
      </c>
      <c r="CC75" s="40">
        <f t="shared" si="226"/>
        <v>1.5558819726707185</v>
      </c>
      <c r="CD75" s="39">
        <f t="shared" si="227"/>
        <v>-0.15758896301169045</v>
      </c>
      <c r="CE75" s="39">
        <f t="shared" si="228"/>
        <v>0.87584350043977111</v>
      </c>
      <c r="CF75" s="39">
        <f t="shared" si="178"/>
        <v>0.28696613572944329</v>
      </c>
      <c r="CG75" s="39">
        <f t="shared" si="178"/>
        <v>2.2920997860711907</v>
      </c>
      <c r="CH75" s="40">
        <f t="shared" si="229"/>
        <v>2.684703531329319</v>
      </c>
      <c r="CI75" s="39">
        <f t="shared" si="230"/>
        <v>-2.2345264799519526</v>
      </c>
      <c r="CJ75" s="39">
        <f t="shared" si="231"/>
        <v>1.6939821072313066</v>
      </c>
      <c r="CK75" s="39">
        <f t="shared" si="179"/>
        <v>0.20309044729491177</v>
      </c>
      <c r="CL75" s="39">
        <f t="shared" si="179"/>
        <v>3.4094952370059559</v>
      </c>
      <c r="CM75" s="40">
        <f t="shared" si="232"/>
        <v>2.0309733001137715</v>
      </c>
      <c r="CN75" s="39">
        <f t="shared" si="233"/>
        <v>-100</v>
      </c>
      <c r="CO75" s="39" t="str">
        <f t="shared" si="234"/>
        <v/>
      </c>
      <c r="CP75" s="39" t="str">
        <f t="shared" si="180"/>
        <v/>
      </c>
      <c r="CQ75" s="39" t="str">
        <f t="shared" si="180"/>
        <v/>
      </c>
      <c r="CR75" s="40">
        <f t="shared" si="235"/>
        <v>-100</v>
      </c>
    </row>
    <row r="76" spans="1:96" s="9" customFormat="1" ht="15" x14ac:dyDescent="0.4">
      <c r="A76" s="18" t="s">
        <v>85</v>
      </c>
      <c r="B76" s="41"/>
      <c r="C76" s="39">
        <f t="shared" si="181"/>
        <v>3.9998151295501003</v>
      </c>
      <c r="D76" s="39">
        <f t="shared" si="181"/>
        <v>1.0403412226643383</v>
      </c>
      <c r="E76" s="39">
        <f t="shared" si="181"/>
        <v>6.6659712546060348</v>
      </c>
      <c r="F76" s="38"/>
      <c r="G76" s="39">
        <f t="shared" si="182"/>
        <v>-8.6305412960588939</v>
      </c>
      <c r="H76" s="39">
        <f t="shared" si="183"/>
        <v>1.1939687593360162</v>
      </c>
      <c r="I76" s="39">
        <f t="shared" si="183"/>
        <v>3.1395446477752387</v>
      </c>
      <c r="J76" s="39">
        <f t="shared" si="183"/>
        <v>8.1728529080177879</v>
      </c>
      <c r="K76" s="40">
        <f t="shared" si="184"/>
        <v>1.7557850525569734</v>
      </c>
      <c r="L76" s="39">
        <f t="shared" si="185"/>
        <v>-7.5520093960117975</v>
      </c>
      <c r="M76" s="39">
        <f t="shared" si="186"/>
        <v>1.3000818235099132</v>
      </c>
      <c r="N76" s="39">
        <f t="shared" si="186"/>
        <v>1.6354341408517712</v>
      </c>
      <c r="O76" s="39">
        <f t="shared" si="186"/>
        <v>4.9146865628303544</v>
      </c>
      <c r="P76" s="40">
        <f t="shared" si="187"/>
        <v>2.8302597849919664</v>
      </c>
      <c r="Q76" s="39">
        <f t="shared" si="188"/>
        <v>-8.481538537150584</v>
      </c>
      <c r="R76" s="39" t="str">
        <f t="shared" si="189"/>
        <v/>
      </c>
      <c r="S76" s="39" t="str">
        <f t="shared" si="189"/>
        <v/>
      </c>
      <c r="T76" s="39">
        <f t="shared" si="189"/>
        <v>7.2853075267982774</v>
      </c>
      <c r="U76" s="40" t="str">
        <f t="shared" si="190"/>
        <v/>
      </c>
      <c r="V76" s="39">
        <f t="shared" si="191"/>
        <v>-8.2477636692364342</v>
      </c>
      <c r="W76" s="39">
        <f t="shared" si="192"/>
        <v>3.909256713348654</v>
      </c>
      <c r="X76" s="39">
        <f t="shared" si="192"/>
        <v>4.6517971397858275</v>
      </c>
      <c r="Y76" s="39">
        <f t="shared" si="192"/>
        <v>1.8988895492700379</v>
      </c>
      <c r="Z76" s="40" t="str">
        <f t="shared" si="193"/>
        <v/>
      </c>
      <c r="AA76" s="39">
        <f t="shared" si="194"/>
        <v>-5.5611185009788358</v>
      </c>
      <c r="AB76" s="39">
        <f t="shared" si="195"/>
        <v>1.3651276678633479</v>
      </c>
      <c r="AC76" s="39">
        <f t="shared" si="195"/>
        <v>9.702557099395051</v>
      </c>
      <c r="AD76" s="39">
        <f t="shared" si="195"/>
        <v>6.6314366242472147</v>
      </c>
      <c r="AE76" s="40">
        <f t="shared" si="196"/>
        <v>6.5434441215474806</v>
      </c>
      <c r="AF76" s="39">
        <f t="shared" si="197"/>
        <v>-11.549156149626</v>
      </c>
      <c r="AG76" s="39">
        <f t="shared" si="198"/>
        <v>2.5233083658404922</v>
      </c>
      <c r="AH76" s="39">
        <f t="shared" si="198"/>
        <v>9.4275402589931332</v>
      </c>
      <c r="AI76" s="39">
        <f t="shared" si="198"/>
        <v>5.7102160296452098</v>
      </c>
      <c r="AJ76" s="40">
        <f t="shared" si="199"/>
        <v>5.4072255891199745</v>
      </c>
      <c r="AK76" s="39">
        <f t="shared" si="200"/>
        <v>-9.2928737115820326</v>
      </c>
      <c r="AL76" s="39">
        <f t="shared" si="201"/>
        <v>0.7040742712403727</v>
      </c>
      <c r="AM76" s="39">
        <f t="shared" si="201"/>
        <v>6.246955389120302</v>
      </c>
      <c r="AN76" s="39">
        <f t="shared" si="201"/>
        <v>5.5037136506824709</v>
      </c>
      <c r="AO76" s="40">
        <f t="shared" si="202"/>
        <v>4.4151275503931942</v>
      </c>
      <c r="AP76" s="39">
        <f t="shared" si="203"/>
        <v>-5.2579089274496909</v>
      </c>
      <c r="AQ76" s="39">
        <f t="shared" si="204"/>
        <v>1.2925007454927169</v>
      </c>
      <c r="AR76" s="39">
        <f t="shared" si="204"/>
        <v>1.5501942744939896</v>
      </c>
      <c r="AS76" s="39">
        <f t="shared" si="204"/>
        <v>5.9469286042440643</v>
      </c>
      <c r="AT76" s="40">
        <f t="shared" si="205"/>
        <v>5.054551622100405</v>
      </c>
      <c r="AU76" s="39">
        <f t="shared" si="206"/>
        <v>-0.94766790446362847</v>
      </c>
      <c r="AV76" s="39">
        <f t="shared" si="207"/>
        <v>1.8925099701656762</v>
      </c>
      <c r="AW76" s="39">
        <f t="shared" si="207"/>
        <v>1.8435479389469691</v>
      </c>
      <c r="AX76" s="39">
        <f t="shared" si="207"/>
        <v>0.459978587537762</v>
      </c>
      <c r="AY76" s="40">
        <f t="shared" si="208"/>
        <v>7.1049000025715543</v>
      </c>
      <c r="AZ76" s="39">
        <f t="shared" si="209"/>
        <v>-2.7963867123852992</v>
      </c>
      <c r="BA76" s="39">
        <f t="shared" si="210"/>
        <v>3.691213302543602</v>
      </c>
      <c r="BB76" s="39">
        <f t="shared" si="210"/>
        <v>5.3774220406235429</v>
      </c>
      <c r="BC76" s="39">
        <f t="shared" si="210"/>
        <v>2.9018011250970801</v>
      </c>
      <c r="BD76" s="40">
        <f t="shared" si="211"/>
        <v>5.160953510072062</v>
      </c>
      <c r="BE76" s="39">
        <f t="shared" si="212"/>
        <v>-2.6156206062875356</v>
      </c>
      <c r="BF76" s="39">
        <f t="shared" si="213"/>
        <v>2.4498407690691977</v>
      </c>
      <c r="BG76" s="39">
        <f t="shared" si="213"/>
        <v>4.8999408608828077</v>
      </c>
      <c r="BH76" s="39">
        <f t="shared" si="213"/>
        <v>0.93652288854764265</v>
      </c>
      <c r="BI76" s="40">
        <f t="shared" si="214"/>
        <v>7.6950400860544903</v>
      </c>
      <c r="BJ76" s="39">
        <f t="shared" si="215"/>
        <v>-6.7611957977843957</v>
      </c>
      <c r="BK76" s="39">
        <f t="shared" si="216"/>
        <v>-5.5194027365988347</v>
      </c>
      <c r="BL76" s="39">
        <f t="shared" si="216"/>
        <v>-3.2112901251405077</v>
      </c>
      <c r="BM76" s="39">
        <f t="shared" si="216"/>
        <v>1.5279415235548583</v>
      </c>
      <c r="BN76" s="40">
        <f t="shared" si="217"/>
        <v>-8.4368466486741056</v>
      </c>
      <c r="BO76" s="39">
        <f t="shared" si="218"/>
        <v>-4.5746770832224115E-2</v>
      </c>
      <c r="BP76" s="39">
        <f t="shared" si="219"/>
        <v>9.8412315368681789</v>
      </c>
      <c r="BQ76" s="39">
        <f t="shared" si="219"/>
        <v>-4.6458291185190745</v>
      </c>
      <c r="BR76" s="39">
        <f t="shared" si="219"/>
        <v>0.73400819556883334</v>
      </c>
      <c r="BS76" s="40">
        <f t="shared" si="220"/>
        <v>2.9238824599826927</v>
      </c>
      <c r="BT76" s="39">
        <f t="shared" si="221"/>
        <v>0.9624292358838602</v>
      </c>
      <c r="BU76" s="39">
        <f t="shared" si="222"/>
        <v>5.2890828411266853</v>
      </c>
      <c r="BV76" s="39">
        <f t="shared" si="222"/>
        <v>0.40553058092788774</v>
      </c>
      <c r="BW76" s="39">
        <f t="shared" si="222"/>
        <v>1.0929625913038024</v>
      </c>
      <c r="BX76" s="40">
        <f t="shared" si="223"/>
        <v>5.9620766171281332</v>
      </c>
      <c r="BY76" s="39">
        <f t="shared" si="224"/>
        <v>-0.4887142554945143</v>
      </c>
      <c r="BZ76" s="39">
        <f t="shared" si="225"/>
        <v>1.1544032901427101</v>
      </c>
      <c r="CA76" s="39">
        <f t="shared" si="225"/>
        <v>1.586035051868123</v>
      </c>
      <c r="CB76" s="39">
        <f t="shared" si="225"/>
        <v>1.536012217872738</v>
      </c>
      <c r="CC76" s="40">
        <f t="shared" si="226"/>
        <v>3.8993039437732762</v>
      </c>
      <c r="CD76" s="39">
        <f t="shared" si="227"/>
        <v>-0.88357708652767997</v>
      </c>
      <c r="CE76" s="39">
        <f t="shared" si="228"/>
        <v>0.48026668260573047</v>
      </c>
      <c r="CF76" s="39">
        <f t="shared" si="178"/>
        <v>1.0537756437608721</v>
      </c>
      <c r="CG76" s="39">
        <f t="shared" si="178"/>
        <v>1.2284722149676242</v>
      </c>
      <c r="CH76" s="40">
        <f t="shared" si="229"/>
        <v>2.5427148525670731</v>
      </c>
      <c r="CI76" s="39">
        <f t="shared" si="230"/>
        <v>-0.50049203473693638</v>
      </c>
      <c r="CJ76" s="39">
        <f t="shared" si="231"/>
        <v>0.54268557783554172</v>
      </c>
      <c r="CK76" s="39">
        <f t="shared" si="179"/>
        <v>0.42062416336605679</v>
      </c>
      <c r="CL76" s="39">
        <f t="shared" si="179"/>
        <v>1.304848748345762</v>
      </c>
      <c r="CM76" s="40">
        <f t="shared" si="232"/>
        <v>2.0157281007325594</v>
      </c>
      <c r="CN76" s="39">
        <f t="shared" si="233"/>
        <v>-100</v>
      </c>
      <c r="CO76" s="39" t="str">
        <f t="shared" si="234"/>
        <v/>
      </c>
      <c r="CP76" s="39" t="str">
        <f t="shared" si="180"/>
        <v/>
      </c>
      <c r="CQ76" s="39" t="str">
        <f t="shared" si="180"/>
        <v/>
      </c>
      <c r="CR76" s="40">
        <f t="shared" si="235"/>
        <v>-100</v>
      </c>
    </row>
    <row r="77" spans="1:96" s="9" customFormat="1" ht="15" x14ac:dyDescent="0.4">
      <c r="A77" s="18" t="s">
        <v>86</v>
      </c>
      <c r="B77" s="38"/>
      <c r="C77" s="39">
        <f t="shared" si="181"/>
        <v>-3.6312324446210056</v>
      </c>
      <c r="D77" s="39">
        <f t="shared" si="181"/>
        <v>3.2210940163928115</v>
      </c>
      <c r="E77" s="39">
        <f t="shared" si="181"/>
        <v>0.89863240711424908</v>
      </c>
      <c r="F77" s="38"/>
      <c r="G77" s="39">
        <f t="shared" si="182"/>
        <v>0.27697783306027191</v>
      </c>
      <c r="H77" s="39">
        <f t="shared" si="183"/>
        <v>-2.2611119875992785</v>
      </c>
      <c r="I77" s="39">
        <f t="shared" si="183"/>
        <v>5.3442082744118693</v>
      </c>
      <c r="J77" s="39">
        <f t="shared" si="183"/>
        <v>1.0060141576140325</v>
      </c>
      <c r="K77" s="40">
        <f t="shared" si="184"/>
        <v>2.8016073374410411</v>
      </c>
      <c r="L77" s="39">
        <f t="shared" si="185"/>
        <v>-0.10424517524594989</v>
      </c>
      <c r="M77" s="39">
        <f t="shared" si="186"/>
        <v>-2.9455510037985988</v>
      </c>
      <c r="N77" s="39">
        <f t="shared" si="186"/>
        <v>3.134001793815159</v>
      </c>
      <c r="O77" s="39">
        <f t="shared" si="186"/>
        <v>4.7256958853348294</v>
      </c>
      <c r="P77" s="40">
        <f t="shared" si="187"/>
        <v>3.1908338738520143</v>
      </c>
      <c r="Q77" s="39">
        <f t="shared" si="188"/>
        <v>5.0302000121311465</v>
      </c>
      <c r="R77" s="39" t="str">
        <f t="shared" si="189"/>
        <v/>
      </c>
      <c r="S77" s="39" t="str">
        <f t="shared" si="189"/>
        <v/>
      </c>
      <c r="T77" s="39">
        <f t="shared" si="189"/>
        <v>8.9333101772904229</v>
      </c>
      <c r="U77" s="40" t="str">
        <f t="shared" si="190"/>
        <v/>
      </c>
      <c r="V77" s="39">
        <f t="shared" si="191"/>
        <v>-9.452314234743028</v>
      </c>
      <c r="W77" s="39">
        <f t="shared" si="192"/>
        <v>-2.1753031962144149</v>
      </c>
      <c r="X77" s="39">
        <f t="shared" si="192"/>
        <v>9.2277172404077561</v>
      </c>
      <c r="Y77" s="39">
        <f t="shared" si="192"/>
        <v>2.1398642897495534</v>
      </c>
      <c r="Z77" s="40" t="str">
        <f t="shared" si="193"/>
        <v/>
      </c>
      <c r="AA77" s="39">
        <f t="shared" si="194"/>
        <v>-4.7393145565775967</v>
      </c>
      <c r="AB77" s="39">
        <f t="shared" si="195"/>
        <v>-4.0357969614836549</v>
      </c>
      <c r="AC77" s="39">
        <f t="shared" si="195"/>
        <v>6.1567901803062597</v>
      </c>
      <c r="AD77" s="39">
        <f t="shared" si="195"/>
        <v>6.3699552510695128</v>
      </c>
      <c r="AE77" s="40">
        <f t="shared" si="196"/>
        <v>2.0523198290400586</v>
      </c>
      <c r="AF77" s="39">
        <f t="shared" si="197"/>
        <v>-4.4957619923463454</v>
      </c>
      <c r="AG77" s="39">
        <f t="shared" si="198"/>
        <v>-2.8814729426898822</v>
      </c>
      <c r="AH77" s="39">
        <f t="shared" si="198"/>
        <v>3.2255577104028532</v>
      </c>
      <c r="AI77" s="39">
        <f t="shared" si="198"/>
        <v>7.6020844286717448</v>
      </c>
      <c r="AJ77" s="40">
        <f t="shared" si="199"/>
        <v>3.2463742179289312</v>
      </c>
      <c r="AK77" s="39">
        <f t="shared" si="200"/>
        <v>-5.7974956263855688</v>
      </c>
      <c r="AL77" s="39">
        <f t="shared" si="201"/>
        <v>2.3179652254375895</v>
      </c>
      <c r="AM77" s="39">
        <f t="shared" si="201"/>
        <v>2.937760899932357</v>
      </c>
      <c r="AN77" s="39">
        <f t="shared" si="201"/>
        <v>5.6420397467577033</v>
      </c>
      <c r="AO77" s="40">
        <f t="shared" si="202"/>
        <v>5.0453180323015658</v>
      </c>
      <c r="AP77" s="39">
        <f t="shared" si="203"/>
        <v>-3.581167788421368</v>
      </c>
      <c r="AQ77" s="39">
        <f t="shared" si="204"/>
        <v>2.0137717245141999</v>
      </c>
      <c r="AR77" s="39">
        <f t="shared" si="204"/>
        <v>2.5869072117456398</v>
      </c>
      <c r="AS77" s="39">
        <f t="shared" si="204"/>
        <v>3.5296832040251758</v>
      </c>
      <c r="AT77" s="40">
        <f t="shared" si="205"/>
        <v>6.2841543902244013</v>
      </c>
      <c r="AU77" s="39">
        <f t="shared" si="206"/>
        <v>-2.1694900170056286</v>
      </c>
      <c r="AV77" s="39">
        <f t="shared" si="207"/>
        <v>3.4913915847391195</v>
      </c>
      <c r="AW77" s="39">
        <f t="shared" si="207"/>
        <v>1.9664775080200343</v>
      </c>
      <c r="AX77" s="39">
        <f t="shared" si="207"/>
        <v>2.730032043673674</v>
      </c>
      <c r="AY77" s="40">
        <f t="shared" si="208"/>
        <v>6.6121804580844952</v>
      </c>
      <c r="AZ77" s="39">
        <f t="shared" si="209"/>
        <v>-5.2024159543779973</v>
      </c>
      <c r="BA77" s="39">
        <f t="shared" si="210"/>
        <v>3.041154539547918</v>
      </c>
      <c r="BB77" s="39">
        <f t="shared" si="210"/>
        <v>2.2374639014600461</v>
      </c>
      <c r="BC77" s="39">
        <f t="shared" si="210"/>
        <v>2.0970277335873959</v>
      </c>
      <c r="BD77" s="40">
        <f t="shared" si="211"/>
        <v>2.4028374933068477</v>
      </c>
      <c r="BE77" s="39">
        <f t="shared" si="212"/>
        <v>-3.0603317987426806</v>
      </c>
      <c r="BF77" s="39">
        <f t="shared" si="213"/>
        <v>1.0892713411268176</v>
      </c>
      <c r="BG77" s="39">
        <f t="shared" si="213"/>
        <v>1.0718519554358465</v>
      </c>
      <c r="BH77" s="39">
        <f t="shared" si="213"/>
        <v>1.5290187550042873</v>
      </c>
      <c r="BI77" s="40">
        <f t="shared" si="214"/>
        <v>2.021630479399434</v>
      </c>
      <c r="BJ77" s="39">
        <f t="shared" si="215"/>
        <v>-3.1740960047090852</v>
      </c>
      <c r="BK77" s="39">
        <f t="shared" si="216"/>
        <v>-3.6351621907464278</v>
      </c>
      <c r="BL77" s="39">
        <f t="shared" si="216"/>
        <v>1.5812429164702451</v>
      </c>
      <c r="BM77" s="39">
        <f t="shared" si="216"/>
        <v>2.1295897916969722</v>
      </c>
      <c r="BN77" s="40">
        <f t="shared" si="217"/>
        <v>-2.7092149463946242</v>
      </c>
      <c r="BO77" s="39">
        <f t="shared" si="218"/>
        <v>0.22855540171973132</v>
      </c>
      <c r="BP77" s="39">
        <f t="shared" si="219"/>
        <v>2.0889057342311048</v>
      </c>
      <c r="BQ77" s="39">
        <f t="shared" si="219"/>
        <v>-1.7390178894600865</v>
      </c>
      <c r="BR77" s="39">
        <f t="shared" si="219"/>
        <v>0.91841966914449813</v>
      </c>
      <c r="BS77" s="40">
        <f t="shared" si="220"/>
        <v>2.5936553902257344</v>
      </c>
      <c r="BT77" s="39">
        <f t="shared" si="221"/>
        <v>-0.70095528342972102</v>
      </c>
      <c r="BU77" s="39">
        <f t="shared" si="222"/>
        <v>5.5841212557422608</v>
      </c>
      <c r="BV77" s="39">
        <f t="shared" si="222"/>
        <v>0.77128669828563545</v>
      </c>
      <c r="BW77" s="39">
        <f t="shared" si="222"/>
        <v>0.47158206182548668</v>
      </c>
      <c r="BX77" s="40">
        <f t="shared" si="223"/>
        <v>4.3221189838934748</v>
      </c>
      <c r="BY77" s="39">
        <f t="shared" si="224"/>
        <v>6.547072834494827E-2</v>
      </c>
      <c r="BZ77" s="39">
        <f t="shared" si="225"/>
        <v>1.6138054602101306</v>
      </c>
      <c r="CA77" s="39">
        <f t="shared" si="225"/>
        <v>0.81124194642210057</v>
      </c>
      <c r="CB77" s="39">
        <f t="shared" si="225"/>
        <v>0.76932032597409261</v>
      </c>
      <c r="CC77" s="40">
        <f t="shared" si="226"/>
        <v>4.0067340590692879</v>
      </c>
      <c r="CD77" s="39">
        <f t="shared" si="227"/>
        <v>0.18281647807619095</v>
      </c>
      <c r="CE77" s="39">
        <f t="shared" si="228"/>
        <v>0.44082497262185427</v>
      </c>
      <c r="CF77" s="39">
        <f t="shared" si="178"/>
        <v>0.85611926547470318</v>
      </c>
      <c r="CG77" s="39">
        <f t="shared" si="178"/>
        <v>2.5261050381961638</v>
      </c>
      <c r="CH77" s="40">
        <f t="shared" si="229"/>
        <v>2.9891279654244158</v>
      </c>
      <c r="CI77" s="39">
        <f t="shared" si="230"/>
        <v>-0.5060896406142632</v>
      </c>
      <c r="CJ77" s="39">
        <f t="shared" si="231"/>
        <v>1.7744043030697156</v>
      </c>
      <c r="CK77" s="39">
        <f t="shared" si="179"/>
        <v>-0.24707800324318896</v>
      </c>
      <c r="CL77" s="39">
        <f t="shared" si="179"/>
        <v>2.9548490278215667</v>
      </c>
      <c r="CM77" s="40">
        <f t="shared" si="232"/>
        <v>3.8993651917461563</v>
      </c>
      <c r="CN77" s="39">
        <f t="shared" si="233"/>
        <v>-100</v>
      </c>
      <c r="CO77" s="39" t="str">
        <f t="shared" si="234"/>
        <v/>
      </c>
      <c r="CP77" s="39" t="str">
        <f t="shared" si="180"/>
        <v/>
      </c>
      <c r="CQ77" s="39" t="str">
        <f t="shared" si="180"/>
        <v/>
      </c>
      <c r="CR77" s="40">
        <f t="shared" si="235"/>
        <v>-100</v>
      </c>
    </row>
    <row r="78" spans="1:96" s="9" customFormat="1" ht="15" x14ac:dyDescent="0.4">
      <c r="A78" s="18"/>
      <c r="B78" s="42"/>
      <c r="C78" s="22"/>
      <c r="D78" s="23"/>
      <c r="E78" s="22"/>
      <c r="F78" s="42"/>
      <c r="G78" s="22"/>
      <c r="H78" s="22"/>
      <c r="I78" s="23"/>
      <c r="J78" s="22"/>
      <c r="K78" s="24"/>
      <c r="L78" s="22"/>
      <c r="M78" s="22"/>
      <c r="N78" s="23"/>
      <c r="O78" s="22"/>
      <c r="P78" s="24"/>
      <c r="Q78" s="22"/>
      <c r="R78" s="22"/>
      <c r="S78" s="23"/>
      <c r="T78" s="22"/>
      <c r="U78" s="24"/>
      <c r="V78" s="22"/>
      <c r="W78" s="22"/>
      <c r="X78" s="23"/>
      <c r="Y78" s="22"/>
      <c r="Z78" s="24"/>
      <c r="AA78" s="22"/>
      <c r="AB78" s="22"/>
      <c r="AC78" s="23"/>
      <c r="AD78" s="22"/>
      <c r="AE78" s="24"/>
      <c r="AF78" s="22"/>
      <c r="AG78" s="22"/>
      <c r="AH78" s="23"/>
      <c r="AI78" s="22"/>
      <c r="AJ78" s="24"/>
      <c r="AK78" s="22"/>
      <c r="AL78" s="22"/>
      <c r="AM78" s="23"/>
      <c r="AN78" s="22"/>
      <c r="AO78" s="24"/>
      <c r="AP78" s="22"/>
      <c r="AQ78" s="22"/>
      <c r="AR78" s="23"/>
      <c r="AS78" s="22"/>
      <c r="AT78" s="24"/>
      <c r="AU78" s="22"/>
      <c r="AV78" s="22"/>
      <c r="AW78" s="23"/>
      <c r="AX78" s="22"/>
      <c r="AY78" s="24"/>
      <c r="AZ78" s="22"/>
      <c r="BA78" s="22"/>
      <c r="BB78" s="23"/>
      <c r="BC78" s="22"/>
      <c r="BD78" s="24"/>
      <c r="BE78" s="22"/>
      <c r="BF78" s="22"/>
      <c r="BG78" s="23"/>
      <c r="BH78" s="22"/>
      <c r="BI78" s="24"/>
      <c r="BJ78" s="22"/>
      <c r="BK78" s="22"/>
      <c r="BL78" s="23"/>
      <c r="BM78" s="22"/>
      <c r="BN78" s="24"/>
      <c r="BO78" s="22"/>
      <c r="BP78" s="22"/>
      <c r="BQ78" s="23"/>
      <c r="BR78" s="22"/>
      <c r="BS78" s="24"/>
      <c r="BT78" s="22"/>
      <c r="BU78" s="22"/>
      <c r="BV78" s="23"/>
      <c r="BW78" s="22"/>
      <c r="BX78" s="24"/>
      <c r="BY78" s="22"/>
      <c r="BZ78" s="22"/>
      <c r="CA78" s="23"/>
      <c r="CB78" s="22"/>
      <c r="CC78" s="24"/>
      <c r="CD78" s="22"/>
      <c r="CE78" s="22"/>
      <c r="CF78" s="23"/>
      <c r="CG78" s="22"/>
      <c r="CH78" s="24"/>
      <c r="CI78" s="22"/>
      <c r="CJ78" s="22"/>
      <c r="CK78" s="23"/>
      <c r="CL78" s="22"/>
      <c r="CM78" s="24"/>
      <c r="CN78" s="22"/>
      <c r="CO78" s="22"/>
      <c r="CP78" s="23"/>
      <c r="CQ78" s="22"/>
      <c r="CR78" s="24"/>
    </row>
    <row r="79" spans="1:96" s="17" customFormat="1" ht="15" x14ac:dyDescent="0.4">
      <c r="A79" s="15" t="s">
        <v>87</v>
      </c>
      <c r="B79" s="37"/>
      <c r="C79" s="16">
        <f>IFERROR(C47/B47*100-100,"")</f>
        <v>1.7651254752916401</v>
      </c>
      <c r="D79" s="16">
        <f t="shared" ref="D79:E79" si="236">IFERROR(D47/C47*100-100,"")</f>
        <v>1.3740993472525247</v>
      </c>
      <c r="E79" s="16">
        <f t="shared" si="236"/>
        <v>6.6250947584440638</v>
      </c>
      <c r="F79" s="37"/>
      <c r="G79" s="16">
        <f>IFERROR(G47/E47*100-100,"")</f>
        <v>-8.8208837031482688</v>
      </c>
      <c r="H79" s="16">
        <f>IFERROR(H47/G47*100-100,"")</f>
        <v>5.9471291981418659</v>
      </c>
      <c r="I79" s="16">
        <f t="shared" ref="I79:J79" si="237">IFERROR(I47/H47*100-100,"")</f>
        <v>-6.6838132002289541</v>
      </c>
      <c r="J79" s="16">
        <f t="shared" si="237"/>
        <v>9.8390519636411682</v>
      </c>
      <c r="K79" s="16">
        <f>IFERROR(K47/F47*100-100,"")</f>
        <v>-7.2192113278958914E-2</v>
      </c>
      <c r="L79" s="16">
        <f>IFERROR(L47/J47*100-100,"")</f>
        <v>-0.2581657806212263</v>
      </c>
      <c r="M79" s="16">
        <f>IFERROR(M47/L47*100-100,"")</f>
        <v>1.0435310030188987</v>
      </c>
      <c r="N79" s="16">
        <f t="shared" ref="N79:O79" si="238">IFERROR(N47/M47*100-100,"")</f>
        <v>2.9831009765516541</v>
      </c>
      <c r="O79" s="16">
        <f t="shared" si="238"/>
        <v>1.5575228978424178</v>
      </c>
      <c r="P79" s="16">
        <f>IFERROR(P47/K47*100-100,"")</f>
        <v>7.6247959333774844</v>
      </c>
      <c r="Q79" s="16">
        <f>IFERROR(Q47/O47*100-100,"")</f>
        <v>-1.8937495234402064</v>
      </c>
      <c r="R79" s="16" t="str">
        <f>IFERROR(R47/Q47*100-100,"")</f>
        <v/>
      </c>
      <c r="S79" s="16" t="str">
        <f t="shared" ref="S79:T79" si="239">IFERROR(S47/R47*100-100,"")</f>
        <v/>
      </c>
      <c r="T79" s="16">
        <f t="shared" si="239"/>
        <v>1.2029472225873832</v>
      </c>
      <c r="U79" s="16" t="str">
        <f>IFERROR(U47/P47*100-100,"")</f>
        <v/>
      </c>
      <c r="V79" s="16">
        <f>IFERROR(V47/T47*100-100,"")</f>
        <v>1.3376622986167348</v>
      </c>
      <c r="W79" s="16">
        <f>IFERROR(W47/V47*100-100,"")</f>
        <v>1.6818531108528418</v>
      </c>
      <c r="X79" s="16">
        <f t="shared" ref="X79:Y79" si="240">IFERROR(X47/W47*100-100,"")</f>
        <v>0.76226229297463988</v>
      </c>
      <c r="Y79" s="16">
        <f t="shared" si="240"/>
        <v>0.90258981454039144</v>
      </c>
      <c r="Z79" s="16" t="str">
        <f>IFERROR(Z47/U47*100-100,"")</f>
        <v/>
      </c>
      <c r="AA79" s="16">
        <f>IFERROR(AA47/Y47*100-100,"")</f>
        <v>2.9670859097479081</v>
      </c>
      <c r="AB79" s="16">
        <f>IFERROR(AB47/AA47*100-100,"")</f>
        <v>0.31849817099542577</v>
      </c>
      <c r="AC79" s="16">
        <f t="shared" ref="AC79:AD79" si="241">IFERROR(AC47/AB47*100-100,"")</f>
        <v>2.351087847903969</v>
      </c>
      <c r="AD79" s="16">
        <f t="shared" si="241"/>
        <v>1.5207268373901002</v>
      </c>
      <c r="AE79" s="16">
        <f>IFERROR(AE47/Z47*100-100,"")</f>
        <v>6.374312779743434</v>
      </c>
      <c r="AF79" s="16">
        <f>IFERROR(AF47/AD47*100-100,"")</f>
        <v>9.4076132399275565</v>
      </c>
      <c r="AG79" s="16">
        <f>IFERROR(AG47/AF47*100-100,"")</f>
        <v>-5.6924970543034448</v>
      </c>
      <c r="AH79" s="16">
        <f t="shared" ref="AH79:AI79" si="242">IFERROR(AH47/AG47*100-100,"")</f>
        <v>-1.1492548123337514</v>
      </c>
      <c r="AI79" s="16">
        <f t="shared" si="242"/>
        <v>2.6898462753222105</v>
      </c>
      <c r="AJ79" s="16">
        <f>IFERROR(AJ47/AE47*100-100,"")</f>
        <v>7.3316631776643391</v>
      </c>
      <c r="AK79" s="16">
        <f>IFERROR(AK47/AI47*100-100,"")</f>
        <v>-1.9609530007874412</v>
      </c>
      <c r="AL79" s="16">
        <f>IFERROR(AL47/AK47*100-100,"")</f>
        <v>2.3618933311360308</v>
      </c>
      <c r="AM79" s="16">
        <f t="shared" ref="AM79:AN79" si="243">IFERROR(AM47/AL47*100-100,"")</f>
        <v>3.0634837713418221</v>
      </c>
      <c r="AN79" s="16">
        <f t="shared" si="243"/>
        <v>7.9425600110028824</v>
      </c>
      <c r="AO79" s="16">
        <f>IFERROR(AO47/AJ47*100-100,"")</f>
        <v>3.2756218709522784</v>
      </c>
      <c r="AP79" s="16">
        <f>IFERROR(AP47/AN47*100-100,"")</f>
        <v>-8.1776631002179698</v>
      </c>
      <c r="AQ79" s="16">
        <f>IFERROR(AQ47/AP47*100-100,"")</f>
        <v>3.2962008714493294</v>
      </c>
      <c r="AR79" s="16">
        <f t="shared" ref="AR79:AS79" si="244">IFERROR(AR47/AQ47*100-100,"")</f>
        <v>5.2123534087793502</v>
      </c>
      <c r="AS79" s="16">
        <f t="shared" si="244"/>
        <v>7.2051455987075457</v>
      </c>
      <c r="AT79" s="16">
        <f>IFERROR(AT47/AO47*100-100,"")</f>
        <v>6.2382909356355896</v>
      </c>
      <c r="AU79" s="16">
        <f>IFERROR(AU47/AS47*100-100,"")</f>
        <v>-5.5184264374059637</v>
      </c>
      <c r="AV79" s="16">
        <f>IFERROR(AV47/AU47*100-100,"")</f>
        <v>1.6655350311694122</v>
      </c>
      <c r="AW79" s="16">
        <f t="shared" ref="AW79:AX79" si="245">IFERROR(AW47/AV47*100-100,"")</f>
        <v>1.2018766706088968</v>
      </c>
      <c r="AX79" s="16">
        <f t="shared" si="245"/>
        <v>4.0858433804518199</v>
      </c>
      <c r="AY79" s="16">
        <f>IFERROR(AY47/AT47*100-100,"")</f>
        <v>5.7542142419415967</v>
      </c>
      <c r="AZ79" s="16">
        <f>IFERROR(AZ47/AX47*100-100,"")</f>
        <v>-0.99137191193634067</v>
      </c>
      <c r="BA79" s="16">
        <f>IFERROR(BA47/AZ47*100-100,"")</f>
        <v>2.3450865175697118</v>
      </c>
      <c r="BB79" s="16">
        <f t="shared" ref="BB79:BC79" si="246">IFERROR(BB47/BA47*100-100,"")</f>
        <v>1.7618580400736334</v>
      </c>
      <c r="BC79" s="16">
        <f t="shared" si="246"/>
        <v>1.8507433333073209</v>
      </c>
      <c r="BD79" s="16">
        <f>IFERROR(BD47/AY47*100-100,"")</f>
        <v>6.2678114343972311</v>
      </c>
      <c r="BE79" s="16">
        <f>IFERROR(BE47/BC47*100-100,"")</f>
        <v>1.6410893882112418</v>
      </c>
      <c r="BF79" s="16">
        <f>IFERROR(BF47/BE47*100-100,"")</f>
        <v>1.737662086008342</v>
      </c>
      <c r="BG79" s="16">
        <f t="shared" ref="BG79:BH79" si="247">IFERROR(BG47/BF47*100-100,"")</f>
        <v>2.319398059224568</v>
      </c>
      <c r="BH79" s="16">
        <f t="shared" si="247"/>
        <v>2.4350964998206734</v>
      </c>
      <c r="BI79" s="16">
        <f>IFERROR(BI47/BD47*100-100,"")</f>
        <v>7.7899562383423557</v>
      </c>
      <c r="BJ79" s="16">
        <f>IFERROR(BJ47/BH47*100-100,"")</f>
        <v>0.12248699363060211</v>
      </c>
      <c r="BK79" s="16">
        <f>IFERROR(BK47/BJ47*100-100,"")</f>
        <v>-5.5832391947908064</v>
      </c>
      <c r="BL79" s="16">
        <f t="shared" ref="BL79:BM79" si="248">IFERROR(BL47/BK47*100-100,"")</f>
        <v>0.58373375505702541</v>
      </c>
      <c r="BM79" s="16">
        <f t="shared" si="248"/>
        <v>1.1357267237817297</v>
      </c>
      <c r="BN79" s="16">
        <f>IFERROR(BN47/BI47*100-100,"")</f>
        <v>-0.23517137435582924</v>
      </c>
      <c r="BO79" s="16">
        <f>IFERROR(BO47/BM47*100-100,"")</f>
        <v>0.33232945914521395</v>
      </c>
      <c r="BP79" s="16">
        <f>IFERROR(BP47/BO47*100-100,"")</f>
        <v>1.0813145911237996</v>
      </c>
      <c r="BQ79" s="16">
        <f t="shared" ref="BQ79:BR79" si="249">IFERROR(BQ47/BP47*100-100,"")</f>
        <v>-1.9580248747323736</v>
      </c>
      <c r="BR79" s="16">
        <f t="shared" si="249"/>
        <v>4.8108206807359721</v>
      </c>
      <c r="BS79" s="16">
        <f>IFERROR(BS47/BN47*100-100,"")</f>
        <v>1.021558598895993</v>
      </c>
      <c r="BT79" s="16">
        <f>IFERROR(BT47/BR47*100-100,"")</f>
        <v>0.91026914222224775</v>
      </c>
      <c r="BU79" s="16">
        <f>IFERROR(BU47/BT47*100-100,"")</f>
        <v>2.8823540699926014</v>
      </c>
      <c r="BV79" s="16">
        <f t="shared" ref="BV79:BW79" si="250">IFERROR(BV47/BU47*100-100,"")</f>
        <v>0.61189603746475996</v>
      </c>
      <c r="BW79" s="16">
        <f t="shared" si="250"/>
        <v>3.6960753246934956</v>
      </c>
      <c r="BX79" s="16">
        <f>IFERROR(BX47/BS47*100-100,"")</f>
        <v>7.326017567897523</v>
      </c>
      <c r="BY79" s="16">
        <f>IFERROR(BY47/BW47*100-100,"")</f>
        <v>-1.4959211703857704</v>
      </c>
      <c r="BZ79" s="16">
        <f>IFERROR(BZ47/BY47*100-100,"")</f>
        <v>2.3520323232030478</v>
      </c>
      <c r="CA79" s="16">
        <f t="shared" ref="CA79:CB79" si="251">IFERROR(CA47/BZ47*100-100,"")</f>
        <v>1.0890185065536571</v>
      </c>
      <c r="CB79" s="16">
        <f t="shared" si="251"/>
        <v>6.1207348248291282</v>
      </c>
      <c r="CC79" s="16">
        <f>IFERROR(CC47/BX47*100-100,"")</f>
        <v>6.2141271489468721</v>
      </c>
      <c r="CD79" s="16">
        <f>IFERROR(CD47/CB47*100-100,"")</f>
        <v>9.7144327780861204</v>
      </c>
      <c r="CE79" s="16">
        <f>IFERROR(CE47/CD47*100-100,"")</f>
        <v>-7.2816175038457089</v>
      </c>
      <c r="CF79" s="16">
        <f t="shared" ref="CF79:CG79" si="252">IFERROR(CF47/CE47*100-100,"")</f>
        <v>2.890730662251471</v>
      </c>
      <c r="CG79" s="16">
        <f t="shared" si="252"/>
        <v>8.8072600464049344</v>
      </c>
      <c r="CH79" s="16">
        <f>IFERROR(CH47/CC47*100-100,"")</f>
        <v>13.596412925653837</v>
      </c>
      <c r="CI79" s="16">
        <f>IFERROR(CI47/CG47*100-100,"")</f>
        <v>2.4292942531229045</v>
      </c>
      <c r="CJ79" s="16">
        <f>IFERROR(CJ47/CI47*100-100,"")</f>
        <v>-4.8485275000131338</v>
      </c>
      <c r="CK79" s="16">
        <f t="shared" ref="CK79:CL79" si="253">IFERROR(CK47/CJ47*100-100,"")</f>
        <v>-3.3957137383746101</v>
      </c>
      <c r="CL79" s="16">
        <f t="shared" si="253"/>
        <v>4.1157002107992753</v>
      </c>
      <c r="CM79" s="16">
        <f>IFERROR(CM47/CH47*100-100,"")</f>
        <v>3.8420898528096643</v>
      </c>
      <c r="CN79" s="16">
        <f>IFERROR(CN47/CL47*100-100,"")</f>
        <v>-100</v>
      </c>
      <c r="CO79" s="16" t="str">
        <f>IFERROR(CO47/CN47*100-100,"")</f>
        <v/>
      </c>
      <c r="CP79" s="16" t="str">
        <f t="shared" ref="CP79:CQ79" si="254">IFERROR(CP47/CO47*100-100,"")</f>
        <v/>
      </c>
      <c r="CQ79" s="16" t="str">
        <f t="shared" si="254"/>
        <v/>
      </c>
      <c r="CR79" s="16">
        <f>IFERROR(CR47/CM47*100-100,"")</f>
        <v>-100</v>
      </c>
    </row>
    <row r="80" spans="1:96" s="9" customFormat="1" ht="15" x14ac:dyDescent="0.4">
      <c r="A80" s="25"/>
      <c r="B80" s="42"/>
      <c r="C80" s="22"/>
      <c r="D80" s="22"/>
      <c r="E80" s="22"/>
      <c r="F80" s="42"/>
      <c r="G80" s="22"/>
      <c r="H80" s="22"/>
      <c r="I80" s="22"/>
      <c r="J80" s="22"/>
      <c r="K80" s="24"/>
      <c r="L80" s="22"/>
      <c r="M80" s="22"/>
      <c r="N80" s="22"/>
      <c r="O80" s="22"/>
      <c r="P80" s="24"/>
      <c r="Q80" s="22"/>
      <c r="R80" s="22"/>
      <c r="S80" s="22"/>
      <c r="T80" s="22"/>
      <c r="U80" s="24"/>
      <c r="V80" s="22"/>
      <c r="W80" s="22"/>
      <c r="X80" s="22"/>
      <c r="Y80" s="22"/>
      <c r="Z80" s="24"/>
      <c r="AA80" s="22"/>
      <c r="AB80" s="22"/>
      <c r="AC80" s="22"/>
      <c r="AD80" s="22"/>
      <c r="AE80" s="24"/>
      <c r="AF80" s="22"/>
      <c r="AG80" s="22"/>
      <c r="AH80" s="22"/>
      <c r="AI80" s="22"/>
      <c r="AJ80" s="24"/>
      <c r="AK80" s="22"/>
      <c r="AL80" s="22"/>
      <c r="AM80" s="22"/>
      <c r="AN80" s="22"/>
      <c r="AO80" s="24"/>
      <c r="AP80" s="22"/>
      <c r="AQ80" s="22"/>
      <c r="AR80" s="22"/>
      <c r="AS80" s="22"/>
      <c r="AT80" s="24"/>
      <c r="AU80" s="22"/>
      <c r="AV80" s="22"/>
      <c r="AW80" s="22"/>
      <c r="AX80" s="22"/>
      <c r="AY80" s="24"/>
      <c r="AZ80" s="22"/>
      <c r="BA80" s="22"/>
      <c r="BB80" s="22"/>
      <c r="BC80" s="22"/>
      <c r="BD80" s="24"/>
      <c r="BE80" s="22"/>
      <c r="BF80" s="22"/>
      <c r="BG80" s="22"/>
      <c r="BH80" s="22"/>
      <c r="BI80" s="24"/>
      <c r="BJ80" s="22"/>
      <c r="BK80" s="22"/>
      <c r="BL80" s="22"/>
      <c r="BM80" s="22"/>
      <c r="BN80" s="24"/>
      <c r="BO80" s="22"/>
      <c r="BP80" s="22"/>
      <c r="BQ80" s="22"/>
      <c r="BR80" s="22"/>
      <c r="BS80" s="24"/>
      <c r="BT80" s="22"/>
      <c r="BU80" s="22"/>
      <c r="BV80" s="22"/>
      <c r="BW80" s="22"/>
      <c r="BX80" s="24"/>
      <c r="BY80" s="22"/>
      <c r="BZ80" s="22"/>
      <c r="CA80" s="22"/>
      <c r="CB80" s="22"/>
      <c r="CC80" s="24"/>
      <c r="CD80" s="22"/>
      <c r="CE80" s="22"/>
      <c r="CF80" s="22"/>
      <c r="CG80" s="22"/>
      <c r="CH80" s="24"/>
      <c r="CI80" s="22"/>
      <c r="CJ80" s="22"/>
      <c r="CK80" s="22"/>
      <c r="CL80" s="22"/>
      <c r="CM80" s="24"/>
      <c r="CN80" s="22"/>
      <c r="CO80" s="22"/>
      <c r="CP80" s="22"/>
      <c r="CQ80" s="22"/>
      <c r="CR80" s="24"/>
    </row>
    <row r="81" spans="1:96" s="17" customFormat="1" ht="15" x14ac:dyDescent="0.4">
      <c r="A81" s="15" t="s">
        <v>88</v>
      </c>
      <c r="B81" s="37"/>
      <c r="C81" s="16">
        <f>IFERROR(C49/B49*100-100,"")</f>
        <v>21.003772913820072</v>
      </c>
      <c r="D81" s="16">
        <f t="shared" ref="D81:E81" si="255">IFERROR(D49/C49*100-100,"")</f>
        <v>9.6816420530576437</v>
      </c>
      <c r="E81" s="16">
        <f t="shared" si="255"/>
        <v>2.7381769694404738</v>
      </c>
      <c r="F81" s="37"/>
      <c r="G81" s="16">
        <f>IFERROR(G49/E49*100-100,"")</f>
        <v>-13.140254666545587</v>
      </c>
      <c r="H81" s="16">
        <f>IFERROR(H49/G49*100-100,"")</f>
        <v>13.331599219203596</v>
      </c>
      <c r="I81" s="16">
        <f t="shared" ref="I81:J81" si="256">IFERROR(I49/H49*100-100,"")</f>
        <v>2.2674438272318014</v>
      </c>
      <c r="J81" s="16">
        <f t="shared" si="256"/>
        <v>13.831943119588345</v>
      </c>
      <c r="K81" s="16">
        <f>IFERROR(K49/F49*100-100,"")</f>
        <v>11.449225942489875</v>
      </c>
      <c r="L81" s="16">
        <f>IFERROR(L49/J49*100-100,"")</f>
        <v>-21.783790971963825</v>
      </c>
      <c r="M81" s="16">
        <f>IFERROR(M49/L49*100-100,"")</f>
        <v>10.588486318960918</v>
      </c>
      <c r="N81" s="16">
        <f t="shared" ref="N81:O81" si="257">IFERROR(N49/M49*100-100,"")</f>
        <v>4.6063976990641464</v>
      </c>
      <c r="O81" s="16">
        <f t="shared" si="257"/>
        <v>18.243007781302055</v>
      </c>
      <c r="P81" s="16">
        <f>IFERROR(P49/K49*100-100,"")</f>
        <v>3.6161650535685226</v>
      </c>
      <c r="Q81" s="16">
        <f>IFERROR(Q49/O49*100-100,"")</f>
        <v>-23.64531088076842</v>
      </c>
      <c r="R81" s="16" t="str">
        <f>IFERROR(R49/Q49*100-100,"")</f>
        <v/>
      </c>
      <c r="S81" s="16" t="str">
        <f t="shared" ref="S81:T81" si="258">IFERROR(S49/R49*100-100,"")</f>
        <v/>
      </c>
      <c r="T81" s="16">
        <f t="shared" si="258"/>
        <v>8.6509382883297263</v>
      </c>
      <c r="U81" s="16" t="str">
        <f>IFERROR(U49/P49*100-100,"")</f>
        <v/>
      </c>
      <c r="V81" s="16">
        <f>IFERROR(V49/T49*100-100,"")</f>
        <v>-23.285955491172288</v>
      </c>
      <c r="W81" s="16">
        <f>IFERROR(W49/V49*100-100,"")</f>
        <v>25.38008580878315</v>
      </c>
      <c r="X81" s="16">
        <f t="shared" ref="X81:Y81" si="259">IFERROR(X49/W49*100-100,"")</f>
        <v>3.9915668397673301</v>
      </c>
      <c r="Y81" s="16">
        <f t="shared" si="259"/>
        <v>6.9933419547525233</v>
      </c>
      <c r="Z81" s="16" t="str">
        <f>IFERROR(Z49/U49*100-100,"")</f>
        <v/>
      </c>
      <c r="AA81" s="16">
        <f>IFERROR(AA49/Y49*100-100,"")</f>
        <v>-19.020916233924808</v>
      </c>
      <c r="AB81" s="16">
        <f>IFERROR(AB49/AA49*100-100,"")</f>
        <v>18.856791345438026</v>
      </c>
      <c r="AC81" s="16">
        <f t="shared" ref="AC81:AD81" si="260">IFERROR(AC49/AB49*100-100,"")</f>
        <v>5.3182548698691647</v>
      </c>
      <c r="AD81" s="16">
        <f t="shared" si="260"/>
        <v>7.1209823114608923</v>
      </c>
      <c r="AE81" s="16">
        <f>IFERROR(AE49/Z49*100-100,"")</f>
        <v>9.0583777509097132</v>
      </c>
      <c r="AF81" s="16">
        <f>IFERROR(AF49/AD49*100-100,"")</f>
        <v>-20.420013016792126</v>
      </c>
      <c r="AG81" s="16">
        <f>IFERROR(AG49/AF49*100-100,"")</f>
        <v>12.817192479413706</v>
      </c>
      <c r="AH81" s="16">
        <f t="shared" ref="AH81:AI81" si="261">IFERROR(AH49/AG49*100-100,"")</f>
        <v>8.4497985733956256</v>
      </c>
      <c r="AI81" s="16">
        <f t="shared" si="261"/>
        <v>10.317122536772843</v>
      </c>
      <c r="AJ81" s="16">
        <f>IFERROR(AJ49/AE49*100-100,"")</f>
        <v>4.9278274904071253</v>
      </c>
      <c r="AK81" s="16">
        <f>IFERROR(AK49/AI49*100-100,"")</f>
        <v>-18.828874529290573</v>
      </c>
      <c r="AL81" s="16">
        <f>IFERROR(AL49/AK49*100-100,"")</f>
        <v>10.202166823375421</v>
      </c>
      <c r="AM81" s="16">
        <f t="shared" ref="AM81:AN81" si="262">IFERROR(AM49/AL49*100-100,"")</f>
        <v>8.006038680917186</v>
      </c>
      <c r="AN81" s="16">
        <f t="shared" si="262"/>
        <v>9.5554691183253482</v>
      </c>
      <c r="AO81" s="16">
        <f>IFERROR(AO49/AJ49*100-100,"")</f>
        <v>7.1088314203292811</v>
      </c>
      <c r="AP81" s="16">
        <f>IFERROR(AP49/AN49*100-100,"")</f>
        <v>-17.936805393973685</v>
      </c>
      <c r="AQ81" s="16">
        <f>IFERROR(AQ49/AP49*100-100,"")</f>
        <v>5.8425098939084137</v>
      </c>
      <c r="AR81" s="16">
        <f t="shared" ref="AR81:AS81" si="263">IFERROR(AR49/AQ49*100-100,"")</f>
        <v>6.0860512756556062</v>
      </c>
      <c r="AS81" s="16">
        <f t="shared" si="263"/>
        <v>9.9782250383247799</v>
      </c>
      <c r="AT81" s="16">
        <f>IFERROR(AT49/AO49*100-100,"")</f>
        <v>2.815847873171279</v>
      </c>
      <c r="AU81" s="16">
        <f>IFERROR(AU49/AS49*100-100,"")</f>
        <v>-17.144059834741626</v>
      </c>
      <c r="AV81" s="16">
        <f>IFERROR(AV49/AU49*100-100,"")</f>
        <v>5.2395960500078331</v>
      </c>
      <c r="AW81" s="16">
        <f t="shared" ref="AW81:AX81" si="264">IFERROR(AW49/AV49*100-100,"")</f>
        <v>8.9132248162970882</v>
      </c>
      <c r="AX81" s="16">
        <f t="shared" si="264"/>
        <v>7.2076288793672347</v>
      </c>
      <c r="AY81" s="16">
        <f>IFERROR(AY49/AT49*100-100,"")</f>
        <v>2.5780856577577822</v>
      </c>
      <c r="AZ81" s="16">
        <f>IFERROR(AZ49/AX49*100-100,"")</f>
        <v>-18.5031312441468</v>
      </c>
      <c r="BA81" s="16">
        <f>IFERROR(BA49/AZ49*100-100,"")</f>
        <v>5.6198324678240539</v>
      </c>
      <c r="BB81" s="16">
        <f t="shared" ref="BB81:BC81" si="265">IFERROR(BB49/BA49*100-100,"")</f>
        <v>8.3802629576111656</v>
      </c>
      <c r="BC81" s="16">
        <f t="shared" si="265"/>
        <v>7.2692371937768741</v>
      </c>
      <c r="BD81" s="16">
        <f>IFERROR(BD49/AY49*100-100,"")</f>
        <v>0.17656313275647051</v>
      </c>
      <c r="BE81" s="16">
        <f>IFERROR(BE49/BC49*100-100,"")</f>
        <v>-18.39584708506149</v>
      </c>
      <c r="BF81" s="16">
        <f>IFERROR(BF49/BE49*100-100,"")</f>
        <v>5.663768054049271</v>
      </c>
      <c r="BG81" s="16">
        <f t="shared" ref="BG81:BH81" si="266">IFERROR(BG49/BF49*100-100,"")</f>
        <v>9.8502558701184739</v>
      </c>
      <c r="BH81" s="16">
        <f t="shared" si="266"/>
        <v>3.5306160702881897</v>
      </c>
      <c r="BI81" s="16">
        <f>IFERROR(BI49/BD49*100-100,"")</f>
        <v>-1.7595765143724407E-2</v>
      </c>
      <c r="BJ81" s="16">
        <f>IFERROR(BJ49/BH49*100-100,"")</f>
        <v>-46.348037769116111</v>
      </c>
      <c r="BK81" s="16">
        <f>IFERROR(BK49/BJ49*100-100,"")</f>
        <v>20.110531292635642</v>
      </c>
      <c r="BL81" s="16">
        <f t="shared" ref="BL81:BM81" si="267">IFERROR(BL49/BK49*100-100,"")</f>
        <v>6.249893297833637</v>
      </c>
      <c r="BM81" s="16">
        <f t="shared" si="267"/>
        <v>26.610507052324749</v>
      </c>
      <c r="BN81" s="16">
        <f>IFERROR(BN49/BI49*100-100,"")</f>
        <v>-25.692995909753947</v>
      </c>
      <c r="BO81" s="16">
        <f>IFERROR(BO49/BM49*100-100,"")</f>
        <v>-54.637608882335954</v>
      </c>
      <c r="BP81" s="16">
        <f>IFERROR(BP49/BO49*100-100,"")</f>
        <v>95.425117983201403</v>
      </c>
      <c r="BQ81" s="16">
        <f t="shared" ref="BQ81:BR81" si="268">IFERROR(BQ49/BP49*100-100,"")</f>
        <v>-19.141753701217837</v>
      </c>
      <c r="BR81" s="16">
        <f t="shared" si="268"/>
        <v>64.782356195568411</v>
      </c>
      <c r="BS81" s="16">
        <f>IFERROR(BS49/BN49*100-100,"")</f>
        <v>2.728411664957946</v>
      </c>
      <c r="BT81" s="16">
        <f>IFERROR(BT49/BR49*100-100,"")</f>
        <v>-60.511855888424563</v>
      </c>
      <c r="BU81" s="16">
        <f>IFERROR(BU49/BT49*100-100,"")</f>
        <v>40.090547251969525</v>
      </c>
      <c r="BV81" s="16">
        <f t="shared" ref="BV81:BW81" si="269">IFERROR(BV49/BU49*100-100,"")</f>
        <v>23.343577041069906</v>
      </c>
      <c r="BW81" s="16">
        <f t="shared" si="269"/>
        <v>42.336511033279834</v>
      </c>
      <c r="BX81" s="16">
        <f>IFERROR(BX49/BS49*100-100,"")</f>
        <v>-5.1007723522579482</v>
      </c>
      <c r="BY81" s="16">
        <f>IFERROR(BY49/BW49*100-100,"")</f>
        <v>-58.450046139824899</v>
      </c>
      <c r="BZ81" s="16">
        <f>IFERROR(BZ49/BY49*100-100,"")</f>
        <v>65.586330389863377</v>
      </c>
      <c r="CA81" s="16">
        <f t="shared" ref="CA81:CB81" si="270">IFERROR(CA49/BZ49*100-100,"")</f>
        <v>-6.5761103584328993</v>
      </c>
      <c r="CB81" s="16">
        <f t="shared" si="270"/>
        <v>47.33943034443223</v>
      </c>
      <c r="CC81" s="16">
        <f>IFERROR(CC49/BX49*100-100,"")</f>
        <v>0.5441271126620677</v>
      </c>
      <c r="CD81" s="16">
        <f>IFERROR(CD49/CB49*100-100,"")</f>
        <v>-52.68945333644632</v>
      </c>
      <c r="CE81" s="16">
        <f>IFERROR(CE49/CD49*100-100,"")</f>
        <v>55.151143168687952</v>
      </c>
      <c r="CF81" s="16">
        <f t="shared" ref="CF81:CG81" si="271">IFERROR(CF49/CE49*100-100,"")</f>
        <v>-6.4239277488108399</v>
      </c>
      <c r="CG81" s="16">
        <f t="shared" si="271"/>
        <v>48.107249791692738</v>
      </c>
      <c r="CH81" s="16">
        <f>IFERROR(CH49/CC49*100-100,"")</f>
        <v>2.3701708605490666</v>
      </c>
      <c r="CI81" s="16">
        <f>IFERROR(CI49/CG49*100-100,"")</f>
        <v>-48.555053386818848</v>
      </c>
      <c r="CJ81" s="16">
        <f>IFERROR(CJ49/CI49*100-100,"")</f>
        <v>22.010475055005998</v>
      </c>
      <c r="CK81" s="16">
        <f t="shared" ref="CK81:CL81" si="272">IFERROR(CK49/CJ49*100-100,"")</f>
        <v>0.67013235608864363</v>
      </c>
      <c r="CL81" s="16">
        <f t="shared" si="272"/>
        <v>24.792178428585544</v>
      </c>
      <c r="CM81" s="16">
        <f>IFERROR(CM49/CH49*100-100,"")</f>
        <v>-10.455409863780275</v>
      </c>
      <c r="CN81" s="16">
        <f>IFERROR(CN49/CL49*100-100,"")</f>
        <v>-100</v>
      </c>
      <c r="CO81" s="16" t="str">
        <f>IFERROR(CO49/CN49*100-100,"")</f>
        <v/>
      </c>
      <c r="CP81" s="16" t="str">
        <f t="shared" ref="CP81:CQ81" si="273">IFERROR(CP49/CO49*100-100,"")</f>
        <v/>
      </c>
      <c r="CQ81" s="16" t="str">
        <f t="shared" si="273"/>
        <v/>
      </c>
      <c r="CR81" s="16">
        <f>IFERROR(CR49/CM49*100-100,"")</f>
        <v>-100</v>
      </c>
    </row>
    <row r="82" spans="1:96" s="9" customFormat="1" ht="15" x14ac:dyDescent="0.4">
      <c r="A82" s="25"/>
      <c r="B82" s="42"/>
      <c r="C82" s="22"/>
      <c r="D82" s="22"/>
      <c r="E82" s="22"/>
      <c r="F82" s="42"/>
      <c r="G82" s="22"/>
      <c r="H82" s="22"/>
      <c r="I82" s="22"/>
      <c r="J82" s="22"/>
      <c r="K82" s="24"/>
      <c r="L82" s="22"/>
      <c r="M82" s="22"/>
      <c r="N82" s="22"/>
      <c r="O82" s="22"/>
      <c r="P82" s="24"/>
      <c r="Q82" s="22"/>
      <c r="R82" s="22"/>
      <c r="S82" s="22"/>
      <c r="T82" s="22"/>
      <c r="U82" s="24"/>
      <c r="V82" s="22"/>
      <c r="W82" s="22"/>
      <c r="X82" s="22"/>
      <c r="Y82" s="22"/>
      <c r="Z82" s="24"/>
      <c r="AA82" s="22"/>
      <c r="AB82" s="22"/>
      <c r="AC82" s="22"/>
      <c r="AD82" s="22"/>
      <c r="AE82" s="24"/>
      <c r="AF82" s="22"/>
      <c r="AG82" s="22"/>
      <c r="AH82" s="22"/>
      <c r="AI82" s="22"/>
      <c r="AJ82" s="24"/>
      <c r="AK82" s="22"/>
      <c r="AL82" s="22"/>
      <c r="AM82" s="22"/>
      <c r="AN82" s="22"/>
      <c r="AO82" s="24"/>
      <c r="AP82" s="22"/>
      <c r="AQ82" s="22"/>
      <c r="AR82" s="22"/>
      <c r="AS82" s="22"/>
      <c r="AT82" s="24"/>
      <c r="AU82" s="22"/>
      <c r="AV82" s="22"/>
      <c r="AW82" s="22"/>
      <c r="AX82" s="22"/>
      <c r="AY82" s="24"/>
      <c r="AZ82" s="22"/>
      <c r="BA82" s="22"/>
      <c r="BB82" s="22"/>
      <c r="BC82" s="22"/>
      <c r="BD82" s="24"/>
      <c r="BE82" s="22"/>
      <c r="BF82" s="22"/>
      <c r="BG82" s="22"/>
      <c r="BH82" s="22"/>
      <c r="BI82" s="24"/>
      <c r="BJ82" s="22"/>
      <c r="BK82" s="22"/>
      <c r="BL82" s="22"/>
      <c r="BM82" s="22"/>
      <c r="BN82" s="24"/>
      <c r="BO82" s="22"/>
      <c r="BP82" s="22"/>
      <c r="BQ82" s="22"/>
      <c r="BR82" s="22"/>
      <c r="BS82" s="24"/>
      <c r="BT82" s="22"/>
      <c r="BU82" s="22"/>
      <c r="BV82" s="22"/>
      <c r="BW82" s="22"/>
      <c r="BX82" s="24"/>
      <c r="BY82" s="22"/>
      <c r="BZ82" s="22"/>
      <c r="CA82" s="22"/>
      <c r="CB82" s="22"/>
      <c r="CC82" s="24"/>
      <c r="CD82" s="22"/>
      <c r="CE82" s="22"/>
      <c r="CF82" s="22"/>
      <c r="CG82" s="22"/>
      <c r="CH82" s="24"/>
      <c r="CI82" s="22"/>
      <c r="CJ82" s="22"/>
      <c r="CK82" s="22"/>
      <c r="CL82" s="22"/>
      <c r="CM82" s="24"/>
      <c r="CN82" s="22"/>
      <c r="CO82" s="22"/>
      <c r="CP82" s="22"/>
      <c r="CQ82" s="22"/>
      <c r="CR82" s="24"/>
    </row>
    <row r="83" spans="1:96" s="17" customFormat="1" ht="15" x14ac:dyDescent="0.4">
      <c r="A83" s="15" t="s">
        <v>89</v>
      </c>
      <c r="B83" s="37"/>
      <c r="C83" s="16">
        <f>IFERROR(C51/B51*100-100,"")</f>
        <v>1.1963469471263863</v>
      </c>
      <c r="D83" s="16">
        <f t="shared" ref="D83:E83" si="274">IFERROR(D51/C51*100-100,"")</f>
        <v>0.92760191804286762</v>
      </c>
      <c r="E83" s="16">
        <f t="shared" si="274"/>
        <v>3.6573711122041885</v>
      </c>
      <c r="F83" s="37"/>
      <c r="G83" s="16">
        <f>IFERROR(G51/E51*100-100,"")</f>
        <v>-15.184377331493266</v>
      </c>
      <c r="H83" s="16">
        <f>IFERROR(H51/G51*100-100,"")</f>
        <v>2.2535015271041061</v>
      </c>
      <c r="I83" s="16">
        <f t="shared" ref="I83:J83" si="275">IFERROR(I51/H51*100-100,"")</f>
        <v>3.1361482002043743</v>
      </c>
      <c r="J83" s="16">
        <f t="shared" si="275"/>
        <v>4.9808496486564877</v>
      </c>
      <c r="K83" s="16">
        <f>IFERROR(K51/F51*100-100,"")</f>
        <v>-8.1809355822685177</v>
      </c>
      <c r="L83" s="16">
        <f>IFERROR(L51/J51*100-100,"")</f>
        <v>-7.6560658758047708</v>
      </c>
      <c r="M83" s="16">
        <f>IFERROR(M51/L51*100-100,"")</f>
        <v>15.20668995431447</v>
      </c>
      <c r="N83" s="16">
        <f t="shared" ref="N83:O83" si="276">IFERROR(N51/M51*100-100,"")</f>
        <v>1.3150357906568644</v>
      </c>
      <c r="O83" s="16">
        <f t="shared" si="276"/>
        <v>0.86905276645158835</v>
      </c>
      <c r="P83" s="16">
        <f>IFERROR(P51/K51*100-100,"")</f>
        <v>9.8693236672689579</v>
      </c>
      <c r="Q83" s="16">
        <f>IFERROR(Q51/O51*100-100,"")</f>
        <v>6.5928681250434664</v>
      </c>
      <c r="R83" s="16" t="str">
        <f>IFERROR(R51/Q51*100-100,"")</f>
        <v/>
      </c>
      <c r="S83" s="16" t="str">
        <f t="shared" ref="S83:T83" si="277">IFERROR(S51/R51*100-100,"")</f>
        <v/>
      </c>
      <c r="T83" s="16">
        <f t="shared" si="277"/>
        <v>5.7054173625799649</v>
      </c>
      <c r="U83" s="16" t="str">
        <f>IFERROR(U51/P51*100-100,"")</f>
        <v/>
      </c>
      <c r="V83" s="16">
        <f>IFERROR(V51/T51*100-100,"")</f>
        <v>7.6816667168980928</v>
      </c>
      <c r="W83" s="16">
        <f>IFERROR(W51/V51*100-100,"")</f>
        <v>7.6382832436312924</v>
      </c>
      <c r="X83" s="16">
        <f t="shared" ref="X83:Y83" si="278">IFERROR(X51/W51*100-100,"")</f>
        <v>1.706885144411288</v>
      </c>
      <c r="Y83" s="16">
        <f t="shared" si="278"/>
        <v>0.74869093721095226</v>
      </c>
      <c r="Z83" s="16" t="str">
        <f>IFERROR(Z51/U51*100-100,"")</f>
        <v/>
      </c>
      <c r="AA83" s="16">
        <f>IFERROR(AA51/Y51*100-100,"")</f>
        <v>8.2186672060767734</v>
      </c>
      <c r="AB83" s="16">
        <f>IFERROR(AB51/AA51*100-100,"")</f>
        <v>-13.852131642561389</v>
      </c>
      <c r="AC83" s="16">
        <f t="shared" ref="AC83:AD83" si="279">IFERROR(AC51/AB51*100-100,"")</f>
        <v>8.09878178003747</v>
      </c>
      <c r="AD83" s="16">
        <f t="shared" si="279"/>
        <v>8.2322901785589693</v>
      </c>
      <c r="AE83" s="16">
        <f>IFERROR(AE51/Z51*100-100,"")</f>
        <v>6.1381478265328298</v>
      </c>
      <c r="AF83" s="16">
        <f>IFERROR(AF51/AD51*100-100,"")</f>
        <v>2.5222615787590144</v>
      </c>
      <c r="AG83" s="16">
        <f>IFERROR(AG51/AF51*100-100,"")</f>
        <v>-7.221974774794063</v>
      </c>
      <c r="AH83" s="16">
        <f t="shared" ref="AH83:AI83" si="280">IFERROR(AH51/AG51*100-100,"")</f>
        <v>4.2787316120794117</v>
      </c>
      <c r="AI83" s="16">
        <f t="shared" si="280"/>
        <v>6.644659847445979</v>
      </c>
      <c r="AJ83" s="16">
        <f>IFERROR(AJ51/AE51*100-100,"")</f>
        <v>6.769472589528732</v>
      </c>
      <c r="AK83" s="16">
        <f>IFERROR(AK51/AI51*100-100,"")</f>
        <v>-6.3618075559225673</v>
      </c>
      <c r="AL83" s="16">
        <f>IFERROR(AL51/AK51*100-100,"")</f>
        <v>6.0830514543078777</v>
      </c>
      <c r="AM83" s="16">
        <f t="shared" ref="AM83:AN83" si="281">IFERROR(AM51/AL51*100-100,"")</f>
        <v>5.2130000854373293</v>
      </c>
      <c r="AN83" s="16">
        <f t="shared" si="281"/>
        <v>8.2000653081792905</v>
      </c>
      <c r="AO83" s="16">
        <f>IFERROR(AO51/AJ51*100-100,"")</f>
        <v>7.8702006823118325</v>
      </c>
      <c r="AP83" s="16">
        <f>IFERROR(AP51/AN51*100-100,"")</f>
        <v>-8.3872271500012374</v>
      </c>
      <c r="AQ83" s="16">
        <f>IFERROR(AQ51/AP51*100-100,"")</f>
        <v>2.9789225824761587</v>
      </c>
      <c r="AR83" s="16">
        <f t="shared" ref="AR83:AS83" si="282">IFERROR(AR51/AQ51*100-100,"")</f>
        <v>4.6420767645874719</v>
      </c>
      <c r="AS83" s="16">
        <f t="shared" si="282"/>
        <v>6.9280278844425283</v>
      </c>
      <c r="AT83" s="16">
        <f>IFERROR(AT51/AO51*100-100,"")</f>
        <v>7.482864271880004</v>
      </c>
      <c r="AU83" s="16">
        <f>IFERROR(AU51/AS51*100-100,"")</f>
        <v>-7.2425141387657135</v>
      </c>
      <c r="AV83" s="16">
        <f>IFERROR(AV51/AU51*100-100,"")</f>
        <v>3.604642519592872</v>
      </c>
      <c r="AW83" s="16">
        <f t="shared" ref="AW83:AX83" si="283">IFERROR(AW51/AV51*100-100,"")</f>
        <v>3.6316315261443464</v>
      </c>
      <c r="AX83" s="16">
        <f t="shared" si="283"/>
        <v>5.6891204048953341</v>
      </c>
      <c r="AY83" s="16">
        <f>IFERROR(AY51/AT51*100-100,"")</f>
        <v>6.4993572315256216</v>
      </c>
      <c r="AZ83" s="16">
        <f>IFERROR(AZ51/AX51*100-100,"")</f>
        <v>-4.9124856520370201</v>
      </c>
      <c r="BA83" s="16">
        <f>IFERROR(BA51/AZ51*100-100,"")</f>
        <v>1.9163628116253051</v>
      </c>
      <c r="BB83" s="16">
        <f t="shared" ref="BB83:BC83" si="284">IFERROR(BB51/BA51*100-100,"")</f>
        <v>2.1458605009489418</v>
      </c>
      <c r="BC83" s="16">
        <f t="shared" si="284"/>
        <v>2.6524684431947492</v>
      </c>
      <c r="BD83" s="16">
        <f>IFERROR(BD51/AY51*100-100,"")</f>
        <v>4.9615022290949469</v>
      </c>
      <c r="BE83" s="16">
        <f>IFERROR(BE51/BC51*100-100,"")</f>
        <v>-3.5007564584451529</v>
      </c>
      <c r="BF83" s="16">
        <f>IFERROR(BF51/BE51*100-100,"")</f>
        <v>3.0307958004557776</v>
      </c>
      <c r="BG83" s="16">
        <f t="shared" ref="BG83:BH83" si="285">IFERROR(BG51/BF51*100-100,"")</f>
        <v>5.2878889623998617</v>
      </c>
      <c r="BH83" s="16">
        <f t="shared" si="285"/>
        <v>4.4356330218208342</v>
      </c>
      <c r="BI83" s="16">
        <f>IFERROR(BI51/BD51*100-100,"")</f>
        <v>6.0997839970661687</v>
      </c>
      <c r="BJ83" s="16">
        <f>IFERROR(BJ51/BH51*100-100,"")</f>
        <v>-9.8886210061357787</v>
      </c>
      <c r="BK83" s="16">
        <f>IFERROR(BK51/BJ51*100-100,"")</f>
        <v>1.9238887369624251</v>
      </c>
      <c r="BL83" s="16">
        <f t="shared" ref="BL83:BM83" si="286">IFERROR(BL51/BK51*100-100,"")</f>
        <v>5.2616320745172231</v>
      </c>
      <c r="BM83" s="16">
        <f t="shared" si="286"/>
        <v>1.3490602979889132</v>
      </c>
      <c r="BN83" s="16">
        <f>IFERROR(BN51/BI51*100-100,"")</f>
        <v>0.44024048793933446</v>
      </c>
      <c r="BO83" s="16">
        <f>IFERROR(BO51/BM51*100-100,"")</f>
        <v>-2.3407223824620615</v>
      </c>
      <c r="BP83" s="16">
        <f>IFERROR(BP51/BO51*100-100,"")</f>
        <v>1.124797001553361</v>
      </c>
      <c r="BQ83" s="16">
        <f t="shared" ref="BQ83:BR83" si="287">IFERROR(BQ51/BP51*100-100,"")</f>
        <v>6.217847619469552</v>
      </c>
      <c r="BR83" s="16">
        <f t="shared" si="287"/>
        <v>1.1904596100447122</v>
      </c>
      <c r="BS83" s="16">
        <f>IFERROR(BS51/BN51*100-100,"")</f>
        <v>6.0070097856856961</v>
      </c>
      <c r="BT83" s="16">
        <f>IFERROR(BT51/BR51*100-100,"")</f>
        <v>-10.154405686562811</v>
      </c>
      <c r="BU83" s="16">
        <f>IFERROR(BU51/BT51*100-100,"")</f>
        <v>8.6947902189521216</v>
      </c>
      <c r="BV83" s="16">
        <f t="shared" ref="BV83:BW83" si="288">IFERROR(BV51/BU51*100-100,"")</f>
        <v>-4.2822171786923491E-2</v>
      </c>
      <c r="BW83" s="16">
        <f t="shared" si="288"/>
        <v>7.4151528653274283</v>
      </c>
      <c r="BX83" s="16">
        <f>IFERROR(BX51/BS51*100-100,"")</f>
        <v>1.5909091636308688</v>
      </c>
      <c r="BY83" s="16">
        <f>IFERROR(BY51/BW51*100-100,"")</f>
        <v>-10.893760188005118</v>
      </c>
      <c r="BZ83" s="16">
        <f>IFERROR(BZ51/BY51*100-100,"")</f>
        <v>2.4031597386574504</v>
      </c>
      <c r="CA83" s="16">
        <f t="shared" ref="CA83:CB83" si="289">IFERROR(CA51/BZ51*100-100,"")</f>
        <v>6.196275296456605</v>
      </c>
      <c r="CB83" s="16">
        <f t="shared" si="289"/>
        <v>0.58785831341883465</v>
      </c>
      <c r="CC83" s="16">
        <f>IFERROR(CC51/BX51*100-100,"")</f>
        <v>0.7547015424706558</v>
      </c>
      <c r="CD83" s="16">
        <f>IFERROR(CD51/CB51*100-100,"")</f>
        <v>-6.6208804721452879</v>
      </c>
      <c r="CE83" s="16">
        <f>IFERROR(CE51/CD51*100-100,"")</f>
        <v>2.8438196055652725</v>
      </c>
      <c r="CF83" s="16">
        <f t="shared" ref="CF83:CG85" si="290">IFERROR(CF51/CE51*100-100,"")</f>
        <v>4.412336787341431</v>
      </c>
      <c r="CG83" s="16">
        <f t="shared" si="290"/>
        <v>2.9241912118757085</v>
      </c>
      <c r="CH83" s="16">
        <f>IFERROR(CH51/CC51*100-100,"")</f>
        <v>2.1957262660676946</v>
      </c>
      <c r="CI83" s="16">
        <f>IFERROR(CI51/CG51*100-100,"")</f>
        <v>-7.7754834512495989</v>
      </c>
      <c r="CJ83" s="16">
        <f>IFERROR(CJ51/CI51*100-100,"")</f>
        <v>1.853798480544171</v>
      </c>
      <c r="CK83" s="16">
        <f t="shared" ref="CK83:CL85" si="291">IFERROR(CK51/CJ51*100-100,"")</f>
        <v>4.1850103615611829</v>
      </c>
      <c r="CL83" s="16">
        <f t="shared" si="291"/>
        <v>2.8211791779242219</v>
      </c>
      <c r="CM83" s="16">
        <f>IFERROR(CM51/CH51*100-100,"")</f>
        <v>1.0397789803402873</v>
      </c>
      <c r="CN83" s="16">
        <f>IFERROR(CN51/CL51*100-100,"")</f>
        <v>-100</v>
      </c>
      <c r="CO83" s="16" t="str">
        <f>IFERROR(CO51/CN51*100-100,"")</f>
        <v/>
      </c>
      <c r="CP83" s="16" t="str">
        <f t="shared" ref="CP83:CQ85" si="292">IFERROR(CP51/CO51*100-100,"")</f>
        <v/>
      </c>
      <c r="CQ83" s="16" t="str">
        <f t="shared" si="292"/>
        <v/>
      </c>
      <c r="CR83" s="16">
        <f>IFERROR(CR51/CM51*100-100,"")</f>
        <v>-100</v>
      </c>
    </row>
    <row r="84" spans="1:96" s="9" customFormat="1" ht="15" x14ac:dyDescent="0.4">
      <c r="A84" s="18" t="s">
        <v>90</v>
      </c>
      <c r="B84" s="38"/>
      <c r="C84" s="39">
        <f t="shared" ref="C84:E85" si="293">IFERROR(C52/B52*100-100,"")</f>
        <v>2.2392488306907552</v>
      </c>
      <c r="D84" s="39">
        <f t="shared" si="293"/>
        <v>3.0399987312448076</v>
      </c>
      <c r="E84" s="39">
        <f t="shared" si="293"/>
        <v>5.0593072348329144</v>
      </c>
      <c r="F84" s="38"/>
      <c r="G84" s="39">
        <f t="shared" ref="G84:G85" si="294">IFERROR(G52/E52*100-100,"")</f>
        <v>-13.066156947856101</v>
      </c>
      <c r="H84" s="39">
        <f t="shared" ref="H84:J85" si="295">IFERROR(H52/G52*100-100,"")</f>
        <v>2.9390077853846464</v>
      </c>
      <c r="I84" s="39">
        <f t="shared" si="295"/>
        <v>5.8146627441682597</v>
      </c>
      <c r="J84" s="39">
        <f t="shared" si="295"/>
        <v>8.6551221892027854</v>
      </c>
      <c r="K84" s="40">
        <f t="shared" ref="K84:K85" si="296">IFERROR(K52/F52*100-100,"")</f>
        <v>-1.0347012961887714</v>
      </c>
      <c r="L84" s="39">
        <f t="shared" ref="L84:L85" si="297">IFERROR(L52/J52*100-100,"")</f>
        <v>-10.165673091876343</v>
      </c>
      <c r="M84" s="39">
        <f t="shared" ref="M84:O85" si="298">IFERROR(M52/L52*100-100,"")</f>
        <v>3.7468778098036921</v>
      </c>
      <c r="N84" s="39">
        <f t="shared" si="298"/>
        <v>5.1727388912515408</v>
      </c>
      <c r="O84" s="39">
        <f t="shared" si="298"/>
        <v>8.3931694933188368</v>
      </c>
      <c r="P84" s="40">
        <f t="shared" ref="P84:P85" si="299">IFERROR(P52/K52*100-100,"")</f>
        <v>6.5472350910439303</v>
      </c>
      <c r="Q84" s="39">
        <f t="shared" ref="Q84:Q85" si="300">IFERROR(Q52/O52*100-100,"")</f>
        <v>-6.0000847323392179</v>
      </c>
      <c r="R84" s="39" t="str">
        <f t="shared" ref="R84:T85" si="301">IFERROR(R52/Q52*100-100,"")</f>
        <v/>
      </c>
      <c r="S84" s="39" t="str">
        <f t="shared" si="301"/>
        <v/>
      </c>
      <c r="T84" s="39">
        <f t="shared" si="301"/>
        <v>9.0388174209597594</v>
      </c>
      <c r="U84" s="40" t="str">
        <f t="shared" ref="U84:U85" si="302">IFERROR(U52/P52*100-100,"")</f>
        <v/>
      </c>
      <c r="V84" s="39">
        <f t="shared" ref="V84:V85" si="303">IFERROR(V52/T52*100-100,"")</f>
        <v>5.9658659345621174</v>
      </c>
      <c r="W84" s="39">
        <f t="shared" ref="W84:Y85" si="304">IFERROR(W52/V52*100-100,"")</f>
        <v>6.5491160221168343</v>
      </c>
      <c r="X84" s="39">
        <f t="shared" si="304"/>
        <v>0.83850815615032559</v>
      </c>
      <c r="Y84" s="39">
        <f t="shared" si="304"/>
        <v>2.6259268752241383</v>
      </c>
      <c r="Z84" s="40" t="str">
        <f t="shared" ref="Z84:Z85" si="305">IFERROR(Z52/U52*100-100,"")</f>
        <v/>
      </c>
      <c r="AA84" s="39">
        <f t="shared" ref="AA84:AA85" si="306">IFERROR(AA52/Y52*100-100,"")</f>
        <v>4.6154627890911541</v>
      </c>
      <c r="AB84" s="39">
        <f t="shared" ref="AB84:AD85" si="307">IFERROR(AB52/AA52*100-100,"")</f>
        <v>-4.0068995288917506</v>
      </c>
      <c r="AC84" s="39">
        <f t="shared" si="307"/>
        <v>4.020771601785782</v>
      </c>
      <c r="AD84" s="39">
        <f t="shared" si="307"/>
        <v>4.9410139427720452</v>
      </c>
      <c r="AE84" s="40">
        <f t="shared" ref="AE84:AE85" si="308">IFERROR(AE52/Z52*100-100,"")</f>
        <v>8.9300567369057262</v>
      </c>
      <c r="AF84" s="39">
        <f t="shared" ref="AF84:AF85" si="309">IFERROR(AF52/AD52*100-100,"")</f>
        <v>-0.98182944207769651</v>
      </c>
      <c r="AG84" s="39">
        <f t="shared" ref="AG84:AI85" si="310">IFERROR(AG52/AF52*100-100,"")</f>
        <v>4.4401681544267859</v>
      </c>
      <c r="AH84" s="39">
        <f t="shared" si="310"/>
        <v>2.2632059983130404</v>
      </c>
      <c r="AI84" s="39">
        <f t="shared" si="310"/>
        <v>2.4446327030126014</v>
      </c>
      <c r="AJ84" s="40">
        <f t="shared" ref="AJ84:AJ85" si="311">IFERROR(AJ52/AE52*100-100,"")</f>
        <v>8.9442342738060177</v>
      </c>
      <c r="AK84" s="39">
        <f t="shared" ref="AK84:AK85" si="312">IFERROR(AK52/AI52*100-100,"")</f>
        <v>-5.6955543427709756</v>
      </c>
      <c r="AL84" s="39">
        <f t="shared" ref="AL84:AN85" si="313">IFERROR(AL52/AK52*100-100,"")</f>
        <v>7.905174820338118</v>
      </c>
      <c r="AM84" s="39">
        <f t="shared" si="313"/>
        <v>4.4861400653761052</v>
      </c>
      <c r="AN84" s="39">
        <f t="shared" si="313"/>
        <v>7.050171501465627</v>
      </c>
      <c r="AO84" s="40">
        <f t="shared" ref="AO84:AO85" si="314">IFERROR(AO52/AJ52*100-100,"")</f>
        <v>8.2573425797042574</v>
      </c>
      <c r="AP84" s="39">
        <f t="shared" ref="AP84:AP85" si="315">IFERROR(AP52/AN52*100-100,"")</f>
        <v>-8.10060358433077</v>
      </c>
      <c r="AQ84" s="39">
        <f t="shared" ref="AQ84:AS85" si="316">IFERROR(AQ52/AP52*100-100,"")</f>
        <v>3.4484808051890496</v>
      </c>
      <c r="AR84" s="39">
        <f t="shared" si="316"/>
        <v>4.7732501105582088</v>
      </c>
      <c r="AS84" s="39">
        <f t="shared" si="316"/>
        <v>5.5125840650261466</v>
      </c>
      <c r="AT84" s="40">
        <f t="shared" ref="AT84:AT85" si="317">IFERROR(AT52/AO52*100-100,"")</f>
        <v>7.1103246457962399</v>
      </c>
      <c r="AU84" s="39">
        <f t="shared" ref="AU84:AU85" si="318">IFERROR(AU52/AS52*100-100,"")</f>
        <v>-6.5697261095760524</v>
      </c>
      <c r="AV84" s="39">
        <f t="shared" ref="AV84:AX85" si="319">IFERROR(AV52/AU52*100-100,"")</f>
        <v>3.4338995492788627</v>
      </c>
      <c r="AW84" s="39">
        <f t="shared" si="319"/>
        <v>4.1486448834968144</v>
      </c>
      <c r="AX84" s="39">
        <f t="shared" si="319"/>
        <v>8.7779432942578097</v>
      </c>
      <c r="AY84" s="40">
        <f t="shared" ref="AY84:AY85" si="320">IFERROR(AY52/AT52*100-100,"")</f>
        <v>7.3854855586191945</v>
      </c>
      <c r="AZ84" s="39">
        <f t="shared" ref="AZ84:AZ85" si="321">IFERROR(AZ52/AX52*100-100,"")</f>
        <v>-8.0254578348041434</v>
      </c>
      <c r="BA84" s="39">
        <f t="shared" ref="BA84:BC85" si="322">IFERROR(BA52/AZ52*100-100,"")</f>
        <v>2.9535726890993317</v>
      </c>
      <c r="BB84" s="39">
        <f t="shared" si="322"/>
        <v>2.4172892088112405</v>
      </c>
      <c r="BC84" s="39">
        <f t="shared" si="322"/>
        <v>3.8568991552151033</v>
      </c>
      <c r="BD84" s="40">
        <f t="shared" ref="BD84:BD85" si="323">IFERROR(BD52/AY52*100-100,"")</f>
        <v>5.1511127776019663</v>
      </c>
      <c r="BE84" s="39">
        <f t="shared" ref="BE84:BE85" si="324">IFERROR(BE52/BC52*100-100,"")</f>
        <v>-3.9914873007882505</v>
      </c>
      <c r="BF84" s="39">
        <f t="shared" ref="BF84:BH85" si="325">IFERROR(BF52/BE52*100-100,"")</f>
        <v>2.5985294438408459</v>
      </c>
      <c r="BG84" s="39">
        <f t="shared" si="325"/>
        <v>4.946752399362623</v>
      </c>
      <c r="BH84" s="39">
        <f t="shared" si="325"/>
        <v>3.8570233747729361</v>
      </c>
      <c r="BI84" s="40">
        <f t="shared" ref="BI84:BI85" si="326">IFERROR(BI52/BD52*100-100,"")</f>
        <v>6.1932348800125112</v>
      </c>
      <c r="BJ84" s="39">
        <f t="shared" ref="BJ84:BJ85" si="327">IFERROR(BJ52/BH52*100-100,"")</f>
        <v>-10.756116071483007</v>
      </c>
      <c r="BK84" s="39">
        <f t="shared" ref="BK84:BM85" si="328">IFERROR(BK52/BJ52*100-100,"")</f>
        <v>5.0339847042984047</v>
      </c>
      <c r="BL84" s="39">
        <f t="shared" si="328"/>
        <v>5.0552344408894641</v>
      </c>
      <c r="BM84" s="39">
        <f t="shared" si="328"/>
        <v>-1.7200618288061094</v>
      </c>
      <c r="BN84" s="40">
        <f t="shared" ref="BN84:BN85" si="329">IFERROR(BN52/BI52*100-100,"")</f>
        <v>0.20626977933055457</v>
      </c>
      <c r="BO84" s="39">
        <f t="shared" ref="BO84:BO85" si="330">IFERROR(BO52/BM52*100-100,"")</f>
        <v>-4.5956117381238215</v>
      </c>
      <c r="BP84" s="39">
        <f t="shared" ref="BP84:BR85" si="331">IFERROR(BP52/BO52*100-100,"")</f>
        <v>4.5067286920701406</v>
      </c>
      <c r="BQ84" s="39">
        <f t="shared" si="331"/>
        <v>8.3833915060683495</v>
      </c>
      <c r="BR84" s="39">
        <f t="shared" si="331"/>
        <v>2.0815469374848163</v>
      </c>
      <c r="BS84" s="40">
        <f t="shared" ref="BS84:BS85" si="332">IFERROR(BS52/BN52*100-100,"")</f>
        <v>5.7998532663629163</v>
      </c>
      <c r="BT84" s="39">
        <f t="shared" ref="BT84:BT85" si="333">IFERROR(BT52/BR52*100-100,"")</f>
        <v>-13.636269842030785</v>
      </c>
      <c r="BU84" s="39">
        <f t="shared" ref="BU84:BW85" si="334">IFERROR(BU52/BT52*100-100,"")</f>
        <v>8.4900833812819485</v>
      </c>
      <c r="BV84" s="39">
        <f t="shared" si="334"/>
        <v>-0.37119897316270567</v>
      </c>
      <c r="BW84" s="39">
        <f t="shared" si="334"/>
        <v>9.5550905296885986</v>
      </c>
      <c r="BX84" s="40">
        <f t="shared" ref="BX84:BX85" si="335">IFERROR(BX52/BS52*100-100,"")</f>
        <v>0.22552181560502049</v>
      </c>
      <c r="BY84" s="39">
        <f t="shared" ref="BY84:BY85" si="336">IFERROR(BY52/BW52*100-100,"")</f>
        <v>-11.641206312991031</v>
      </c>
      <c r="BZ84" s="39">
        <f t="shared" ref="BZ84:CB85" si="337">IFERROR(BZ52/BY52*100-100,"")</f>
        <v>-2.9356526913688583</v>
      </c>
      <c r="CA84" s="39">
        <f t="shared" si="337"/>
        <v>9.1763170473390545</v>
      </c>
      <c r="CB84" s="39">
        <f t="shared" si="337"/>
        <v>0.83563248184483996</v>
      </c>
      <c r="CC84" s="40">
        <f t="shared" ref="CC84:CC85" si="338">IFERROR(CC52/BX52*100-100,"")</f>
        <v>-1.407187601664063</v>
      </c>
      <c r="CD84" s="39">
        <f t="shared" ref="CD84:CD85" si="339">IFERROR(CD52/CB52*100-100,"")</f>
        <v>-6.3552634624730189</v>
      </c>
      <c r="CE84" s="39">
        <f t="shared" ref="CE84:CE85" si="340">IFERROR(CE52/CD52*100-100,"")</f>
        <v>1.8968037042807424</v>
      </c>
      <c r="CF84" s="39">
        <f t="shared" si="290"/>
        <v>3.9891890706182096</v>
      </c>
      <c r="CG84" s="39">
        <f t="shared" si="290"/>
        <v>2.7667469928536406</v>
      </c>
      <c r="CH84" s="40">
        <f t="shared" ref="CH84:CH85" si="341">IFERROR(CH52/CC52*100-100,"")</f>
        <v>1.7403369175292625</v>
      </c>
      <c r="CI84" s="39">
        <f t="shared" ref="CI84:CI85" si="342">IFERROR(CI52/CG52*100-100,"")</f>
        <v>-7.4000519654616568</v>
      </c>
      <c r="CJ84" s="39">
        <f t="shared" ref="CJ84:CJ85" si="343">IFERROR(CJ52/CI52*100-100,"")</f>
        <v>1.8354815197067609</v>
      </c>
      <c r="CK84" s="39">
        <f t="shared" si="291"/>
        <v>4.5513352844236152</v>
      </c>
      <c r="CL84" s="39">
        <f t="shared" si="291"/>
        <v>2.43762041279372</v>
      </c>
      <c r="CM84" s="40">
        <f t="shared" ref="CM84:CM85" si="344">IFERROR(CM52/CH52*100-100,"")</f>
        <v>0.98513109261585896</v>
      </c>
      <c r="CN84" s="39">
        <f t="shared" ref="CN84:CN85" si="345">IFERROR(CN52/CL52*100-100,"")</f>
        <v>-100</v>
      </c>
      <c r="CO84" s="39" t="str">
        <f t="shared" ref="CO84:CO85" si="346">IFERROR(CO52/CN52*100-100,"")</f>
        <v/>
      </c>
      <c r="CP84" s="39" t="str">
        <f t="shared" si="292"/>
        <v/>
      </c>
      <c r="CQ84" s="39" t="str">
        <f t="shared" si="292"/>
        <v/>
      </c>
      <c r="CR84" s="40">
        <f t="shared" ref="CR84:CR85" si="347">IFERROR(CR52/CM52*100-100,"")</f>
        <v>-100</v>
      </c>
    </row>
    <row r="85" spans="1:96" s="9" customFormat="1" ht="15" x14ac:dyDescent="0.4">
      <c r="A85" s="18" t="s">
        <v>91</v>
      </c>
      <c r="B85" s="41"/>
      <c r="C85" s="39">
        <f t="shared" si="293"/>
        <v>0.14403734369419396</v>
      </c>
      <c r="D85" s="39">
        <f t="shared" si="293"/>
        <v>-1.2484444209684682</v>
      </c>
      <c r="E85" s="39">
        <f t="shared" si="293"/>
        <v>2.1504769133856172</v>
      </c>
      <c r="F85" s="38"/>
      <c r="G85" s="39">
        <f t="shared" si="294"/>
        <v>-17.526015627035363</v>
      </c>
      <c r="H85" s="39">
        <f t="shared" si="295"/>
        <v>1.4547126741426268</v>
      </c>
      <c r="I85" s="39">
        <f t="shared" si="295"/>
        <v>-3.0664173109030912E-2</v>
      </c>
      <c r="J85" s="39">
        <f t="shared" si="295"/>
        <v>0.38274621216503135</v>
      </c>
      <c r="K85" s="40">
        <f t="shared" si="296"/>
        <v>-15.719770648655611</v>
      </c>
      <c r="L85" s="39">
        <f t="shared" si="297"/>
        <v>-4.2566503320870481</v>
      </c>
      <c r="M85" s="39">
        <f t="shared" si="298"/>
        <v>29.771663511063963</v>
      </c>
      <c r="N85" s="39">
        <f t="shared" si="298"/>
        <v>-2.6046943288862963</v>
      </c>
      <c r="O85" s="39">
        <f t="shared" si="298"/>
        <v>-7.3865359612914006</v>
      </c>
      <c r="P85" s="40">
        <f t="shared" si="299"/>
        <v>13.984566152664996</v>
      </c>
      <c r="Q85" s="39">
        <f t="shared" si="300"/>
        <v>22.764278179090397</v>
      </c>
      <c r="R85" s="39" t="str">
        <f t="shared" si="301"/>
        <v/>
      </c>
      <c r="S85" s="39" t="str">
        <f t="shared" si="301"/>
        <v/>
      </c>
      <c r="T85" s="39">
        <f t="shared" si="301"/>
        <v>2.4723358120485273</v>
      </c>
      <c r="U85" s="40" t="str">
        <f t="shared" si="302"/>
        <v/>
      </c>
      <c r="V85" s="39">
        <f t="shared" si="303"/>
        <v>9.4524710620344905</v>
      </c>
      <c r="W85" s="39">
        <f t="shared" si="304"/>
        <v>8.7265583643399509</v>
      </c>
      <c r="X85" s="39">
        <f t="shared" si="304"/>
        <v>2.5571743273268908</v>
      </c>
      <c r="Y85" s="39">
        <f t="shared" si="304"/>
        <v>-1.0586395435368132</v>
      </c>
      <c r="Z85" s="40" t="str">
        <f t="shared" si="305"/>
        <v/>
      </c>
      <c r="AA85" s="39">
        <f t="shared" si="306"/>
        <v>11.816879883161377</v>
      </c>
      <c r="AB85" s="39">
        <f t="shared" si="307"/>
        <v>-23.050533917203026</v>
      </c>
      <c r="AC85" s="39">
        <f t="shared" si="307"/>
        <v>12.85179642875822</v>
      </c>
      <c r="AD85" s="39">
        <f t="shared" si="307"/>
        <v>11.768164137422417</v>
      </c>
      <c r="AE85" s="40">
        <f t="shared" si="308"/>
        <v>3.3893717130040244</v>
      </c>
      <c r="AF85" s="39">
        <f t="shared" si="309"/>
        <v>6.0568183279242618</v>
      </c>
      <c r="AG85" s="39">
        <f t="shared" si="310"/>
        <v>-18.204804330875561</v>
      </c>
      <c r="AH85" s="39">
        <f t="shared" si="310"/>
        <v>6.7023485132355205</v>
      </c>
      <c r="AI85" s="39">
        <f t="shared" si="310"/>
        <v>11.484969807845061</v>
      </c>
      <c r="AJ85" s="40">
        <f t="shared" si="311"/>
        <v>4.5135633137944211</v>
      </c>
      <c r="AK85" s="39">
        <f t="shared" si="312"/>
        <v>-7.0673664681757629</v>
      </c>
      <c r="AL85" s="39">
        <f t="shared" si="313"/>
        <v>4.1249478583518027</v>
      </c>
      <c r="AM85" s="39">
        <f t="shared" si="313"/>
        <v>6.0224614879065257</v>
      </c>
      <c r="AN85" s="39">
        <f t="shared" si="313"/>
        <v>9.4620785189494399</v>
      </c>
      <c r="AO85" s="40">
        <f t="shared" si="314"/>
        <v>7.4515886308500967</v>
      </c>
      <c r="AP85" s="39">
        <f t="shared" si="315"/>
        <v>-8.6948663955336229</v>
      </c>
      <c r="AQ85" s="39">
        <f t="shared" si="316"/>
        <v>2.4716554124373857</v>
      </c>
      <c r="AR85" s="39">
        <f t="shared" si="316"/>
        <v>4.4990183961943302</v>
      </c>
      <c r="AS85" s="39">
        <f t="shared" si="316"/>
        <v>8.4757696867221028</v>
      </c>
      <c r="AT85" s="40">
        <f t="shared" si="317"/>
        <v>7.8887077288469953</v>
      </c>
      <c r="AU85" s="39">
        <f t="shared" si="318"/>
        <v>-7.9580899482087943</v>
      </c>
      <c r="AV85" s="39">
        <f t="shared" si="319"/>
        <v>3.7889836416784135</v>
      </c>
      <c r="AW85" s="39">
        <f t="shared" si="319"/>
        <v>3.0753523573430357</v>
      </c>
      <c r="AX85" s="39">
        <f t="shared" si="319"/>
        <v>2.3311038262191488</v>
      </c>
      <c r="AY85" s="40">
        <f t="shared" si="320"/>
        <v>5.540976576885285</v>
      </c>
      <c r="AZ85" s="39">
        <f t="shared" si="321"/>
        <v>-1.3150067693984937</v>
      </c>
      <c r="BA85" s="39">
        <f t="shared" si="322"/>
        <v>0.79922647963141458</v>
      </c>
      <c r="BB85" s="39">
        <f t="shared" si="322"/>
        <v>1.8472675613876248</v>
      </c>
      <c r="BC85" s="39">
        <f t="shared" si="322"/>
        <v>1.3200842523104512</v>
      </c>
      <c r="BD85" s="40">
        <f t="shared" si="323"/>
        <v>4.7528474242086958</v>
      </c>
      <c r="BE85" s="39">
        <f t="shared" si="324"/>
        <v>-2.9443004789540481</v>
      </c>
      <c r="BF85" s="39">
        <f t="shared" si="325"/>
        <v>3.5156683445218846</v>
      </c>
      <c r="BG85" s="39">
        <f t="shared" si="325"/>
        <v>5.6671510859593042</v>
      </c>
      <c r="BH85" s="39">
        <f t="shared" si="325"/>
        <v>5.0745227097268639</v>
      </c>
      <c r="BI85" s="40">
        <f t="shared" si="326"/>
        <v>5.9965560380631899</v>
      </c>
      <c r="BJ85" s="39">
        <f t="shared" si="327"/>
        <v>-8.9418484374417488</v>
      </c>
      <c r="BK85" s="39">
        <f t="shared" si="328"/>
        <v>-1.4027992974974666</v>
      </c>
      <c r="BL85" s="39">
        <f t="shared" si="328"/>
        <v>5.4968163366006451</v>
      </c>
      <c r="BM85" s="39">
        <f t="shared" si="328"/>
        <v>4.8315998341648623</v>
      </c>
      <c r="BN85" s="40">
        <f t="shared" si="329"/>
        <v>0.69916938287626351</v>
      </c>
      <c r="BO85" s="39">
        <f t="shared" si="330"/>
        <v>5.7998868825734462E-2</v>
      </c>
      <c r="BP85" s="39">
        <f t="shared" si="331"/>
        <v>-2.3055331120795444</v>
      </c>
      <c r="BQ85" s="39">
        <f t="shared" si="331"/>
        <v>3.8681479259829388</v>
      </c>
      <c r="BR85" s="39">
        <f t="shared" si="331"/>
        <v>0.18156456969404644</v>
      </c>
      <c r="BS85" s="40">
        <f t="shared" si="332"/>
        <v>6.2351420127383648</v>
      </c>
      <c r="BT85" s="39">
        <f t="shared" si="333"/>
        <v>-6.1374506030296203</v>
      </c>
      <c r="BU85" s="39">
        <f t="shared" si="334"/>
        <v>8.9120886285081156</v>
      </c>
      <c r="BV85" s="39">
        <f t="shared" si="334"/>
        <v>0.30440253740610501</v>
      </c>
      <c r="BW85" s="39">
        <f t="shared" si="334"/>
        <v>5.1676296529433756</v>
      </c>
      <c r="BX85" s="40">
        <f t="shared" si="335"/>
        <v>3.0883882702564591</v>
      </c>
      <c r="BY85" s="39">
        <f t="shared" si="336"/>
        <v>-10.075985932517142</v>
      </c>
      <c r="BZ85" s="39">
        <f t="shared" si="337"/>
        <v>8.1426364198182881</v>
      </c>
      <c r="CA85" s="39">
        <f t="shared" si="337"/>
        <v>3.3207793022165504</v>
      </c>
      <c r="CB85" s="39">
        <f t="shared" si="337"/>
        <v>0.33522698133243978</v>
      </c>
      <c r="CC85" s="40">
        <f t="shared" si="338"/>
        <v>3.0598924316955589</v>
      </c>
      <c r="CD85" s="39">
        <f t="shared" si="339"/>
        <v>-6.8930551121178496</v>
      </c>
      <c r="CE85" s="39">
        <f t="shared" si="340"/>
        <v>3.8198207817459462</v>
      </c>
      <c r="CF85" s="39">
        <f t="shared" si="290"/>
        <v>4.8403580639479173</v>
      </c>
      <c r="CG85" s="39">
        <f t="shared" si="290"/>
        <v>3.0821558115373051</v>
      </c>
      <c r="CH85" s="40">
        <f t="shared" si="341"/>
        <v>2.660254282843951</v>
      </c>
      <c r="CI85" s="39">
        <f t="shared" si="342"/>
        <v>-8.1510032687666722</v>
      </c>
      <c r="CJ85" s="39">
        <f t="shared" si="343"/>
        <v>1.8722695444980673</v>
      </c>
      <c r="CK85" s="39">
        <f t="shared" si="291"/>
        <v>3.8157368965092644</v>
      </c>
      <c r="CL85" s="39">
        <f t="shared" si="291"/>
        <v>3.2105648251291115</v>
      </c>
      <c r="CM85" s="40">
        <f t="shared" si="344"/>
        <v>1.0950240162232063</v>
      </c>
      <c r="CN85" s="39">
        <f t="shared" si="345"/>
        <v>-100</v>
      </c>
      <c r="CO85" s="39" t="str">
        <f t="shared" si="346"/>
        <v/>
      </c>
      <c r="CP85" s="39" t="str">
        <f t="shared" si="292"/>
        <v/>
      </c>
      <c r="CQ85" s="39" t="str">
        <f t="shared" si="292"/>
        <v/>
      </c>
      <c r="CR85" s="40">
        <f t="shared" si="347"/>
        <v>-100</v>
      </c>
    </row>
    <row r="86" spans="1:96" s="9" customFormat="1" ht="15" x14ac:dyDescent="0.4">
      <c r="A86" s="25"/>
      <c r="B86" s="42"/>
      <c r="C86" s="22"/>
      <c r="D86" s="22"/>
      <c r="E86" s="22"/>
      <c r="F86" s="42"/>
      <c r="G86" s="22"/>
      <c r="H86" s="22"/>
      <c r="I86" s="22"/>
      <c r="J86" s="22"/>
      <c r="K86" s="24"/>
      <c r="L86" s="22"/>
      <c r="M86" s="22"/>
      <c r="N86" s="22"/>
      <c r="O86" s="22"/>
      <c r="P86" s="24"/>
      <c r="Q86" s="22"/>
      <c r="R86" s="22"/>
      <c r="S86" s="22"/>
      <c r="T86" s="22"/>
      <c r="U86" s="24"/>
      <c r="V86" s="22"/>
      <c r="W86" s="22"/>
      <c r="X86" s="22"/>
      <c r="Y86" s="22"/>
      <c r="Z86" s="24"/>
      <c r="AA86" s="22"/>
      <c r="AB86" s="22"/>
      <c r="AC86" s="22"/>
      <c r="AD86" s="22"/>
      <c r="AE86" s="24"/>
      <c r="AF86" s="22"/>
      <c r="AG86" s="22"/>
      <c r="AH86" s="22"/>
      <c r="AI86" s="22"/>
      <c r="AJ86" s="24"/>
      <c r="AK86" s="22"/>
      <c r="AL86" s="22"/>
      <c r="AM86" s="22"/>
      <c r="AN86" s="22"/>
      <c r="AO86" s="24"/>
      <c r="AP86" s="22"/>
      <c r="AQ86" s="22"/>
      <c r="AR86" s="22"/>
      <c r="AS86" s="22"/>
      <c r="AT86" s="24"/>
      <c r="AU86" s="22"/>
      <c r="AV86" s="22"/>
      <c r="AW86" s="22"/>
      <c r="AX86" s="22"/>
      <c r="AY86" s="24"/>
      <c r="AZ86" s="22"/>
      <c r="BA86" s="22"/>
      <c r="BB86" s="22"/>
      <c r="BC86" s="22"/>
      <c r="BD86" s="24"/>
      <c r="BE86" s="22"/>
      <c r="BF86" s="22"/>
      <c r="BG86" s="22"/>
      <c r="BH86" s="22"/>
      <c r="BI86" s="24"/>
      <c r="BJ86" s="22"/>
      <c r="BK86" s="22"/>
      <c r="BL86" s="22"/>
      <c r="BM86" s="22"/>
      <c r="BN86" s="24"/>
      <c r="BO86" s="22"/>
      <c r="BP86" s="22"/>
      <c r="BQ86" s="22"/>
      <c r="BR86" s="22"/>
      <c r="BS86" s="24"/>
      <c r="BT86" s="22"/>
      <c r="BU86" s="22"/>
      <c r="BV86" s="22"/>
      <c r="BW86" s="22"/>
      <c r="BX86" s="24"/>
      <c r="BY86" s="22"/>
      <c r="BZ86" s="22"/>
      <c r="CA86" s="22"/>
      <c r="CB86" s="22"/>
      <c r="CC86" s="24"/>
      <c r="CD86" s="22"/>
      <c r="CE86" s="22"/>
      <c r="CF86" s="22"/>
      <c r="CG86" s="22"/>
      <c r="CH86" s="24"/>
      <c r="CI86" s="22"/>
      <c r="CJ86" s="22"/>
      <c r="CK86" s="22"/>
      <c r="CL86" s="22"/>
      <c r="CM86" s="24"/>
      <c r="CN86" s="22"/>
      <c r="CO86" s="22"/>
      <c r="CP86" s="22"/>
      <c r="CQ86" s="22"/>
      <c r="CR86" s="24"/>
    </row>
    <row r="87" spans="1:96" s="17" customFormat="1" ht="15" x14ac:dyDescent="0.4">
      <c r="A87" s="15" t="s">
        <v>92</v>
      </c>
      <c r="B87" s="37"/>
      <c r="C87" s="16">
        <f>IFERROR(C55/B55*100-100,"")</f>
        <v>-4.4028490077922555</v>
      </c>
      <c r="D87" s="16">
        <f t="shared" ref="D87:E87" si="348">IFERROR(D55/C55*100-100,"")</f>
        <v>134.93590910808257</v>
      </c>
      <c r="E87" s="16">
        <f t="shared" si="348"/>
        <v>-90.794382043559693</v>
      </c>
      <c r="F87" s="37"/>
      <c r="G87" s="16">
        <f>IFERROR(G55/E55*100-100,"")</f>
        <v>231.86856004873664</v>
      </c>
      <c r="H87" s="16">
        <f>IFERROR(H55/G55*100-100,"")</f>
        <v>2.8469689770299453</v>
      </c>
      <c r="I87" s="16">
        <f t="shared" ref="I87:J87" si="349">IFERROR(I55/H55*100-100,"")</f>
        <v>18.206897435248152</v>
      </c>
      <c r="J87" s="16">
        <f t="shared" si="349"/>
        <v>-45.565744495913272</v>
      </c>
      <c r="K87" s="16">
        <f>IFERROR(K55/F55*100-100,"")</f>
        <v>-39.20940174361499</v>
      </c>
      <c r="L87" s="16">
        <f>IFERROR(L55/J55*100-100,"")</f>
        <v>61.261601787323542</v>
      </c>
      <c r="M87" s="16">
        <f>IFERROR(M55/L55*100-100,"")</f>
        <v>109.62642009409075</v>
      </c>
      <c r="N87" s="16">
        <f t="shared" ref="N87:O87" si="350">IFERROR(N55/M55*100-100,"")</f>
        <v>36.680120988428882</v>
      </c>
      <c r="O87" s="16">
        <f t="shared" si="350"/>
        <v>-74.542761144681961</v>
      </c>
      <c r="P87" s="16">
        <f>IFERROR(P55/K55*100-100,"")</f>
        <v>82.805816714735613</v>
      </c>
      <c r="Q87" s="16">
        <f>IFERROR(Q55/O55*100-100,"")</f>
        <v>166.06417270994712</v>
      </c>
      <c r="R87" s="16" t="str">
        <f>IFERROR(R55/Q55*100-100,"")</f>
        <v/>
      </c>
      <c r="S87" s="16" t="str">
        <f t="shared" ref="S87:T87" si="351">IFERROR(S55/R55*100-100,"")</f>
        <v/>
      </c>
      <c r="T87" s="16">
        <f t="shared" si="351"/>
        <v>-34.475892124760051</v>
      </c>
      <c r="U87" s="16" t="str">
        <f>IFERROR(U55/P55*100-100,"")</f>
        <v/>
      </c>
      <c r="V87" s="16">
        <f>IFERROR(V55/T55*100-100,"")</f>
        <v>247.86107757214006</v>
      </c>
      <c r="W87" s="16">
        <f>IFERROR(W55/V55*100-100,"")</f>
        <v>-18.974688850270411</v>
      </c>
      <c r="X87" s="16">
        <f t="shared" ref="X87:Y87" si="352">IFERROR(X55/W55*100-100,"")</f>
        <v>-36.057675025569935</v>
      </c>
      <c r="Y87" s="16">
        <f t="shared" si="352"/>
        <v>-35.30635423812258</v>
      </c>
      <c r="Z87" s="16" t="str">
        <f>IFERROR(Z55/U55*100-100,"")</f>
        <v/>
      </c>
      <c r="AA87" s="16">
        <f>IFERROR(AA55/Y55*100-100,"")</f>
        <v>126.23511367679706</v>
      </c>
      <c r="AB87" s="16">
        <f>IFERROR(AB55/AA55*100-100,"")</f>
        <v>-8.0570430303754677</v>
      </c>
      <c r="AC87" s="16">
        <f t="shared" ref="AC87:AD87" si="353">IFERROR(AC55/AB55*100-100,"")</f>
        <v>-52.887792961083676</v>
      </c>
      <c r="AD87" s="16">
        <f t="shared" si="353"/>
        <v>-15.252223741156655</v>
      </c>
      <c r="AE87" s="16">
        <f>IFERROR(AE55/Z55*100-100,"")</f>
        <v>-22.572755439643572</v>
      </c>
      <c r="AF87" s="16">
        <f>IFERROR(AF55/AD55*100-100,"")</f>
        <v>116.39613636925549</v>
      </c>
      <c r="AG87" s="16">
        <f>IFERROR(AG55/AF55*100-100,"")</f>
        <v>21.05444110597962</v>
      </c>
      <c r="AH87" s="16">
        <f t="shared" ref="AH87:AI87" si="354">IFERROR(AH55/AG55*100-100,"")</f>
        <v>-12.797974741271887</v>
      </c>
      <c r="AI87" s="16">
        <f t="shared" si="354"/>
        <v>-66.097250893475035</v>
      </c>
      <c r="AJ87" s="16">
        <f>IFERROR(AJ55/AE55*100-100,"")</f>
        <v>5.853270318282739</v>
      </c>
      <c r="AK87" s="16">
        <f>IFERROR(AK55/AI55*100-100,"")</f>
        <v>78.789862000816186</v>
      </c>
      <c r="AL87" s="16">
        <f>IFERROR(AL55/AK55*100-100,"")</f>
        <v>11.946932344949658</v>
      </c>
      <c r="AM87" s="16">
        <f t="shared" ref="AM87:AN87" si="355">IFERROR(AM55/AL55*100-100,"")</f>
        <v>6.8322148257905013</v>
      </c>
      <c r="AN87" s="16">
        <f t="shared" si="355"/>
        <v>0.32084199295472615</v>
      </c>
      <c r="AO87" s="16">
        <f>IFERROR(AO55/AJ55*100-100,"")</f>
        <v>-20.279581968408195</v>
      </c>
      <c r="AP87" s="16">
        <f>IFERROR(AP55/AN55*100-100,"")</f>
        <v>-0.15531868817586769</v>
      </c>
      <c r="AQ87" s="16">
        <f>IFERROR(AQ55/AP55*100-100,"")</f>
        <v>-0.43363227001663063</v>
      </c>
      <c r="AR87" s="16">
        <f t="shared" ref="AR87:AS87" si="356">IFERROR(AR55/AQ55*100-100,"")</f>
        <v>-1.49149656063409</v>
      </c>
      <c r="AS87" s="16">
        <f t="shared" si="356"/>
        <v>0.83706220169837309</v>
      </c>
      <c r="AT87" s="16">
        <f>IFERROR(AT55/AO55*100-100,"")</f>
        <v>5.2083432933974336</v>
      </c>
      <c r="AU87" s="16">
        <f>IFERROR(AU55/AS55*100-100,"")</f>
        <v>1.9056961902797127</v>
      </c>
      <c r="AV87" s="16">
        <f>IFERROR(AV55/AU55*100-100,"")</f>
        <v>0.96910505657132262</v>
      </c>
      <c r="AW87" s="16">
        <f t="shared" ref="AW87:AX87" si="357">IFERROR(AW55/AV55*100-100,"")</f>
        <v>1.8902804013582397</v>
      </c>
      <c r="AX87" s="16">
        <f t="shared" si="357"/>
        <v>0.97925564729224845</v>
      </c>
      <c r="AY87" s="16">
        <f>IFERROR(AY55/AT55*100-100,"")</f>
        <v>3.6291098315718813</v>
      </c>
      <c r="AZ87" s="16">
        <f>IFERROR(AZ55/AX55*100-100,"")</f>
        <v>0.30812437818106275</v>
      </c>
      <c r="BA87" s="16">
        <f>IFERROR(BA55/AZ55*100-100,"")</f>
        <v>2.4318843006384725</v>
      </c>
      <c r="BB87" s="16">
        <f t="shared" ref="BB87:BC87" si="358">IFERROR(BB55/BA55*100-100,"")</f>
        <v>1.5009038569996136</v>
      </c>
      <c r="BC87" s="16">
        <f t="shared" si="358"/>
        <v>-0.75377612540468419</v>
      </c>
      <c r="BD87" s="16">
        <f>IFERROR(BD55/AY55*100-100,"")</f>
        <v>4.679276161659331</v>
      </c>
      <c r="BE87" s="16">
        <f>IFERROR(BE55/BC55*100-100,"")</f>
        <v>-2.6018020225063054</v>
      </c>
      <c r="BF87" s="16">
        <f>IFERROR(BF55/BE55*100-100,"")</f>
        <v>1.7619732824208967</v>
      </c>
      <c r="BG87" s="16">
        <f t="shared" ref="BG87:BH87" si="359">IFERROR(BG55/BF55*100-100,"")</f>
        <v>0.76803380757100115</v>
      </c>
      <c r="BH87" s="16">
        <f t="shared" si="359"/>
        <v>1.2694515946998877</v>
      </c>
      <c r="BI87" s="16">
        <f>IFERROR(BI55/BD55*100-100,"")</f>
        <v>0.14856125973294354</v>
      </c>
      <c r="BJ87" s="16">
        <f>IFERROR(BJ55/BH55*100-100,"")</f>
        <v>0.92457177534048185</v>
      </c>
      <c r="BK87" s="16">
        <f>IFERROR(BK55/BJ55*100-100,"")</f>
        <v>-0.96643994648306375</v>
      </c>
      <c r="BL87" s="16">
        <f t="shared" ref="BL87:BM87" si="360">IFERROR(BL55/BK55*100-100,"")</f>
        <v>1.1210965815140526</v>
      </c>
      <c r="BM87" s="16">
        <f t="shared" si="360"/>
        <v>-0.92908708267711404</v>
      </c>
      <c r="BN87" s="16">
        <f>IFERROR(BN55/BI55*100-100,"")</f>
        <v>2.2992177440246593</v>
      </c>
      <c r="BO87" s="16">
        <f>IFERROR(BO55/BM55*100-100,"")</f>
        <v>-0.13301475413894082</v>
      </c>
      <c r="BP87" s="16">
        <f>IFERROR(BP55/BO55*100-100,"")</f>
        <v>-4.5654000484499591</v>
      </c>
      <c r="BQ87" s="16">
        <f t="shared" ref="BQ87:BR87" si="361">IFERROR(BQ55/BP55*100-100,"")</f>
        <v>-2.6784261835578747</v>
      </c>
      <c r="BR87" s="16">
        <f t="shared" si="361"/>
        <v>1.3834457781567693</v>
      </c>
      <c r="BS87" s="16">
        <f>IFERROR(BS55/BN55*100-100,"")</f>
        <v>-4.8765339098668932</v>
      </c>
      <c r="BT87" s="16">
        <f>IFERROR(BT55/BR55*100-100,"")</f>
        <v>1.3280734589323515</v>
      </c>
      <c r="BU87" s="16">
        <f>IFERROR(BU55/BT55*100-100,"")</f>
        <v>0.25160679788828588</v>
      </c>
      <c r="BV87" s="16">
        <f t="shared" ref="BV87:BW87" si="362">IFERROR(BV55/BU55*100-100,"")</f>
        <v>0.15695445206800684</v>
      </c>
      <c r="BW87" s="16">
        <f t="shared" si="362"/>
        <v>2.875830205024954E-2</v>
      </c>
      <c r="BX87" s="16">
        <f>IFERROR(BX55/BS55*100-100,"")</f>
        <v>5.9437843769558185E-2</v>
      </c>
      <c r="BY87" s="16">
        <f>IFERROR(BY55/BW55*100-100,"")</f>
        <v>2.1998346480051083</v>
      </c>
      <c r="BZ87" s="16">
        <f>IFERROR(BZ55/BY55*100-100,"")</f>
        <v>-0.97349774486329466</v>
      </c>
      <c r="CA87" s="16">
        <f t="shared" ref="CA87:CB87" si="363">IFERROR(CA55/BZ55*100-100,"")</f>
        <v>-1.7992697446764652</v>
      </c>
      <c r="CB87" s="16">
        <f t="shared" si="363"/>
        <v>-1.6721908658146987</v>
      </c>
      <c r="CC87" s="16">
        <f>IFERROR(CC55/BX55*100-100,"")</f>
        <v>0.29069682731490332</v>
      </c>
      <c r="CD87" s="16">
        <f>IFERROR(CD55/CB55*100-100,"")</f>
        <v>4.7257266520859105</v>
      </c>
      <c r="CE87" s="16">
        <f>IFERROR(CE55/CD55*100-100,"")</f>
        <v>-0.3871354648887575</v>
      </c>
      <c r="CF87" s="16">
        <f t="shared" ref="CF87:CG87" si="364">IFERROR(CF55/CE55*100-100,"")</f>
        <v>3.7779594050803667E-2</v>
      </c>
      <c r="CG87" s="16">
        <f t="shared" si="364"/>
        <v>-3.3038659019255476</v>
      </c>
      <c r="CH87" s="16">
        <f>IFERROR(CH55/CC55*100-100,"")</f>
        <v>1.0908347710055324</v>
      </c>
      <c r="CI87" s="16">
        <f>IFERROR(CI55/CG55*100-100,"")</f>
        <v>4.1610479818649395</v>
      </c>
      <c r="CJ87" s="16">
        <f>IFERROR(CJ55/CI55*100-100,"")</f>
        <v>-4.6129739249162043</v>
      </c>
      <c r="CK87" s="16">
        <f t="shared" ref="CK87:CL87" si="365">IFERROR(CK55/CJ55*100-100,"")</f>
        <v>4.898761254582837</v>
      </c>
      <c r="CL87" s="16">
        <f t="shared" si="365"/>
        <v>-0.92250364075532332</v>
      </c>
      <c r="CM87" s="16">
        <f>IFERROR(CM55/CH55*100-100,"")</f>
        <v>0.10436429826059168</v>
      </c>
      <c r="CN87" s="16">
        <f>IFERROR(CN55/CL55*100-100,"")</f>
        <v>-100</v>
      </c>
      <c r="CO87" s="16" t="str">
        <f>IFERROR(CO55/CN55*100-100,"")</f>
        <v/>
      </c>
      <c r="CP87" s="16" t="str">
        <f t="shared" ref="CP87:CQ87" si="366">IFERROR(CP55/CO55*100-100,"")</f>
        <v/>
      </c>
      <c r="CQ87" s="16" t="str">
        <f t="shared" si="366"/>
        <v/>
      </c>
      <c r="CR87" s="16">
        <f>IFERROR(CR55/CM55*100-100,"")</f>
        <v>-100</v>
      </c>
    </row>
    <row r="88" spans="1:96" s="9" customFormat="1" ht="15" x14ac:dyDescent="0.4">
      <c r="A88" s="25"/>
      <c r="B88" s="42"/>
      <c r="C88" s="22"/>
      <c r="D88" s="22"/>
      <c r="E88" s="22"/>
      <c r="F88" s="42"/>
      <c r="G88" s="22"/>
      <c r="H88" s="22"/>
      <c r="I88" s="22"/>
      <c r="J88" s="22"/>
      <c r="K88" s="24"/>
      <c r="L88" s="22"/>
      <c r="M88" s="22"/>
      <c r="N88" s="22"/>
      <c r="O88" s="22"/>
      <c r="P88" s="24"/>
      <c r="Q88" s="22"/>
      <c r="R88" s="22"/>
      <c r="S88" s="22"/>
      <c r="T88" s="22"/>
      <c r="U88" s="24"/>
      <c r="V88" s="22"/>
      <c r="W88" s="22"/>
      <c r="X88" s="22"/>
      <c r="Y88" s="22"/>
      <c r="Z88" s="24"/>
      <c r="AA88" s="22"/>
      <c r="AB88" s="22"/>
      <c r="AC88" s="22"/>
      <c r="AD88" s="22"/>
      <c r="AE88" s="24"/>
      <c r="AF88" s="22"/>
      <c r="AG88" s="22"/>
      <c r="AH88" s="22"/>
      <c r="AI88" s="22"/>
      <c r="AJ88" s="24"/>
      <c r="AK88" s="22"/>
      <c r="AL88" s="22"/>
      <c r="AM88" s="22"/>
      <c r="AN88" s="22"/>
      <c r="AO88" s="24"/>
      <c r="AP88" s="22"/>
      <c r="AQ88" s="22"/>
      <c r="AR88" s="22"/>
      <c r="AS88" s="22"/>
      <c r="AT88" s="24"/>
      <c r="AU88" s="22"/>
      <c r="AV88" s="22"/>
      <c r="AW88" s="22"/>
      <c r="AX88" s="22"/>
      <c r="AY88" s="24"/>
      <c r="AZ88" s="22"/>
      <c r="BA88" s="22"/>
      <c r="BB88" s="22"/>
      <c r="BC88" s="22"/>
      <c r="BD88" s="24"/>
      <c r="BE88" s="22"/>
      <c r="BF88" s="22"/>
      <c r="BG88" s="22"/>
      <c r="BH88" s="22"/>
      <c r="BI88" s="24"/>
      <c r="BJ88" s="22"/>
      <c r="BK88" s="22"/>
      <c r="BL88" s="22"/>
      <c r="BM88" s="22"/>
      <c r="BN88" s="24"/>
      <c r="BO88" s="22"/>
      <c r="BP88" s="22"/>
      <c r="BQ88" s="22"/>
      <c r="BR88" s="22"/>
      <c r="BS88" s="24"/>
      <c r="BT88" s="22"/>
      <c r="BU88" s="22"/>
      <c r="BV88" s="22"/>
      <c r="BW88" s="22"/>
      <c r="BX88" s="24"/>
      <c r="BY88" s="22"/>
      <c r="BZ88" s="22"/>
      <c r="CA88" s="22"/>
      <c r="CB88" s="22"/>
      <c r="CC88" s="24"/>
      <c r="CD88" s="22"/>
      <c r="CE88" s="22"/>
      <c r="CF88" s="22"/>
      <c r="CG88" s="22"/>
      <c r="CH88" s="24"/>
      <c r="CI88" s="22"/>
      <c r="CJ88" s="22"/>
      <c r="CK88" s="22"/>
      <c r="CL88" s="22"/>
      <c r="CM88" s="24"/>
      <c r="CN88" s="22"/>
      <c r="CO88" s="22"/>
      <c r="CP88" s="22"/>
      <c r="CQ88" s="22"/>
      <c r="CR88" s="24"/>
    </row>
    <row r="89" spans="1:96" s="17" customFormat="1" ht="15" x14ac:dyDescent="0.4">
      <c r="A89" s="15" t="s">
        <v>93</v>
      </c>
      <c r="B89" s="37"/>
      <c r="C89" s="16">
        <f>IFERROR(C57/B57*100-100,"")</f>
        <v>18.69653110959166</v>
      </c>
      <c r="D89" s="16">
        <f t="shared" ref="D89:E89" si="367">IFERROR(D57/C57*100-100,"")</f>
        <v>-83.766343551792033</v>
      </c>
      <c r="E89" s="16">
        <f t="shared" si="367"/>
        <v>1568.6877905545909</v>
      </c>
      <c r="F89" s="37"/>
      <c r="G89" s="16">
        <f>IFERROR(G57/E57*100-100,"")</f>
        <v>-59.452325181029877</v>
      </c>
      <c r="H89" s="16">
        <f>IFERROR(H57/G57*100-100,"")</f>
        <v>-10.968600204613708</v>
      </c>
      <c r="I89" s="16">
        <f t="shared" ref="I89:J89" si="368">IFERROR(I57/H57*100-100,"")</f>
        <v>20.927760974090148</v>
      </c>
      <c r="J89" s="16">
        <f t="shared" si="368"/>
        <v>144.96417985832372</v>
      </c>
      <c r="K89" s="16">
        <f>IFERROR(K57/F57*100-100,"")</f>
        <v>30.592344352878598</v>
      </c>
      <c r="L89" s="16">
        <f>IFERROR(L57/J57*100-100,"")</f>
        <v>-83.923476249752568</v>
      </c>
      <c r="M89" s="16">
        <f>IFERROR(M57/L57*100-100,"")</f>
        <v>40.249716135077563</v>
      </c>
      <c r="N89" s="16">
        <f t="shared" ref="N89:O89" si="369">IFERROR(N57/M57*100-100,"")</f>
        <v>-84.161780431291163</v>
      </c>
      <c r="O89" s="16">
        <f t="shared" si="369"/>
        <v>5512.103760915038</v>
      </c>
      <c r="P89" s="16">
        <f>IFERROR(P57/K57*100-100,"")</f>
        <v>14.170429348384701</v>
      </c>
      <c r="Q89" s="16">
        <f>IFERROR(Q57/O57*100-100,"")</f>
        <v>-83.544765378495157</v>
      </c>
      <c r="R89" s="16" t="str">
        <f>IFERROR(R57/Q57*100-100,"")</f>
        <v/>
      </c>
      <c r="S89" s="16" t="str">
        <f t="shared" ref="S89:T89" si="370">IFERROR(S57/R57*100-100,"")</f>
        <v/>
      </c>
      <c r="T89" s="16">
        <f t="shared" si="370"/>
        <v>382.98942280505798</v>
      </c>
      <c r="U89" s="16" t="str">
        <f>IFERROR(U57/P57*100-100,"")</f>
        <v/>
      </c>
      <c r="V89" s="16">
        <f>IFERROR(V57/T57*100-100,"")</f>
        <v>-60.768522289941835</v>
      </c>
      <c r="W89" s="16">
        <f>IFERROR(W57/V57*100-100,"")</f>
        <v>121.33834281858401</v>
      </c>
      <c r="X89" s="16">
        <f t="shared" ref="X89:Y89" si="371">IFERROR(X57/W57*100-100,"")</f>
        <v>-36.602694698251902</v>
      </c>
      <c r="Y89" s="16">
        <f t="shared" si="371"/>
        <v>9.0473329576870896</v>
      </c>
      <c r="Z89" s="16" t="str">
        <f>IFERROR(Z57/U57*100-100,"")</f>
        <v/>
      </c>
      <c r="AA89" s="16">
        <f>IFERROR(AA57/Y57*100-100,"")</f>
        <v>-42.63783145922784</v>
      </c>
      <c r="AB89" s="16">
        <f>IFERROR(AB57/AA57*100-100,"")</f>
        <v>166.46349956290743</v>
      </c>
      <c r="AC89" s="16">
        <f t="shared" ref="AC89:AD89" si="372">IFERROR(AC57/AB57*100-100,"")</f>
        <v>-29.675104389770439</v>
      </c>
      <c r="AD89" s="16">
        <f t="shared" si="372"/>
        <v>13.753480483814855</v>
      </c>
      <c r="AE89" s="16">
        <f>IFERROR(AE57/Z57*100-100,"")</f>
        <v>9.5278322201622672</v>
      </c>
      <c r="AF89" s="16">
        <f>IFERROR(AF57/AD57*100-100,"")</f>
        <v>-58.636299549074899</v>
      </c>
      <c r="AG89" s="16">
        <f>IFERROR(AG57/AF57*100-100,"")</f>
        <v>134.33583836367879</v>
      </c>
      <c r="AH89" s="16">
        <f t="shared" ref="AH89:AI89" si="373">IFERROR(AH57/AG57*100-100,"")</f>
        <v>3.3120358543499577</v>
      </c>
      <c r="AI89" s="16">
        <f t="shared" si="373"/>
        <v>9.3339937025919824</v>
      </c>
      <c r="AJ89" s="16">
        <f>IFERROR(AJ57/AE57*100-100,"")</f>
        <v>-3.308572900237877</v>
      </c>
      <c r="AK89" s="16">
        <f>IFERROR(AK57/AI57*100-100,"")</f>
        <v>-35.775024081623513</v>
      </c>
      <c r="AL89" s="16">
        <f>IFERROR(AL57/AK57*100-100,"")</f>
        <v>20.675250627270486</v>
      </c>
      <c r="AM89" s="16">
        <f t="shared" ref="AM89:AN89" si="374">IFERROR(AM57/AL57*100-100,"")</f>
        <v>1.8403254929469028</v>
      </c>
      <c r="AN89" s="16">
        <f t="shared" si="374"/>
        <v>30.644211588018038</v>
      </c>
      <c r="AO89" s="16">
        <f>IFERROR(AO57/AJ57*100-100,"")</f>
        <v>1.8891063089370448</v>
      </c>
      <c r="AP89" s="16">
        <f>IFERROR(AP57/AN57*100-100,"")</f>
        <v>-34.440090748313239</v>
      </c>
      <c r="AQ89" s="16">
        <f>IFERROR(AQ57/AP57*100-100,"")</f>
        <v>12.301912159324019</v>
      </c>
      <c r="AR89" s="16">
        <f t="shared" ref="AR89:AS89" si="375">IFERROR(AR57/AQ57*100-100,"")</f>
        <v>18.205680447179631</v>
      </c>
      <c r="AS89" s="16">
        <f t="shared" si="375"/>
        <v>16.881300000626311</v>
      </c>
      <c r="AT89" s="16">
        <f>IFERROR(AT57/AO57*100-100,"")</f>
        <v>4.441842030740915</v>
      </c>
      <c r="AU89" s="16">
        <f>IFERROR(AU57/AS57*100-100,"")</f>
        <v>-42.685204614061675</v>
      </c>
      <c r="AV89" s="16">
        <f>IFERROR(AV57/AU57*100-100,"")</f>
        <v>23.525537630570099</v>
      </c>
      <c r="AW89" s="16">
        <f t="shared" ref="AW89:AX89" si="376">IFERROR(AW57/AV57*100-100,"")</f>
        <v>31.509538333304732</v>
      </c>
      <c r="AX89" s="16">
        <f t="shared" si="376"/>
        <v>17.826582477100359</v>
      </c>
      <c r="AY89" s="16">
        <f>IFERROR(AY57/AT57*100-100,"")</f>
        <v>2.6479720843769314</v>
      </c>
      <c r="AZ89" s="16">
        <f>IFERROR(AZ57/AX57*100-100,"")</f>
        <v>-51.012480269772126</v>
      </c>
      <c r="BA89" s="16">
        <f>IFERROR(BA57/AZ57*100-100,"")</f>
        <v>47.837220105753318</v>
      </c>
      <c r="BB89" s="16">
        <f t="shared" ref="BB89:BC89" si="377">IFERROR(BB57/BA57*100-100,"")</f>
        <v>13.261735215505993</v>
      </c>
      <c r="BC89" s="16">
        <f t="shared" si="377"/>
        <v>25.370199855998706</v>
      </c>
      <c r="BD89" s="16">
        <f>IFERROR(BD57/AY57*100-100,"")</f>
        <v>1.5319006883394337</v>
      </c>
      <c r="BE89" s="16">
        <f>IFERROR(BE57/BC57*100-100,"")</f>
        <v>-89.929254521903573</v>
      </c>
      <c r="BF89" s="16">
        <f>IFERROR(BF57/BE57*100-100,"")</f>
        <v>335.95462243942637</v>
      </c>
      <c r="BG89" s="16">
        <f t="shared" ref="BG89:BH89" si="378">IFERROR(BG57/BF57*100-100,"")</f>
        <v>57.926605127051346</v>
      </c>
      <c r="BH89" s="16">
        <f t="shared" si="378"/>
        <v>151.98061803773885</v>
      </c>
      <c r="BI89" s="16">
        <f>IFERROR(BI57/BD57*100-100,"")</f>
        <v>6.6868157603082068E-2</v>
      </c>
      <c r="BJ89" s="16">
        <f>IFERROR(BJ57/BH57*100-100,"")</f>
        <v>-72.099307587355312</v>
      </c>
      <c r="BK89" s="16">
        <f>IFERROR(BK57/BJ57*100-100,"")</f>
        <v>-73.53157870361845</v>
      </c>
      <c r="BL89" s="16">
        <f t="shared" ref="BL89:BM89" si="379">IFERROR(BL57/BK57*100-100,"")</f>
        <v>568.37671814089902</v>
      </c>
      <c r="BM89" s="16">
        <f t="shared" si="379"/>
        <v>-59.570650190396918</v>
      </c>
      <c r="BN89" s="16">
        <f>IFERROR(BN57/BI57*100-100,"")</f>
        <v>-38.679537235631855</v>
      </c>
      <c r="BO89" s="16">
        <f>IFERROR(BO57/BM57*100-100,"")</f>
        <v>-17.129919645779424</v>
      </c>
      <c r="BP89" s="16">
        <f>IFERROR(BP57/BO57*100-100,"")</f>
        <v>33.729627171052158</v>
      </c>
      <c r="BQ89" s="16">
        <f t="shared" ref="BQ89:BR89" si="380">IFERROR(BQ57/BP57*100-100,"")</f>
        <v>32.488492560228167</v>
      </c>
      <c r="BR89" s="16">
        <f t="shared" si="380"/>
        <v>-4.6644944699010864</v>
      </c>
      <c r="BS89" s="16">
        <f>IFERROR(BS57/BN57*100-100,"")</f>
        <v>-8.3315650510621424</v>
      </c>
      <c r="BT89" s="16">
        <f>IFERROR(BT57/BR57*100-100,"")</f>
        <v>-16.35086688017239</v>
      </c>
      <c r="BU89" s="16">
        <f>IFERROR(BU57/BT57*100-100,"")</f>
        <v>11.010345794012679</v>
      </c>
      <c r="BV89" s="16">
        <f t="shared" ref="BV89:BW89" si="381">IFERROR(BV57/BU57*100-100,"")</f>
        <v>-22.96484821074651</v>
      </c>
      <c r="BW89" s="16">
        <f t="shared" si="381"/>
        <v>42.343919485696347</v>
      </c>
      <c r="BX89" s="16">
        <f>IFERROR(BX57/BS57*100-100,"")</f>
        <v>1.9229448378516025</v>
      </c>
      <c r="BY89" s="16">
        <f>IFERROR(BY57/BW57*100-100,"")</f>
        <v>-23.843062259283187</v>
      </c>
      <c r="BZ89" s="16">
        <f>IFERROR(BZ57/BY57*100-100,"")</f>
        <v>15.721478979187324</v>
      </c>
      <c r="CA89" s="16">
        <f t="shared" ref="CA89:CB89" si="382">IFERROR(CA57/BZ57*100-100,"")</f>
        <v>-29.694576235419063</v>
      </c>
      <c r="CB89" s="16">
        <f t="shared" si="382"/>
        <v>4.1338578759452673</v>
      </c>
      <c r="CC89" s="16">
        <f>IFERROR(CC57/BX57*100-100,"")</f>
        <v>-15.375349109123931</v>
      </c>
      <c r="CD89" s="16">
        <f>IFERROR(CD57/CB57*100-100,"")</f>
        <v>36.326993078079141</v>
      </c>
      <c r="CE89" s="16">
        <f>IFERROR(CE57/CD57*100-100,"")</f>
        <v>-17.115778845151141</v>
      </c>
      <c r="CF89" s="16">
        <f t="shared" ref="CF89:CG89" si="383">IFERROR(CF57/CE57*100-100,"")</f>
        <v>18.88133843411353</v>
      </c>
      <c r="CG89" s="16">
        <f t="shared" si="383"/>
        <v>-25.40779713531775</v>
      </c>
      <c r="CH89" s="16">
        <f>IFERROR(CH57/CC57*100-100,"")</f>
        <v>7.3656105005784269</v>
      </c>
      <c r="CI89" s="16">
        <f>IFERROR(CI57/CG57*100-100,"")</f>
        <v>-3.2506609965058857</v>
      </c>
      <c r="CJ89" s="16">
        <f>IFERROR(CJ57/CI57*100-100,"")</f>
        <v>-7.2681444445343004</v>
      </c>
      <c r="CK89" s="16">
        <f t="shared" ref="CK89:CL89" si="384">IFERROR(CK57/CJ57*100-100,"")</f>
        <v>17.01637585862963</v>
      </c>
      <c r="CL89" s="16">
        <f t="shared" si="384"/>
        <v>8.9399842041728306</v>
      </c>
      <c r="CM89" s="16">
        <f>IFERROR(CM57/CH57*100-100,"")</f>
        <v>-15.959881890733229</v>
      </c>
      <c r="CN89" s="16">
        <f>IFERROR(CN57/CL57*100-100,"")</f>
        <v>-100</v>
      </c>
      <c r="CO89" s="16" t="str">
        <f>IFERROR(CO57/CN57*100-100,"")</f>
        <v/>
      </c>
      <c r="CP89" s="16" t="str">
        <f t="shared" ref="CP89:CQ89" si="385">IFERROR(CP57/CO57*100-100,"")</f>
        <v/>
      </c>
      <c r="CQ89" s="16" t="str">
        <f t="shared" si="385"/>
        <v/>
      </c>
      <c r="CR89" s="16">
        <f>IFERROR(CR57/CM57*100-100,"")</f>
        <v>-100</v>
      </c>
    </row>
    <row r="90" spans="1:96" s="9" customFormat="1" ht="15" x14ac:dyDescent="0.4">
      <c r="A90" s="25"/>
      <c r="B90" s="42"/>
      <c r="C90" s="22"/>
      <c r="D90" s="22"/>
      <c r="E90" s="22"/>
      <c r="F90" s="42"/>
      <c r="G90" s="22"/>
      <c r="H90" s="22"/>
      <c r="I90" s="22"/>
      <c r="J90" s="22"/>
      <c r="K90" s="24"/>
      <c r="L90" s="22"/>
      <c r="M90" s="22"/>
      <c r="N90" s="22"/>
      <c r="O90" s="22"/>
      <c r="P90" s="24"/>
      <c r="Q90" s="22"/>
      <c r="R90" s="22"/>
      <c r="S90" s="22"/>
      <c r="T90" s="22"/>
      <c r="U90" s="24"/>
      <c r="V90" s="22"/>
      <c r="W90" s="22"/>
      <c r="X90" s="22"/>
      <c r="Y90" s="22"/>
      <c r="Z90" s="24"/>
      <c r="AA90" s="22"/>
      <c r="AB90" s="22"/>
      <c r="AC90" s="22"/>
      <c r="AD90" s="22"/>
      <c r="AE90" s="24"/>
      <c r="AF90" s="22"/>
      <c r="AG90" s="22"/>
      <c r="AH90" s="22"/>
      <c r="AI90" s="22"/>
      <c r="AJ90" s="24"/>
      <c r="AK90" s="22"/>
      <c r="AL90" s="22"/>
      <c r="AM90" s="22"/>
      <c r="AN90" s="22"/>
      <c r="AO90" s="24"/>
      <c r="AP90" s="22"/>
      <c r="AQ90" s="22"/>
      <c r="AR90" s="22"/>
      <c r="AS90" s="22"/>
      <c r="AT90" s="24"/>
      <c r="AU90" s="22"/>
      <c r="AV90" s="22"/>
      <c r="AW90" s="22"/>
      <c r="AX90" s="22"/>
      <c r="AY90" s="24"/>
      <c r="AZ90" s="22"/>
      <c r="BA90" s="22"/>
      <c r="BB90" s="22"/>
      <c r="BC90" s="22"/>
      <c r="BD90" s="24"/>
      <c r="BE90" s="22"/>
      <c r="BF90" s="22"/>
      <c r="BG90" s="22"/>
      <c r="BH90" s="22"/>
      <c r="BI90" s="24"/>
      <c r="BJ90" s="22"/>
      <c r="BK90" s="22"/>
      <c r="BL90" s="22"/>
      <c r="BM90" s="22"/>
      <c r="BN90" s="24"/>
      <c r="BO90" s="22"/>
      <c r="BP90" s="22"/>
      <c r="BQ90" s="22"/>
      <c r="BR90" s="22"/>
      <c r="BS90" s="24"/>
      <c r="BT90" s="22"/>
      <c r="BU90" s="22"/>
      <c r="BV90" s="22"/>
      <c r="BW90" s="22"/>
      <c r="BX90" s="24"/>
      <c r="BY90" s="22"/>
      <c r="BZ90" s="22"/>
      <c r="CA90" s="22"/>
      <c r="CB90" s="22"/>
      <c r="CC90" s="24"/>
      <c r="CD90" s="22"/>
      <c r="CE90" s="22"/>
      <c r="CF90" s="22"/>
      <c r="CG90" s="22"/>
      <c r="CH90" s="24"/>
      <c r="CI90" s="22"/>
      <c r="CJ90" s="22"/>
      <c r="CK90" s="22"/>
      <c r="CL90" s="22"/>
      <c r="CM90" s="24"/>
      <c r="CN90" s="22"/>
      <c r="CO90" s="22"/>
      <c r="CP90" s="22"/>
      <c r="CQ90" s="22"/>
      <c r="CR90" s="24"/>
    </row>
    <row r="91" spans="1:96" s="17" customFormat="1" ht="15" x14ac:dyDescent="0.4">
      <c r="A91" s="15" t="s">
        <v>94</v>
      </c>
      <c r="B91" s="37"/>
      <c r="C91" s="16">
        <f>IFERROR(C59/B59*100-100,"")</f>
        <v>11.728334603034824</v>
      </c>
      <c r="D91" s="16">
        <f t="shared" ref="D91:E91" si="386">IFERROR(D59/C59*100-100,"")</f>
        <v>2.2064026752048846</v>
      </c>
      <c r="E91" s="16">
        <f t="shared" si="386"/>
        <v>21.654653235204151</v>
      </c>
      <c r="F91" s="37"/>
      <c r="G91" s="16">
        <f>IFERROR(G59/E59*100-100,"")</f>
        <v>-25.72491030914091</v>
      </c>
      <c r="H91" s="16">
        <f>IFERROR(H59/G59*100-100,"")</f>
        <v>8.6040738510996846</v>
      </c>
      <c r="I91" s="16">
        <f t="shared" ref="I91:J91" si="387">IFERROR(I59/H59*100-100,"")</f>
        <v>6.7635050386561204</v>
      </c>
      <c r="J91" s="16">
        <f t="shared" si="387"/>
        <v>23.910170644671155</v>
      </c>
      <c r="K91" s="16">
        <f>IFERROR(K59/F59*100-100,"")</f>
        <v>3.9352372136085307</v>
      </c>
      <c r="L91" s="16">
        <f>IFERROR(L59/J59*100-100,"")</f>
        <v>-33.393057863285563</v>
      </c>
      <c r="M91" s="16">
        <f>IFERROR(M59/L59*100-100,"")</f>
        <v>15.489724041856491</v>
      </c>
      <c r="N91" s="16">
        <f t="shared" ref="N91:O91" si="388">IFERROR(N59/M59*100-100,"")</f>
        <v>1.9180139136649927</v>
      </c>
      <c r="O91" s="16">
        <f t="shared" si="388"/>
        <v>60.573221891690935</v>
      </c>
      <c r="P91" s="16">
        <f>IFERROR(P59/K59*100-100,"")</f>
        <v>6.7267942760678636</v>
      </c>
      <c r="Q91" s="16">
        <f>IFERROR(Q59/O59*100-100,"")</f>
        <v>-38.319424132186974</v>
      </c>
      <c r="R91" s="16" t="str">
        <f>IFERROR(R59/Q59*100-100,"")</f>
        <v/>
      </c>
      <c r="S91" s="16" t="str">
        <f t="shared" ref="S91:T91" si="389">IFERROR(S59/R59*100-100,"")</f>
        <v/>
      </c>
      <c r="T91" s="16">
        <f t="shared" si="389"/>
        <v>24.968055427047503</v>
      </c>
      <c r="U91" s="16" t="str">
        <f>IFERROR(U59/P59*100-100,"")</f>
        <v/>
      </c>
      <c r="V91" s="16">
        <f>IFERROR(V59/T59*100-100,"")</f>
        <v>-23.588966352849724</v>
      </c>
      <c r="W91" s="16">
        <f>IFERROR(W59/V59*100-100,"")</f>
        <v>31.027066777009054</v>
      </c>
      <c r="X91" s="16">
        <f t="shared" ref="X91:Y91" si="390">IFERROR(X59/W59*100-100,"")</f>
        <v>-0.92374655023152741</v>
      </c>
      <c r="Y91" s="16">
        <f t="shared" si="390"/>
        <v>5.1117440652818686</v>
      </c>
      <c r="Z91" s="16" t="str">
        <f>IFERROR(Z59/U59*100-100,"")</f>
        <v/>
      </c>
      <c r="AA91" s="16">
        <f>IFERROR(AA59/Y59*100-100,"")</f>
        <v>-13.548387396644202</v>
      </c>
      <c r="AB91" s="16">
        <f>IFERROR(AB59/AA59*100-100,"")</f>
        <v>14.930811943173367</v>
      </c>
      <c r="AC91" s="16">
        <f t="shared" ref="AC91:AD91" si="391">IFERROR(AC59/AB59*100-100,"")</f>
        <v>0.96960984225329128</v>
      </c>
      <c r="AD91" s="16">
        <f t="shared" si="391"/>
        <v>7.9534655648312338</v>
      </c>
      <c r="AE91" s="16">
        <f>IFERROR(AE59/Z59*100-100,"")</f>
        <v>8.2289100975383178</v>
      </c>
      <c r="AF91" s="16">
        <f>IFERROR(AF59/AD59*100-100,"")</f>
        <v>-19.130772413290714</v>
      </c>
      <c r="AG91" s="16">
        <f>IFERROR(AG59/AF59*100-100,"")</f>
        <v>13.379337148498166</v>
      </c>
      <c r="AH91" s="16">
        <f t="shared" ref="AH91:AI91" si="392">IFERROR(AH59/AG59*100-100,"")</f>
        <v>8.2898173644784947</v>
      </c>
      <c r="AI91" s="16">
        <f t="shared" si="392"/>
        <v>11.21974943967669</v>
      </c>
      <c r="AJ91" s="16">
        <f>IFERROR(AJ59/AE59*100-100,"")</f>
        <v>4.9637594214830187</v>
      </c>
      <c r="AK91" s="16">
        <f>IFERROR(AK59/AI59*100-100,"")</f>
        <v>-19.859075176952231</v>
      </c>
      <c r="AL91" s="16">
        <f>IFERROR(AL59/AK59*100-100,"")</f>
        <v>11.181442706246429</v>
      </c>
      <c r="AM91" s="16">
        <f t="shared" ref="AM91:AN91" si="393">IFERROR(AM59/AL59*100-100,"")</f>
        <v>7.8337761825975747</v>
      </c>
      <c r="AN91" s="16">
        <f t="shared" si="393"/>
        <v>14.591007022683144</v>
      </c>
      <c r="AO91" s="16">
        <f>IFERROR(AO59/AJ59*100-100,"")</f>
        <v>8.4505103151840615</v>
      </c>
      <c r="AP91" s="16">
        <f>IFERROR(AP59/AN59*100-100,"")</f>
        <v>-19.316357760138189</v>
      </c>
      <c r="AQ91" s="16">
        <f>IFERROR(AQ59/AP59*100-100,"")</f>
        <v>4.8165509264535871</v>
      </c>
      <c r="AR91" s="16">
        <f t="shared" ref="AR91:AS91" si="394">IFERROR(AR59/AQ59*100-100,"")</f>
        <v>7.3157303362773547</v>
      </c>
      <c r="AS91" s="16">
        <f t="shared" si="394"/>
        <v>10.991476864057574</v>
      </c>
      <c r="AT91" s="16">
        <f>IFERROR(AT59/AO59*100-100,"")</f>
        <v>4.6218905006222997</v>
      </c>
      <c r="AU91" s="16">
        <f>IFERROR(AU59/AS59*100-100,"")</f>
        <v>-19.26169253087761</v>
      </c>
      <c r="AV91" s="16">
        <f>IFERROR(AV59/AU59*100-100,"")</f>
        <v>7.2395888065967142</v>
      </c>
      <c r="AW91" s="16">
        <f t="shared" ref="AW91:AX91" si="395">IFERROR(AW59/AV59*100-100,"")</f>
        <v>10.618836091730088</v>
      </c>
      <c r="AX91" s="16">
        <f t="shared" si="395"/>
        <v>9.6013785767654412</v>
      </c>
      <c r="AY91" s="16">
        <f>IFERROR(AY59/AT59*100-100,"")</f>
        <v>3.9315678008171346</v>
      </c>
      <c r="AZ91" s="16">
        <f>IFERROR(AZ59/AX59*100-100,"")</f>
        <v>-21.412472429454581</v>
      </c>
      <c r="BA91" s="16">
        <f>IFERROR(BA59/AZ59*100-100,"")</f>
        <v>8.5356723819172089</v>
      </c>
      <c r="BB91" s="16">
        <f t="shared" ref="BB91:BC91" si="396">IFERROR(BB59/BA59*100-100,"")</f>
        <v>6.7830431275781393</v>
      </c>
      <c r="BC91" s="16">
        <f t="shared" si="396"/>
        <v>10.590320443692065</v>
      </c>
      <c r="BD91" s="16">
        <f>IFERROR(BD59/AY59*100-100,"")</f>
        <v>1.4422909274038602</v>
      </c>
      <c r="BE91" s="16">
        <f>IFERROR(BE59/BC59*100-100,"")</f>
        <v>-25.855191660268886</v>
      </c>
      <c r="BF91" s="16">
        <f>IFERROR(BF59/BE59*100-100,"")</f>
        <v>11.833043519844537</v>
      </c>
      <c r="BG91" s="16">
        <f t="shared" ref="BG91:BH91" si="397">IFERROR(BG59/BF59*100-100,"")</f>
        <v>13.212441953004344</v>
      </c>
      <c r="BH91" s="16">
        <f t="shared" si="397"/>
        <v>18.650252148567944</v>
      </c>
      <c r="BI91" s="16">
        <f>IFERROR(BI59/BD59*100-100,"")</f>
        <v>2.6038010654095132</v>
      </c>
      <c r="BJ91" s="16">
        <f>IFERROR(BJ59/BH59*100-100,"")</f>
        <v>-40.259065266716043</v>
      </c>
      <c r="BK91" s="16">
        <f>IFERROR(BK59/BJ59*100-100,"")</f>
        <v>2.3203231616643052</v>
      </c>
      <c r="BL91" s="16">
        <f t="shared" ref="BL91:BM91" si="398">IFERROR(BL59/BK59*100-100,"")</f>
        <v>20.772441130087756</v>
      </c>
      <c r="BM91" s="16">
        <f t="shared" si="398"/>
        <v>4.1334489373470547</v>
      </c>
      <c r="BN91" s="16">
        <f>IFERROR(BN59/BI59*100-100,"")</f>
        <v>-16.516048573119718</v>
      </c>
      <c r="BO91" s="16">
        <f>IFERROR(BO59/BM59*100-100,"")</f>
        <v>-30.582483996237414</v>
      </c>
      <c r="BP91" s="16">
        <f>IFERROR(BP59/BO59*100-100,"")</f>
        <v>28.702277393184971</v>
      </c>
      <c r="BQ91" s="16">
        <f t="shared" ref="BQ91:BR91" si="399">IFERROR(BQ59/BP59*100-100,"")</f>
        <v>-3.0844013574224078</v>
      </c>
      <c r="BR91" s="16">
        <f t="shared" si="399"/>
        <v>28.043821759337987</v>
      </c>
      <c r="BS91" s="16">
        <f>IFERROR(BS59/BN59*100-100,"")</f>
        <v>0.83769329141350113</v>
      </c>
      <c r="BT91" s="16">
        <f>IFERROR(BT59/BR59*100-100,"")</f>
        <v>-36.898790554345972</v>
      </c>
      <c r="BU91" s="16">
        <f>IFERROR(BU59/BT59*100-100,"")</f>
        <v>14.976366252322208</v>
      </c>
      <c r="BV91" s="16">
        <f t="shared" ref="BV91:BW91" si="400">IFERROR(BV59/BU59*100-100,"")</f>
        <v>7.3377418169986157</v>
      </c>
      <c r="BW91" s="16">
        <f t="shared" si="400"/>
        <v>25.73950891698982</v>
      </c>
      <c r="BX91" s="16">
        <f>IFERROR(BX59/BS59*100-100,"")</f>
        <v>-3.0647934829917034</v>
      </c>
      <c r="BY91" s="16">
        <f>IFERROR(BY59/BW59*100-100,"")</f>
        <v>-36.327887260557631</v>
      </c>
      <c r="BZ91" s="16">
        <f>IFERROR(BZ59/BY59*100-100,"")</f>
        <v>18.771110244205232</v>
      </c>
      <c r="CA91" s="16">
        <f t="shared" ref="CA91:CB91" si="401">IFERROR(CA59/BZ59*100-100,"")</f>
        <v>-4.4455184007148318E-2</v>
      </c>
      <c r="CB91" s="16">
        <f t="shared" si="401"/>
        <v>22.21485908295864</v>
      </c>
      <c r="CC91" s="16">
        <f>IFERROR(CC59/BX59*100-100,"")</f>
        <v>-3.3938385183998889</v>
      </c>
      <c r="CD91" s="16">
        <f>IFERROR(CD59/CB59*100-100,"")</f>
        <v>-27.753160495842835</v>
      </c>
      <c r="CE91" s="16">
        <f>IFERROR(CE59/CD59*100-100,"")</f>
        <v>13.710691937860204</v>
      </c>
      <c r="CF91" s="16">
        <f t="shared" ref="CF91:CG91" si="402">IFERROR(CF59/CE59*100-100,"")</f>
        <v>-0.2011938292181128</v>
      </c>
      <c r="CG91" s="16">
        <f t="shared" si="402"/>
        <v>23.623563927794095</v>
      </c>
      <c r="CH91" s="16">
        <f>IFERROR(CH59/CC59*100-100,"")</f>
        <v>1.5444784188223508</v>
      </c>
      <c r="CI91" s="16">
        <f>IFERROR(CI59/CG59*100-100,"")</f>
        <v>-29.284247084696531</v>
      </c>
      <c r="CJ91" s="16">
        <f>IFERROR(CJ59/CI59*100-100,"")</f>
        <v>5.2959669154110571</v>
      </c>
      <c r="CK91" s="16">
        <f t="shared" ref="CK91:CL91" si="403">IFERROR(CK59/CJ59*100-100,"")</f>
        <v>2.1458955940805424</v>
      </c>
      <c r="CL91" s="16">
        <f t="shared" si="403"/>
        <v>13.732353168174001</v>
      </c>
      <c r="CM91" s="16">
        <f>IFERROR(CM59/CH59*100-100,"")</f>
        <v>-7.6484721851858097</v>
      </c>
      <c r="CN91" s="16">
        <f>IFERROR(CN59/CL59*100-100,"")</f>
        <v>-100</v>
      </c>
      <c r="CO91" s="16" t="str">
        <f>IFERROR(CO59/CN59*100-100,"")</f>
        <v/>
      </c>
      <c r="CP91" s="16" t="str">
        <f t="shared" ref="CP91:CQ91" si="404">IFERROR(CP59/CO59*100-100,"")</f>
        <v/>
      </c>
      <c r="CQ91" s="16" t="str">
        <f t="shared" si="404"/>
        <v/>
      </c>
      <c r="CR91" s="16">
        <f>IFERROR(CR59/CM59*100-100,"")</f>
        <v>-100</v>
      </c>
    </row>
    <row r="92" spans="1:96" s="9" customFormat="1" ht="15" x14ac:dyDescent="0.4">
      <c r="A92" s="43"/>
      <c r="B92" s="44"/>
      <c r="C92" s="45"/>
      <c r="D92" s="45"/>
      <c r="E92" s="45"/>
      <c r="F92" s="44"/>
      <c r="G92" s="45"/>
      <c r="H92" s="45"/>
      <c r="I92" s="45"/>
      <c r="J92" s="45"/>
      <c r="K92" s="46"/>
      <c r="L92" s="45"/>
      <c r="M92" s="45"/>
      <c r="N92" s="45"/>
      <c r="O92" s="45"/>
      <c r="P92" s="46"/>
      <c r="Q92" s="45"/>
      <c r="R92" s="45"/>
      <c r="S92" s="45"/>
      <c r="T92" s="45"/>
      <c r="U92" s="46"/>
      <c r="V92" s="45"/>
      <c r="W92" s="45"/>
      <c r="X92" s="45"/>
      <c r="Y92" s="45"/>
      <c r="Z92" s="46"/>
      <c r="AA92" s="45"/>
      <c r="AB92" s="45"/>
      <c r="AC92" s="45"/>
      <c r="AD92" s="45"/>
      <c r="AE92" s="46"/>
      <c r="AF92" s="45"/>
      <c r="AG92" s="45"/>
      <c r="AH92" s="45"/>
      <c r="AI92" s="45"/>
      <c r="AJ92" s="46"/>
      <c r="AK92" s="45"/>
      <c r="AL92" s="45"/>
      <c r="AM92" s="45"/>
      <c r="AN92" s="45"/>
      <c r="AO92" s="46"/>
      <c r="AP92" s="45"/>
      <c r="AQ92" s="45"/>
      <c r="AR92" s="45"/>
      <c r="AS92" s="45"/>
      <c r="AT92" s="46"/>
      <c r="AU92" s="45"/>
      <c r="AV92" s="45"/>
      <c r="AW92" s="45"/>
      <c r="AX92" s="45"/>
      <c r="AY92" s="46"/>
      <c r="AZ92" s="45"/>
      <c r="BA92" s="45"/>
      <c r="BB92" s="45"/>
      <c r="BC92" s="45"/>
      <c r="BD92" s="46"/>
      <c r="BE92" s="45"/>
      <c r="BF92" s="45"/>
      <c r="BG92" s="45"/>
      <c r="BH92" s="45"/>
      <c r="BI92" s="46"/>
      <c r="BJ92" s="45"/>
      <c r="BK92" s="45"/>
      <c r="BL92" s="45"/>
      <c r="BM92" s="45"/>
      <c r="BN92" s="46"/>
      <c r="BO92" s="45"/>
      <c r="BP92" s="45"/>
      <c r="BQ92" s="45"/>
      <c r="BR92" s="45"/>
      <c r="BS92" s="46"/>
      <c r="BT92" s="45"/>
      <c r="BU92" s="45"/>
      <c r="BV92" s="45"/>
      <c r="BW92" s="45"/>
      <c r="BX92" s="46"/>
      <c r="BY92" s="45"/>
      <c r="BZ92" s="45"/>
      <c r="CA92" s="45"/>
      <c r="CB92" s="45"/>
      <c r="CC92" s="46"/>
      <c r="CD92" s="45"/>
      <c r="CE92" s="45"/>
      <c r="CF92" s="45"/>
      <c r="CG92" s="45"/>
      <c r="CH92" s="46"/>
      <c r="CI92" s="45"/>
      <c r="CJ92" s="45"/>
      <c r="CK92" s="45"/>
      <c r="CL92" s="45"/>
      <c r="CM92" s="46"/>
      <c r="CN92" s="45"/>
      <c r="CO92" s="45"/>
      <c r="CP92" s="45"/>
      <c r="CQ92" s="45"/>
      <c r="CR92" s="46"/>
    </row>
    <row r="93" spans="1:96" s="9" customFormat="1" ht="23.25" customHeight="1" x14ac:dyDescent="0.3">
      <c r="A93" s="47" t="s">
        <v>95</v>
      </c>
      <c r="B93" s="48"/>
      <c r="C93" s="49">
        <f>IFERROR(C61/B61*100-100,"")</f>
        <v>2.5640517403404459</v>
      </c>
      <c r="D93" s="49">
        <f t="shared" ref="D93:E93" si="405">IFERROR(D61/C61*100-100,"")</f>
        <v>1.5262030259763009</v>
      </c>
      <c r="E93" s="49">
        <f t="shared" si="405"/>
        <v>3.7064727299342763</v>
      </c>
      <c r="F93" s="48"/>
      <c r="G93" s="49">
        <f>IFERROR(G61/E61*100-100,"")</f>
        <v>-0.49745929568818781</v>
      </c>
      <c r="H93" s="49">
        <f>IFERROR(H61/G61*100-100,"")</f>
        <v>1.5089188988385303</v>
      </c>
      <c r="I93" s="49">
        <f t="shared" ref="I93:J93" si="406">IFERROR(I61/H61*100-100,"")</f>
        <v>2.2870246061485631</v>
      </c>
      <c r="J93" s="49">
        <f t="shared" si="406"/>
        <v>3.9977734434826857</v>
      </c>
      <c r="K93" s="49">
        <f>IFERROR(K61/F61*100-100,"")</f>
        <v>7.0988926515406234</v>
      </c>
      <c r="L93" s="49">
        <f>IFERROR(L61/J61*100-100,"")</f>
        <v>-0.86914296924747703</v>
      </c>
      <c r="M93" s="49">
        <f>IFERROR(M61/L61*100-100,"")</f>
        <v>3.3735013743143156</v>
      </c>
      <c r="N93" s="49">
        <f t="shared" ref="N93:O93" si="407">IFERROR(N61/M61*100-100,"")</f>
        <v>1.8989225447949849</v>
      </c>
      <c r="O93" s="49">
        <f t="shared" si="407"/>
        <v>2.3180197335738342</v>
      </c>
      <c r="P93" s="49">
        <f>IFERROR(P61/K61*100-100,"")</f>
        <v>7.8631633100608269</v>
      </c>
      <c r="Q93" s="49">
        <f>IFERROR(Q61/O61*100-100,"")</f>
        <v>-0.69840552856067006</v>
      </c>
      <c r="R93" s="49" t="str">
        <f>IFERROR(R61/Q61*100-100,"")</f>
        <v/>
      </c>
      <c r="S93" s="49" t="str">
        <f t="shared" ref="S93:T93" si="408">IFERROR(S61/R61*100-100,"")</f>
        <v/>
      </c>
      <c r="T93" s="49">
        <f t="shared" si="408"/>
        <v>5.0207771916903994</v>
      </c>
      <c r="U93" s="49" t="str">
        <f>IFERROR(U61/P61*100-100,"")</f>
        <v/>
      </c>
      <c r="V93" s="49">
        <f>IFERROR(V61/T61*100-100,"")</f>
        <v>-1.9089770984358267</v>
      </c>
      <c r="W93" s="49">
        <f>IFERROR(W61/V61*100-100,"")</f>
        <v>2.6903884272637271</v>
      </c>
      <c r="X93" s="49">
        <f t="shared" ref="X93:Y93" si="409">IFERROR(X61/W61*100-100,"")</f>
        <v>0.63567674952425079</v>
      </c>
      <c r="Y93" s="49">
        <f t="shared" si="409"/>
        <v>1.6861821802010724</v>
      </c>
      <c r="Z93" s="49" t="str">
        <f>IFERROR(Z61/U61*100-100,"")</f>
        <v/>
      </c>
      <c r="AA93" s="49">
        <f>IFERROR(AA61/Y61*100-100,"")</f>
        <v>-2.3708366899040385</v>
      </c>
      <c r="AB93" s="49">
        <f>IFERROR(AB61/AA61*100-100,"")</f>
        <v>2.7336609350951449</v>
      </c>
      <c r="AC93" s="49">
        <f t="shared" ref="AC93:AD93" si="410">IFERROR(AC61/AB61*100-100,"")</f>
        <v>3.5859830124279881</v>
      </c>
      <c r="AD93" s="49">
        <f t="shared" si="410"/>
        <v>5.4414259307836232</v>
      </c>
      <c r="AE93" s="49">
        <f>IFERROR(AE61/Z61*100-100,"")</f>
        <v>5.1497817613969943</v>
      </c>
      <c r="AF93" s="49">
        <f>IFERROR(AF61/AD61*100-100,"")</f>
        <v>-2.9524503400075446</v>
      </c>
      <c r="AG93" s="49">
        <f>IFERROR(AG61/AF61*100-100,"")</f>
        <v>1.4942582176625194</v>
      </c>
      <c r="AH93" s="49">
        <f t="shared" ref="AH93:AI93" si="411">IFERROR(AH61/AG61*100-100,"")</f>
        <v>2.4174127458768595</v>
      </c>
      <c r="AI93" s="49">
        <f t="shared" si="411"/>
        <v>2.5058353475049984</v>
      </c>
      <c r="AJ93" s="49">
        <f>IFERROR(AJ61/AE61*100-100,"")</f>
        <v>6.4751330461222381</v>
      </c>
      <c r="AK93" s="49">
        <f>IFERROR(AK61/AI61*100-100,"")</f>
        <v>-2.1856959950022343</v>
      </c>
      <c r="AL93" s="49">
        <f>IFERROR(AL61/AK61*100-100,"")</f>
        <v>3.0513943356032485</v>
      </c>
      <c r="AM93" s="49">
        <f t="shared" ref="AM93:AN93" si="412">IFERROR(AM61/AL61*100-100,"")</f>
        <v>2.9977134026030257</v>
      </c>
      <c r="AN93" s="49">
        <f t="shared" si="412"/>
        <v>3.5761769544580631</v>
      </c>
      <c r="AO93" s="49">
        <f>IFERROR(AO61/AJ61*100-100,"")</f>
        <v>6.0282806203064183</v>
      </c>
      <c r="AP93" s="49">
        <f>IFERROR(AP61/AN61*100-100,"")</f>
        <v>-3.5341412278570061</v>
      </c>
      <c r="AQ93" s="49">
        <f>IFERROR(AQ61/AP61*100-100,"")</f>
        <v>3.7133404783903359</v>
      </c>
      <c r="AR93" s="49">
        <f t="shared" ref="AR93:AS93" si="413">IFERROR(AR61/AQ61*100-100,"")</f>
        <v>1.9738778819705942</v>
      </c>
      <c r="AS93" s="49">
        <f t="shared" si="413"/>
        <v>3.0870048027664865</v>
      </c>
      <c r="AT93" s="49">
        <f>IFERROR(AT61/AO61*100-100,"")</f>
        <v>5.891862478303068</v>
      </c>
      <c r="AU93" s="49">
        <f>IFERROR(AU61/AS61*100-100,"")</f>
        <v>-2.2923054099476303</v>
      </c>
      <c r="AV93" s="49">
        <f>IFERROR(AV61/AU61*100-100,"")</f>
        <v>2.7160069996205323</v>
      </c>
      <c r="AW93" s="49">
        <f t="shared" ref="AW93:AX93" si="414">IFERROR(AW61/AV61*100-100,"")</f>
        <v>2.4405836206639719</v>
      </c>
      <c r="AX93" s="49">
        <f t="shared" si="414"/>
        <v>2.7295120139807665</v>
      </c>
      <c r="AY93" s="49">
        <f>IFERROR(AY61/AT61*100-100,"")</f>
        <v>5.8986098714907342</v>
      </c>
      <c r="AZ93" s="49">
        <f>IFERROR(AZ61/AX61*100-100,"")</f>
        <v>-2.4312671513973356</v>
      </c>
      <c r="BA93" s="49">
        <f>IFERROR(BA61/AZ61*100-100,"")</f>
        <v>2.7593276811461038</v>
      </c>
      <c r="BB93" s="49">
        <f t="shared" ref="BB93:BC93" si="415">IFERROR(BB61/BA61*100-100,"")</f>
        <v>3.6753465760659907</v>
      </c>
      <c r="BC93" s="49">
        <f t="shared" si="415"/>
        <v>2.1361692073893011</v>
      </c>
      <c r="BD93" s="49">
        <f>IFERROR(BD61/AY61*100-100,"")</f>
        <v>5.9925059309856579</v>
      </c>
      <c r="BE93" s="49">
        <f>IFERROR(BE61/BC61*100-100,"")</f>
        <v>-2.139949428448233</v>
      </c>
      <c r="BF93" s="49">
        <f>IFERROR(BF61/BE61*100-100,"")</f>
        <v>3.1123648542788374</v>
      </c>
      <c r="BG93" s="49">
        <f t="shared" ref="BG93:BH93" si="416">IFERROR(BG61/BF61*100-100,"")</f>
        <v>2.3828493059746307</v>
      </c>
      <c r="BH93" s="49">
        <f t="shared" si="416"/>
        <v>1.7723599237734646</v>
      </c>
      <c r="BI93" s="49">
        <f>IFERROR(BI61/BD61*100-100,"")</f>
        <v>5.9777945501680705</v>
      </c>
      <c r="BJ93" s="49">
        <f>IFERROR(BJ61/BH61*100-100,"")</f>
        <v>-2.8230955450556792</v>
      </c>
      <c r="BK93" s="49">
        <f>IFERROR(BK61/BJ61*100-100,"")</f>
        <v>-1.3667206343656346</v>
      </c>
      <c r="BL93" s="49">
        <f t="shared" ref="BL93:BM93" si="417">IFERROR(BL61/BK61*100-100,"")</f>
        <v>1.1967734641071104</v>
      </c>
      <c r="BM93" s="49">
        <f t="shared" si="417"/>
        <v>0.17847143899612661</v>
      </c>
      <c r="BN93" s="49">
        <f>IFERROR(BN61/BI61*100-100,"")</f>
        <v>-2.9554747626718836E-2</v>
      </c>
      <c r="BO93" s="49">
        <f>IFERROR(BO61/BM61*100-100,"")</f>
        <v>-0.7777406750806648</v>
      </c>
      <c r="BP93" s="49">
        <f>IFERROR(BP61/BO61*100-100,"")</f>
        <v>4.5446326963285202</v>
      </c>
      <c r="BQ93" s="49">
        <f t="shared" ref="BQ93:BR93" si="418">IFERROR(BQ61/BP61*100-100,"")</f>
        <v>3.1197441197235776E-2</v>
      </c>
      <c r="BR93" s="49">
        <f t="shared" si="418"/>
        <v>3.1198069225063563</v>
      </c>
      <c r="BS93" s="49">
        <f>IFERROR(BS61/BN61*100-100,"")</f>
        <v>3.8265011509499374</v>
      </c>
      <c r="BT93" s="49">
        <f>IFERROR(BT61/BR61*100-100,"")</f>
        <v>-3.5787389610221823</v>
      </c>
      <c r="BU93" s="49">
        <f>IFERROR(BU61/BT61*100-100,"")</f>
        <v>6.0122739917245269</v>
      </c>
      <c r="BV93" s="49">
        <f t="shared" ref="BV93:BW93" si="419">IFERROR(BV61/BU61*100-100,"")</f>
        <v>0.91247736706887395</v>
      </c>
      <c r="BW93" s="49">
        <f t="shared" si="419"/>
        <v>3.4591911439566729</v>
      </c>
      <c r="BX93" s="49">
        <f>IFERROR(BX61/BS61*100-100,"")</f>
        <v>5.6539643603184686</v>
      </c>
      <c r="BY93" s="49">
        <f>IFERROR(BY61/BW61*100-100,"")</f>
        <v>-4.6105356085108724</v>
      </c>
      <c r="BZ93" s="49">
        <f>IFERROR(BZ61/BY61*100-100,"")</f>
        <v>5.7824175800121651</v>
      </c>
      <c r="CA93" s="49">
        <f t="shared" ref="CA93:CB93" si="420">IFERROR(CA61/BZ61*100-100,"")</f>
        <v>-0.20527612138853613</v>
      </c>
      <c r="CB93" s="49">
        <f t="shared" si="420"/>
        <v>1.9718704096441542</v>
      </c>
      <c r="CC93" s="49">
        <f>IFERROR(CC61/BX61*100-100,"")</f>
        <v>4.4116622361057125</v>
      </c>
      <c r="CD93" s="49">
        <f>IFERROR(CD61/CB61*100-100,"")</f>
        <v>-2.4364356490953725</v>
      </c>
      <c r="CE93" s="49">
        <f>IFERROR(CE61/CD61*100-100,"")</f>
        <v>4.1199226316689845</v>
      </c>
      <c r="CF93" s="49">
        <f t="shared" ref="CF93:CG93" si="421">IFERROR(CF61/CE61*100-100,"")</f>
        <v>1.4014980734900746</v>
      </c>
      <c r="CG93" s="49">
        <f t="shared" si="421"/>
        <v>1.9860271386993702</v>
      </c>
      <c r="CH93" s="49">
        <f>IFERROR(CH61/CC61*100-100,"")</f>
        <v>4.6181963294361452</v>
      </c>
      <c r="CI93" s="49">
        <f>IFERROR(CI61/CG61*100-100,"")</f>
        <v>-2.2534491672882098</v>
      </c>
      <c r="CJ93" s="49">
        <f>IFERROR(CJ61/CI61*100-100,"")</f>
        <v>2.6942291420660496</v>
      </c>
      <c r="CK93" s="49">
        <f t="shared" ref="CK93:CL93" si="422">IFERROR(CK61/CJ61*100-100,"")</f>
        <v>1.6081952282801808</v>
      </c>
      <c r="CL93" s="49">
        <f t="shared" si="422"/>
        <v>3.2518668507576649</v>
      </c>
      <c r="CM93" s="49">
        <f>IFERROR(CM61/CH61*100-100,"")</f>
        <v>4.5948950489985663</v>
      </c>
      <c r="CN93" s="49">
        <f>IFERROR(CN61/CL61*100-100,"")</f>
        <v>-100</v>
      </c>
      <c r="CO93" s="49" t="str">
        <f>IFERROR(CO61/CN61*100-100,"")</f>
        <v/>
      </c>
      <c r="CP93" s="49" t="str">
        <f t="shared" ref="CP93:CQ93" si="423">IFERROR(CP61/CO61*100-100,"")</f>
        <v/>
      </c>
      <c r="CQ93" s="49" t="str">
        <f t="shared" si="423"/>
        <v/>
      </c>
      <c r="CR93" s="49">
        <f>IFERROR(CR61/CM61*100-100,"")</f>
        <v>-100</v>
      </c>
    </row>
    <row r="94" spans="1:96" s="9" customFormat="1" ht="15" x14ac:dyDescent="0.4">
      <c r="A94" s="28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29"/>
      <c r="BK94" s="29"/>
      <c r="BL94" s="29"/>
      <c r="BM94" s="29"/>
      <c r="BN94" s="29"/>
      <c r="BO94" s="29"/>
      <c r="BP94" s="29"/>
      <c r="BQ94" s="29"/>
      <c r="BR94" s="29"/>
      <c r="BS94" s="29"/>
      <c r="BT94" s="29"/>
      <c r="BU94" s="29"/>
      <c r="BV94" s="29"/>
      <c r="BW94" s="29"/>
      <c r="BX94" s="29"/>
      <c r="BY94" s="29"/>
      <c r="BZ94" s="29"/>
      <c r="CA94" s="29"/>
      <c r="CB94" s="29"/>
      <c r="CC94" s="29"/>
      <c r="CD94" s="29"/>
      <c r="CE94" s="29"/>
      <c r="CF94" s="29"/>
      <c r="CG94" s="29"/>
      <c r="CH94" s="29"/>
      <c r="CI94" s="29"/>
      <c r="CJ94" s="29"/>
      <c r="CK94" s="29"/>
      <c r="CL94" s="29"/>
      <c r="CM94" s="29"/>
      <c r="CN94" s="29"/>
      <c r="CO94" s="29"/>
      <c r="CP94" s="29"/>
      <c r="CQ94" s="29"/>
      <c r="CR94" s="29"/>
    </row>
    <row r="95" spans="1:96" s="31" customFormat="1" ht="15" x14ac:dyDescent="0.4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30"/>
      <c r="BV95" s="30"/>
      <c r="BW95" s="30"/>
      <c r="BX95" s="30"/>
      <c r="BY95" s="30"/>
      <c r="BZ95" s="30"/>
      <c r="CA95" s="30"/>
      <c r="CB95" s="30"/>
      <c r="CC95" s="30"/>
      <c r="CD95" s="30"/>
      <c r="CE95" s="30"/>
      <c r="CF95" s="30"/>
      <c r="CG95" s="30"/>
      <c r="CH95" s="30"/>
      <c r="CI95" s="30"/>
      <c r="CJ95" s="30"/>
      <c r="CK95" s="30"/>
      <c r="CL95" s="30"/>
      <c r="CM95" s="30"/>
      <c r="CN95" s="30"/>
      <c r="CO95" s="30"/>
      <c r="CP95" s="30"/>
      <c r="CQ95" s="30"/>
      <c r="CR95" s="30"/>
    </row>
    <row r="96" spans="1:96" s="31" customFormat="1" ht="15" x14ac:dyDescent="0.4">
      <c r="A96" s="32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  <c r="BU96" s="33"/>
      <c r="BV96" s="33"/>
      <c r="BW96" s="33"/>
      <c r="BX96" s="33"/>
      <c r="BY96" s="33"/>
      <c r="BZ96" s="33"/>
      <c r="CA96" s="33"/>
      <c r="CB96" s="33"/>
      <c r="CC96" s="33"/>
      <c r="CD96" s="33"/>
      <c r="CE96" s="33"/>
      <c r="CF96" s="33"/>
      <c r="CG96" s="33"/>
      <c r="CH96" s="33"/>
      <c r="CI96" s="33"/>
      <c r="CJ96" s="33"/>
      <c r="CK96" s="33"/>
      <c r="CL96" s="33"/>
      <c r="CM96" s="33"/>
      <c r="CN96" s="33"/>
      <c r="CO96" s="33"/>
      <c r="CP96" s="33"/>
      <c r="CQ96" s="33"/>
      <c r="CR96" s="33"/>
    </row>
    <row r="97" spans="1:96" ht="20" x14ac:dyDescent="0.4">
      <c r="A97" s="1" t="s">
        <v>98</v>
      </c>
    </row>
    <row r="98" spans="1:96" ht="20.5" thickBot="1" x14ac:dyDescent="0.45">
      <c r="A98" s="1" t="str">
        <f>A66</f>
        <v>Kabupaten/Kota :</v>
      </c>
      <c r="B98" s="34" t="str">
        <f>B66</f>
        <v>Kepuluauan Tanimbar</v>
      </c>
      <c r="L98" s="35"/>
      <c r="V98" s="35"/>
      <c r="AF98" s="35"/>
      <c r="AP98" s="35"/>
      <c r="AZ98" s="35"/>
      <c r="BJ98" s="35"/>
      <c r="BT98" s="35"/>
    </row>
    <row r="99" spans="1:96" s="9" customFormat="1" ht="24" customHeight="1" thickBot="1" x14ac:dyDescent="0.35">
      <c r="A99" s="5" t="s">
        <v>2</v>
      </c>
      <c r="B99" s="6" t="s">
        <v>3</v>
      </c>
      <c r="C99" s="6" t="s">
        <v>4</v>
      </c>
      <c r="D99" s="6" t="s">
        <v>5</v>
      </c>
      <c r="E99" s="6" t="s">
        <v>6</v>
      </c>
      <c r="F99" s="6">
        <v>2008</v>
      </c>
      <c r="G99" s="7" t="s">
        <v>7</v>
      </c>
      <c r="H99" s="7" t="s">
        <v>8</v>
      </c>
      <c r="I99" s="7" t="s">
        <v>9</v>
      </c>
      <c r="J99" s="7" t="s">
        <v>10</v>
      </c>
      <c r="K99" s="7">
        <v>2009</v>
      </c>
      <c r="L99" s="6" t="s">
        <v>11</v>
      </c>
      <c r="M99" s="6" t="s">
        <v>12</v>
      </c>
      <c r="N99" s="6" t="s">
        <v>13</v>
      </c>
      <c r="O99" s="6" t="s">
        <v>14</v>
      </c>
      <c r="P99" s="6">
        <v>2010</v>
      </c>
      <c r="Q99" s="7" t="s">
        <v>15</v>
      </c>
      <c r="R99" s="7" t="s">
        <v>16</v>
      </c>
      <c r="S99" s="7" t="s">
        <v>17</v>
      </c>
      <c r="T99" s="7" t="s">
        <v>18</v>
      </c>
      <c r="U99" s="7">
        <v>2011</v>
      </c>
      <c r="V99" s="6" t="s">
        <v>19</v>
      </c>
      <c r="W99" s="6" t="s">
        <v>20</v>
      </c>
      <c r="X99" s="6" t="s">
        <v>21</v>
      </c>
      <c r="Y99" s="6" t="s">
        <v>22</v>
      </c>
      <c r="Z99" s="6">
        <v>2012</v>
      </c>
      <c r="AA99" s="7" t="s">
        <v>23</v>
      </c>
      <c r="AB99" s="7" t="s">
        <v>24</v>
      </c>
      <c r="AC99" s="7" t="s">
        <v>25</v>
      </c>
      <c r="AD99" s="7" t="s">
        <v>26</v>
      </c>
      <c r="AE99" s="7">
        <v>2013</v>
      </c>
      <c r="AF99" s="6" t="s">
        <v>27</v>
      </c>
      <c r="AG99" s="6" t="s">
        <v>28</v>
      </c>
      <c r="AH99" s="6" t="s">
        <v>29</v>
      </c>
      <c r="AI99" s="6" t="s">
        <v>30</v>
      </c>
      <c r="AJ99" s="6">
        <v>2014</v>
      </c>
      <c r="AK99" s="7" t="s">
        <v>31</v>
      </c>
      <c r="AL99" s="7" t="s">
        <v>32</v>
      </c>
      <c r="AM99" s="7" t="s">
        <v>33</v>
      </c>
      <c r="AN99" s="7" t="s">
        <v>34</v>
      </c>
      <c r="AO99" s="7">
        <v>2015</v>
      </c>
      <c r="AP99" s="6" t="s">
        <v>35</v>
      </c>
      <c r="AQ99" s="6" t="s">
        <v>36</v>
      </c>
      <c r="AR99" s="6" t="s">
        <v>37</v>
      </c>
      <c r="AS99" s="6" t="s">
        <v>38</v>
      </c>
      <c r="AT99" s="6">
        <v>2016</v>
      </c>
      <c r="AU99" s="7" t="s">
        <v>39</v>
      </c>
      <c r="AV99" s="7" t="s">
        <v>40</v>
      </c>
      <c r="AW99" s="7" t="s">
        <v>41</v>
      </c>
      <c r="AX99" s="7" t="s">
        <v>42</v>
      </c>
      <c r="AY99" s="7">
        <v>2017</v>
      </c>
      <c r="AZ99" s="6" t="s">
        <v>43</v>
      </c>
      <c r="BA99" s="6" t="s">
        <v>44</v>
      </c>
      <c r="BB99" s="6" t="s">
        <v>45</v>
      </c>
      <c r="BC99" s="6" t="s">
        <v>46</v>
      </c>
      <c r="BD99" s="6">
        <v>2018</v>
      </c>
      <c r="BE99" s="7" t="s">
        <v>47</v>
      </c>
      <c r="BF99" s="7" t="s">
        <v>48</v>
      </c>
      <c r="BG99" s="7" t="s">
        <v>49</v>
      </c>
      <c r="BH99" s="7" t="s">
        <v>50</v>
      </c>
      <c r="BI99" s="7">
        <v>2019</v>
      </c>
      <c r="BJ99" s="6" t="s">
        <v>51</v>
      </c>
      <c r="BK99" s="6" t="s">
        <v>52</v>
      </c>
      <c r="BL99" s="6" t="s">
        <v>53</v>
      </c>
      <c r="BM99" s="6" t="s">
        <v>54</v>
      </c>
      <c r="BN99" s="6">
        <v>2020</v>
      </c>
      <c r="BO99" s="7" t="s">
        <v>55</v>
      </c>
      <c r="BP99" s="7" t="s">
        <v>56</v>
      </c>
      <c r="BQ99" s="7" t="s">
        <v>57</v>
      </c>
      <c r="BR99" s="7" t="s">
        <v>58</v>
      </c>
      <c r="BS99" s="7">
        <v>2021</v>
      </c>
      <c r="BT99" s="6" t="s">
        <v>59</v>
      </c>
      <c r="BU99" s="6" t="s">
        <v>60</v>
      </c>
      <c r="BV99" s="6" t="s">
        <v>61</v>
      </c>
      <c r="BW99" s="6" t="s">
        <v>62</v>
      </c>
      <c r="BX99" s="6">
        <v>2022</v>
      </c>
      <c r="BY99" s="7" t="s">
        <v>63</v>
      </c>
      <c r="BZ99" s="7" t="s">
        <v>64</v>
      </c>
      <c r="CA99" s="7" t="s">
        <v>65</v>
      </c>
      <c r="CB99" s="7" t="s">
        <v>66</v>
      </c>
      <c r="CC99" s="7">
        <v>2023</v>
      </c>
      <c r="CD99" s="8" t="s">
        <v>67</v>
      </c>
      <c r="CE99" s="8" t="s">
        <v>68</v>
      </c>
      <c r="CF99" s="8" t="s">
        <v>69</v>
      </c>
      <c r="CG99" s="8" t="s">
        <v>70</v>
      </c>
      <c r="CH99" s="8">
        <v>2024</v>
      </c>
      <c r="CI99" s="7" t="s">
        <v>71</v>
      </c>
      <c r="CJ99" s="7" t="s">
        <v>72</v>
      </c>
      <c r="CK99" s="7" t="s">
        <v>73</v>
      </c>
      <c r="CL99" s="7" t="s">
        <v>74</v>
      </c>
      <c r="CM99" s="7">
        <v>2025</v>
      </c>
      <c r="CN99" s="8" t="s">
        <v>75</v>
      </c>
      <c r="CO99" s="8" t="s">
        <v>76</v>
      </c>
      <c r="CP99" s="8" t="s">
        <v>77</v>
      </c>
      <c r="CQ99" s="8" t="s">
        <v>78</v>
      </c>
      <c r="CR99" s="8">
        <v>2026</v>
      </c>
    </row>
    <row r="100" spans="1:96" s="9" customFormat="1" ht="13.5" thickBot="1" x14ac:dyDescent="0.35">
      <c r="A100" s="10">
        <v>-1</v>
      </c>
      <c r="B100" s="11">
        <f>Table33610191810111232425262728292102112122[[#This Row],[Komponen Pengeluaran]]-1</f>
        <v>-2</v>
      </c>
      <c r="C100" s="11">
        <f>B100-1</f>
        <v>-3</v>
      </c>
      <c r="D100" s="11">
        <f t="shared" ref="D100:BO100" si="424">C100-1</f>
        <v>-4</v>
      </c>
      <c r="E100" s="11">
        <f t="shared" si="424"/>
        <v>-5</v>
      </c>
      <c r="F100" s="11">
        <f t="shared" si="424"/>
        <v>-6</v>
      </c>
      <c r="G100" s="11">
        <f t="shared" si="424"/>
        <v>-7</v>
      </c>
      <c r="H100" s="11">
        <f t="shared" si="424"/>
        <v>-8</v>
      </c>
      <c r="I100" s="11">
        <f t="shared" si="424"/>
        <v>-9</v>
      </c>
      <c r="J100" s="11">
        <f t="shared" si="424"/>
        <v>-10</v>
      </c>
      <c r="K100" s="11">
        <f t="shared" si="424"/>
        <v>-11</v>
      </c>
      <c r="L100" s="11">
        <f t="shared" si="424"/>
        <v>-12</v>
      </c>
      <c r="M100" s="11">
        <f t="shared" si="424"/>
        <v>-13</v>
      </c>
      <c r="N100" s="11">
        <f t="shared" si="424"/>
        <v>-14</v>
      </c>
      <c r="O100" s="11">
        <f t="shared" si="424"/>
        <v>-15</v>
      </c>
      <c r="P100" s="11">
        <f t="shared" si="424"/>
        <v>-16</v>
      </c>
      <c r="Q100" s="11">
        <f t="shared" si="424"/>
        <v>-17</v>
      </c>
      <c r="R100" s="11">
        <f t="shared" si="424"/>
        <v>-18</v>
      </c>
      <c r="S100" s="11">
        <f t="shared" si="424"/>
        <v>-19</v>
      </c>
      <c r="T100" s="11">
        <f t="shared" si="424"/>
        <v>-20</v>
      </c>
      <c r="U100" s="11">
        <f t="shared" si="424"/>
        <v>-21</v>
      </c>
      <c r="V100" s="11">
        <f t="shared" si="424"/>
        <v>-22</v>
      </c>
      <c r="W100" s="11">
        <f t="shared" si="424"/>
        <v>-23</v>
      </c>
      <c r="X100" s="11">
        <f t="shared" si="424"/>
        <v>-24</v>
      </c>
      <c r="Y100" s="11">
        <f t="shared" si="424"/>
        <v>-25</v>
      </c>
      <c r="Z100" s="11">
        <f t="shared" si="424"/>
        <v>-26</v>
      </c>
      <c r="AA100" s="11">
        <f t="shared" si="424"/>
        <v>-27</v>
      </c>
      <c r="AB100" s="11">
        <f t="shared" si="424"/>
        <v>-28</v>
      </c>
      <c r="AC100" s="11">
        <f t="shared" si="424"/>
        <v>-29</v>
      </c>
      <c r="AD100" s="11">
        <f t="shared" si="424"/>
        <v>-30</v>
      </c>
      <c r="AE100" s="11">
        <f t="shared" si="424"/>
        <v>-31</v>
      </c>
      <c r="AF100" s="11">
        <f t="shared" si="424"/>
        <v>-32</v>
      </c>
      <c r="AG100" s="11">
        <f t="shared" si="424"/>
        <v>-33</v>
      </c>
      <c r="AH100" s="11">
        <f t="shared" si="424"/>
        <v>-34</v>
      </c>
      <c r="AI100" s="11">
        <f t="shared" si="424"/>
        <v>-35</v>
      </c>
      <c r="AJ100" s="11">
        <f t="shared" si="424"/>
        <v>-36</v>
      </c>
      <c r="AK100" s="11">
        <f t="shared" si="424"/>
        <v>-37</v>
      </c>
      <c r="AL100" s="11">
        <f t="shared" si="424"/>
        <v>-38</v>
      </c>
      <c r="AM100" s="11">
        <f t="shared" si="424"/>
        <v>-39</v>
      </c>
      <c r="AN100" s="11">
        <f t="shared" si="424"/>
        <v>-40</v>
      </c>
      <c r="AO100" s="11">
        <f t="shared" si="424"/>
        <v>-41</v>
      </c>
      <c r="AP100" s="11">
        <f t="shared" si="424"/>
        <v>-42</v>
      </c>
      <c r="AQ100" s="11">
        <f t="shared" si="424"/>
        <v>-43</v>
      </c>
      <c r="AR100" s="11">
        <f t="shared" si="424"/>
        <v>-44</v>
      </c>
      <c r="AS100" s="11">
        <f t="shared" si="424"/>
        <v>-45</v>
      </c>
      <c r="AT100" s="11">
        <f t="shared" si="424"/>
        <v>-46</v>
      </c>
      <c r="AU100" s="11">
        <f t="shared" si="424"/>
        <v>-47</v>
      </c>
      <c r="AV100" s="11">
        <f t="shared" si="424"/>
        <v>-48</v>
      </c>
      <c r="AW100" s="11">
        <f t="shared" si="424"/>
        <v>-49</v>
      </c>
      <c r="AX100" s="11">
        <f t="shared" si="424"/>
        <v>-50</v>
      </c>
      <c r="AY100" s="11">
        <f t="shared" si="424"/>
        <v>-51</v>
      </c>
      <c r="AZ100" s="11">
        <f t="shared" si="424"/>
        <v>-52</v>
      </c>
      <c r="BA100" s="11">
        <f t="shared" si="424"/>
        <v>-53</v>
      </c>
      <c r="BB100" s="11">
        <f t="shared" si="424"/>
        <v>-54</v>
      </c>
      <c r="BC100" s="11">
        <f t="shared" si="424"/>
        <v>-55</v>
      </c>
      <c r="BD100" s="11">
        <f t="shared" si="424"/>
        <v>-56</v>
      </c>
      <c r="BE100" s="11">
        <f t="shared" si="424"/>
        <v>-57</v>
      </c>
      <c r="BF100" s="11">
        <f t="shared" si="424"/>
        <v>-58</v>
      </c>
      <c r="BG100" s="11">
        <f t="shared" si="424"/>
        <v>-59</v>
      </c>
      <c r="BH100" s="11">
        <f t="shared" si="424"/>
        <v>-60</v>
      </c>
      <c r="BI100" s="11">
        <f t="shared" si="424"/>
        <v>-61</v>
      </c>
      <c r="BJ100" s="11">
        <f t="shared" si="424"/>
        <v>-62</v>
      </c>
      <c r="BK100" s="11">
        <f t="shared" si="424"/>
        <v>-63</v>
      </c>
      <c r="BL100" s="11">
        <f t="shared" si="424"/>
        <v>-64</v>
      </c>
      <c r="BM100" s="11">
        <f t="shared" si="424"/>
        <v>-65</v>
      </c>
      <c r="BN100" s="11">
        <f t="shared" si="424"/>
        <v>-66</v>
      </c>
      <c r="BO100" s="11">
        <f t="shared" si="424"/>
        <v>-67</v>
      </c>
      <c r="BP100" s="11">
        <f t="shared" ref="BP100:CR100" si="425">BO100-1</f>
        <v>-68</v>
      </c>
      <c r="BQ100" s="11">
        <f t="shared" si="425"/>
        <v>-69</v>
      </c>
      <c r="BR100" s="11">
        <f t="shared" si="425"/>
        <v>-70</v>
      </c>
      <c r="BS100" s="11">
        <f t="shared" si="425"/>
        <v>-71</v>
      </c>
      <c r="BT100" s="11">
        <f t="shared" si="425"/>
        <v>-72</v>
      </c>
      <c r="BU100" s="11">
        <f t="shared" si="425"/>
        <v>-73</v>
      </c>
      <c r="BV100" s="11">
        <f t="shared" si="425"/>
        <v>-74</v>
      </c>
      <c r="BW100" s="11">
        <f t="shared" si="425"/>
        <v>-75</v>
      </c>
      <c r="BX100" s="11">
        <f t="shared" si="425"/>
        <v>-76</v>
      </c>
      <c r="BY100" s="11">
        <f t="shared" si="425"/>
        <v>-77</v>
      </c>
      <c r="BZ100" s="11">
        <f t="shared" si="425"/>
        <v>-78</v>
      </c>
      <c r="CA100" s="11">
        <f t="shared" si="425"/>
        <v>-79</v>
      </c>
      <c r="CB100" s="11">
        <f t="shared" si="425"/>
        <v>-80</v>
      </c>
      <c r="CC100" s="11">
        <f t="shared" si="425"/>
        <v>-81</v>
      </c>
      <c r="CD100" s="11">
        <f t="shared" si="425"/>
        <v>-82</v>
      </c>
      <c r="CE100" s="11">
        <f t="shared" si="425"/>
        <v>-83</v>
      </c>
      <c r="CF100" s="11">
        <f t="shared" si="425"/>
        <v>-84</v>
      </c>
      <c r="CG100" s="11">
        <f t="shared" si="425"/>
        <v>-85</v>
      </c>
      <c r="CH100" s="11">
        <f t="shared" si="425"/>
        <v>-86</v>
      </c>
      <c r="CI100" s="11">
        <f t="shared" si="425"/>
        <v>-87</v>
      </c>
      <c r="CJ100" s="11">
        <f t="shared" si="425"/>
        <v>-88</v>
      </c>
      <c r="CK100" s="11">
        <f t="shared" si="425"/>
        <v>-89</v>
      </c>
      <c r="CL100" s="11">
        <f t="shared" si="425"/>
        <v>-90</v>
      </c>
      <c r="CM100" s="11">
        <f t="shared" si="425"/>
        <v>-91</v>
      </c>
      <c r="CN100" s="11">
        <f t="shared" si="425"/>
        <v>-92</v>
      </c>
      <c r="CO100" s="11">
        <f t="shared" si="425"/>
        <v>-93</v>
      </c>
      <c r="CP100" s="11">
        <f t="shared" si="425"/>
        <v>-94</v>
      </c>
      <c r="CQ100" s="11">
        <f t="shared" si="425"/>
        <v>-95</v>
      </c>
      <c r="CR100" s="11">
        <f t="shared" si="425"/>
        <v>-96</v>
      </c>
    </row>
    <row r="101" spans="1:96" s="9" customFormat="1" ht="16.5" thickTop="1" x14ac:dyDescent="0.4">
      <c r="A101" s="12"/>
      <c r="B101" s="36"/>
      <c r="C101" s="36"/>
      <c r="D101" s="36"/>
      <c r="E101" s="36"/>
      <c r="F101" s="36"/>
      <c r="G101" s="13"/>
      <c r="H101" s="13"/>
      <c r="I101" s="13"/>
      <c r="J101" s="13"/>
      <c r="K101" s="14"/>
      <c r="L101" s="13"/>
      <c r="M101" s="13"/>
      <c r="N101" s="13"/>
      <c r="O101" s="13"/>
      <c r="P101" s="14"/>
      <c r="Q101" s="13"/>
      <c r="R101" s="13"/>
      <c r="S101" s="13"/>
      <c r="T101" s="13"/>
      <c r="U101" s="14"/>
      <c r="V101" s="13"/>
      <c r="W101" s="13"/>
      <c r="X101" s="13"/>
      <c r="Y101" s="13"/>
      <c r="Z101" s="14"/>
      <c r="AA101" s="13"/>
      <c r="AB101" s="13"/>
      <c r="AC101" s="13"/>
      <c r="AD101" s="13"/>
      <c r="AE101" s="14"/>
      <c r="AF101" s="13"/>
      <c r="AG101" s="13"/>
      <c r="AH101" s="13"/>
      <c r="AI101" s="13"/>
      <c r="AJ101" s="14"/>
      <c r="AK101" s="13"/>
      <c r="AL101" s="13"/>
      <c r="AM101" s="13"/>
      <c r="AN101" s="13"/>
      <c r="AO101" s="14"/>
      <c r="AP101" s="13"/>
      <c r="AQ101" s="13"/>
      <c r="AR101" s="13"/>
      <c r="AS101" s="13"/>
      <c r="AT101" s="14"/>
      <c r="AU101" s="13"/>
      <c r="AV101" s="13"/>
      <c r="AW101" s="13"/>
      <c r="AX101" s="13"/>
      <c r="AY101" s="14"/>
      <c r="AZ101" s="13"/>
      <c r="BA101" s="13"/>
      <c r="BB101" s="13"/>
      <c r="BC101" s="13"/>
      <c r="BD101" s="14"/>
      <c r="BE101" s="13"/>
      <c r="BF101" s="13"/>
      <c r="BG101" s="13"/>
      <c r="BH101" s="13"/>
      <c r="BI101" s="14"/>
      <c r="BJ101" s="13"/>
      <c r="BK101" s="13"/>
      <c r="BL101" s="13"/>
      <c r="BM101" s="13"/>
      <c r="BN101" s="14"/>
      <c r="BO101" s="13"/>
      <c r="BP101" s="13"/>
      <c r="BQ101" s="13"/>
      <c r="BR101" s="13"/>
      <c r="BS101" s="14"/>
      <c r="BT101" s="13"/>
      <c r="BU101" s="13"/>
      <c r="BV101" s="13"/>
      <c r="BW101" s="13"/>
      <c r="BX101" s="14"/>
      <c r="BY101" s="13"/>
      <c r="BZ101" s="13"/>
      <c r="CA101" s="13"/>
      <c r="CB101" s="13"/>
      <c r="CC101" s="14"/>
      <c r="CD101" s="13"/>
      <c r="CE101" s="13"/>
      <c r="CF101" s="13"/>
      <c r="CG101" s="13"/>
      <c r="CH101" s="14"/>
      <c r="CI101" s="13"/>
      <c r="CJ101" s="13"/>
      <c r="CK101" s="13"/>
      <c r="CL101" s="13"/>
      <c r="CM101" s="14"/>
      <c r="CN101" s="13"/>
      <c r="CO101" s="13"/>
      <c r="CP101" s="13"/>
      <c r="CQ101" s="13"/>
      <c r="CR101" s="14"/>
    </row>
    <row r="102" spans="1:96" s="17" customFormat="1" ht="15" x14ac:dyDescent="0.4">
      <c r="A102" s="15" t="s">
        <v>79</v>
      </c>
      <c r="B102" s="37"/>
      <c r="C102" s="37"/>
      <c r="D102" s="37"/>
      <c r="E102" s="37"/>
      <c r="F102" s="37"/>
      <c r="G102" s="16">
        <f>IFERROR(G38/B38*100-100,"")</f>
        <v>5.7477814316729194</v>
      </c>
      <c r="H102" s="16">
        <f t="shared" ref="H102:L109" si="426">IFERROR(H38/C38*100-100,"")</f>
        <v>6.6722948672135658</v>
      </c>
      <c r="I102" s="16">
        <f t="shared" si="426"/>
        <v>8.5938904142148544</v>
      </c>
      <c r="J102" s="16">
        <f t="shared" si="426"/>
        <v>9.1895258399488142</v>
      </c>
      <c r="K102" s="16">
        <f t="shared" si="426"/>
        <v>7.5953055159416749</v>
      </c>
      <c r="L102" s="16">
        <f>IFERROR(L38/G38*100-100,"")</f>
        <v>7.0394325542248595</v>
      </c>
      <c r="M102" s="16">
        <f t="shared" ref="M102:Q109" si="427">IFERROR(M38/H38*100-100,"")</f>
        <v>6.6357781417102331</v>
      </c>
      <c r="N102" s="16">
        <f t="shared" si="427"/>
        <v>5.8711721515788611</v>
      </c>
      <c r="O102" s="16">
        <f t="shared" si="427"/>
        <v>7.1750248573821125</v>
      </c>
      <c r="P102" s="16">
        <f t="shared" si="427"/>
        <v>6.6795026093941345</v>
      </c>
      <c r="Q102" s="16">
        <f>IFERROR(Q38/L38*100-100,"")</f>
        <v>3.4819223405223596</v>
      </c>
      <c r="R102" s="16" t="str">
        <f t="shared" ref="R102:V109" si="428">IFERROR(R38/M38*100-100,"")</f>
        <v/>
      </c>
      <c r="S102" s="16">
        <f t="shared" si="428"/>
        <v>6.5152292090140804</v>
      </c>
      <c r="T102" s="16">
        <f t="shared" si="428"/>
        <v>3.2466191758079788</v>
      </c>
      <c r="U102" s="16" t="str">
        <f t="shared" si="428"/>
        <v/>
      </c>
      <c r="V102" s="16">
        <f>IFERROR(V38/Q38*100-100,"")</f>
        <v>3.6944325953804196</v>
      </c>
      <c r="W102" s="16" t="str">
        <f t="shared" ref="W102:AA109" si="429">IFERROR(W38/R38*100-100,"")</f>
        <v/>
      </c>
      <c r="X102" s="16">
        <f t="shared" si="429"/>
        <v>4.8575397838984173</v>
      </c>
      <c r="Y102" s="16">
        <f t="shared" si="429"/>
        <v>5.343985766959932</v>
      </c>
      <c r="Z102" s="16" t="str">
        <f t="shared" si="429"/>
        <v/>
      </c>
      <c r="AA102" s="16">
        <f>IFERROR(AA38/V38*100-100,"")</f>
        <v>5.7072597060719517</v>
      </c>
      <c r="AB102" s="16">
        <f t="shared" ref="AB102:AF109" si="430">IFERROR(AB38/W38*100-100,"")</f>
        <v>5.1348517344811455</v>
      </c>
      <c r="AC102" s="16">
        <f t="shared" si="430"/>
        <v>4.8354801542533465</v>
      </c>
      <c r="AD102" s="16">
        <f t="shared" si="430"/>
        <v>6.9446023771609759</v>
      </c>
      <c r="AE102" s="16">
        <f t="shared" si="430"/>
        <v>5.6712708266658041</v>
      </c>
      <c r="AF102" s="16">
        <f>IFERROR(AF38/AA38*100-100,"")</f>
        <v>7.290912136982854</v>
      </c>
      <c r="AG102" s="16">
        <f t="shared" ref="AG102:AK109" si="431">IFERROR(AG38/AB38*100-100,"")</f>
        <v>7.2097827596002872</v>
      </c>
      <c r="AH102" s="16">
        <f t="shared" si="431"/>
        <v>6.2789572896286359</v>
      </c>
      <c r="AI102" s="16">
        <f t="shared" si="431"/>
        <v>7.984056925420191</v>
      </c>
      <c r="AJ102" s="16">
        <f t="shared" si="431"/>
        <v>7.1978862128214303</v>
      </c>
      <c r="AK102" s="16">
        <f>IFERROR(AK38/AF38*100-100,"")</f>
        <v>8.7322160735254784</v>
      </c>
      <c r="AL102" s="16">
        <f t="shared" ref="AL102:AP109" si="432">IFERROR(AL38/AG38*100-100,"")</f>
        <v>9.0686011703259481</v>
      </c>
      <c r="AM102" s="16">
        <f t="shared" si="432"/>
        <v>8.3346640243368313</v>
      </c>
      <c r="AN102" s="16">
        <f t="shared" si="432"/>
        <v>9.0901683691360518</v>
      </c>
      <c r="AO102" s="16">
        <f t="shared" si="432"/>
        <v>8.8092566185490284</v>
      </c>
      <c r="AP102" s="16">
        <f>IFERROR(AP38/AK38*100-100,"")</f>
        <v>8.5823419804312664</v>
      </c>
      <c r="AQ102" s="16">
        <f t="shared" ref="AQ102:AU109" si="433">IFERROR(AQ38/AL38*100-100,"")</f>
        <v>7.6976061075048676</v>
      </c>
      <c r="AR102" s="16">
        <f t="shared" si="433"/>
        <v>4.9039808847577859</v>
      </c>
      <c r="AS102" s="16">
        <f t="shared" si="433"/>
        <v>1.7190762631141325</v>
      </c>
      <c r="AT102" s="16">
        <f t="shared" si="433"/>
        <v>5.5738399978486228</v>
      </c>
      <c r="AU102" s="16">
        <f>IFERROR(AU38/AP38*100-100,"")</f>
        <v>3.8669781347524008</v>
      </c>
      <c r="AV102" s="16">
        <f t="shared" ref="AV102:AZ109" si="434">IFERROR(AV38/AQ38*100-100,"")</f>
        <v>4.6558932671330098</v>
      </c>
      <c r="AW102" s="16">
        <f t="shared" si="434"/>
        <v>6.8821883801182651</v>
      </c>
      <c r="AX102" s="16">
        <f t="shared" si="434"/>
        <v>7.4468483764753302</v>
      </c>
      <c r="AY102" s="16">
        <f t="shared" si="434"/>
        <v>5.7568116132955112</v>
      </c>
      <c r="AZ102" s="16">
        <f>IFERROR(AZ38/AU38*100-100,"")</f>
        <v>4.5258337290165969</v>
      </c>
      <c r="BA102" s="16">
        <f t="shared" ref="BA102:BE109" si="435">IFERROR(BA38/AV38*100-100,"")</f>
        <v>4.7933863770332863</v>
      </c>
      <c r="BB102" s="16">
        <f t="shared" si="435"/>
        <v>5.1794167486116578</v>
      </c>
      <c r="BC102" s="16">
        <f t="shared" si="435"/>
        <v>6.7298930565958983</v>
      </c>
      <c r="BD102" s="16">
        <f t="shared" si="435"/>
        <v>5.3429939306337531</v>
      </c>
      <c r="BE102" s="16">
        <f>IFERROR(BE38/AZ38*100-100,"")</f>
        <v>7.6480307182265932</v>
      </c>
      <c r="BF102" s="16">
        <f t="shared" ref="BF102:BJ109" si="436">IFERROR(BF38/BA38*100-100,"")</f>
        <v>8.160212321767446</v>
      </c>
      <c r="BG102" s="16">
        <f t="shared" si="436"/>
        <v>7.6441665663618608</v>
      </c>
      <c r="BH102" s="16">
        <f t="shared" si="436"/>
        <v>2.7071135893782952</v>
      </c>
      <c r="BI102" s="16">
        <f t="shared" si="436"/>
        <v>6.4418627182471653</v>
      </c>
      <c r="BJ102" s="16">
        <f>IFERROR(BJ38/BE38*100-100,"")</f>
        <v>6.7477579968062429</v>
      </c>
      <c r="BK102" s="16">
        <f t="shared" ref="BK102:BO109" si="437">IFERROR(BK38/BF38*100-100,"")</f>
        <v>0.71910003230119912</v>
      </c>
      <c r="BL102" s="16">
        <f t="shared" si="437"/>
        <v>-2.1200872145627727</v>
      </c>
      <c r="BM102" s="16">
        <f t="shared" si="437"/>
        <v>-2.2002398549833373</v>
      </c>
      <c r="BN102" s="16">
        <f t="shared" si="437"/>
        <v>0.65619443178439951</v>
      </c>
      <c r="BO102" s="16">
        <f>IFERROR(BO38/BJ38*100-100,"")</f>
        <v>-1.138032746418034</v>
      </c>
      <c r="BP102" s="16">
        <f t="shared" ref="BP102:BT109" si="438">IFERROR(BP38/BK38*100-100,"")</f>
        <v>0.81844762940146154</v>
      </c>
      <c r="BQ102" s="16">
        <f t="shared" si="438"/>
        <v>0.14092600257389165</v>
      </c>
      <c r="BR102" s="16">
        <f t="shared" si="438"/>
        <v>3.5648119901243547</v>
      </c>
      <c r="BS102" s="16">
        <f t="shared" si="438"/>
        <v>0.85195756799778621</v>
      </c>
      <c r="BT102" s="16">
        <f>IFERROR(BT38/BO38*100-100,"")</f>
        <v>4.1636692295921307</v>
      </c>
      <c r="BU102" s="16">
        <f t="shared" ref="BU102:BY109" si="439">IFERROR(BU38/BP38*100-100,"")</f>
        <v>5.4198794934597032</v>
      </c>
      <c r="BV102" s="16">
        <f t="shared" si="439"/>
        <v>6.2033621686501448</v>
      </c>
      <c r="BW102" s="16">
        <f t="shared" si="439"/>
        <v>3.7637686681913181</v>
      </c>
      <c r="BX102" s="16">
        <f t="shared" si="439"/>
        <v>4.8764947096071154</v>
      </c>
      <c r="BY102" s="16">
        <f>IFERROR(BY38/BT38*100-100,"")</f>
        <v>2.9571946475523276</v>
      </c>
      <c r="BZ102" s="16">
        <f t="shared" ref="BZ102:CD109" si="440">IFERROR(BZ38/BU38*100-100,"")</f>
        <v>2.4834724012847857</v>
      </c>
      <c r="CA102" s="16">
        <f t="shared" si="440"/>
        <v>2.0626382490123376</v>
      </c>
      <c r="CB102" s="16">
        <f t="shared" si="440"/>
        <v>2.3880249299017748</v>
      </c>
      <c r="CC102" s="16">
        <f t="shared" si="440"/>
        <v>2.4688897527159099</v>
      </c>
      <c r="CD102" s="16">
        <f>IFERROR(CD38/BY38*100-100,"")</f>
        <v>4.5870352060501318</v>
      </c>
      <c r="CE102" s="16">
        <f t="shared" ref="CE102:CI109" si="441">IFERROR(CE38/BZ38*100-100,"")</f>
        <v>3.5151289307140132</v>
      </c>
      <c r="CF102" s="16">
        <f t="shared" si="441"/>
        <v>3.0026630922015869</v>
      </c>
      <c r="CG102" s="16">
        <f t="shared" si="441"/>
        <v>4.1166823993449526</v>
      </c>
      <c r="CH102" s="16">
        <f t="shared" si="441"/>
        <v>3.8037889304888779</v>
      </c>
      <c r="CI102" s="16">
        <f>IFERROR(CI38/CD38*100-100,"")</f>
        <v>3.7018375273669193</v>
      </c>
      <c r="CJ102" s="16">
        <f t="shared" ref="CJ102:CN109" si="442">IFERROR(CJ38/CE38*100-100,"")</f>
        <v>3.7254523151154046</v>
      </c>
      <c r="CK102" s="16">
        <f t="shared" si="442"/>
        <v>3.7403402107011914</v>
      </c>
      <c r="CL102" s="16">
        <f t="shared" si="442"/>
        <v>4.0104705013550301</v>
      </c>
      <c r="CM102" s="16">
        <f t="shared" si="442"/>
        <v>3.7965455183498875</v>
      </c>
      <c r="CN102" s="16">
        <f>IFERROR(CN38/CI38*100-100,"")</f>
        <v>-100</v>
      </c>
      <c r="CO102" s="16">
        <f t="shared" ref="CO102:CR109" si="443">IFERROR(CO38/CJ38*100-100,"")</f>
        <v>-100</v>
      </c>
      <c r="CP102" s="16">
        <f t="shared" si="443"/>
        <v>-100</v>
      </c>
      <c r="CQ102" s="16">
        <f t="shared" si="443"/>
        <v>-100</v>
      </c>
      <c r="CR102" s="16">
        <f t="shared" si="443"/>
        <v>-100</v>
      </c>
    </row>
    <row r="103" spans="1:96" s="9" customFormat="1" ht="15" x14ac:dyDescent="0.4">
      <c r="A103" s="18" t="s">
        <v>80</v>
      </c>
      <c r="B103" s="38"/>
      <c r="C103" s="38"/>
      <c r="D103" s="38"/>
      <c r="E103" s="38"/>
      <c r="F103" s="38"/>
      <c r="G103" s="39">
        <f>IFERROR(G39/B39*100-100,"")</f>
        <v>4.427043742432943</v>
      </c>
      <c r="H103" s="39">
        <f t="shared" si="426"/>
        <v>6.0454318724121947</v>
      </c>
      <c r="I103" s="39">
        <f t="shared" si="426"/>
        <v>8.5181950309008556</v>
      </c>
      <c r="J103" s="39">
        <f t="shared" si="426"/>
        <v>10.311143049027294</v>
      </c>
      <c r="K103" s="40">
        <f t="shared" si="426"/>
        <v>7.3775482311147584</v>
      </c>
      <c r="L103" s="39">
        <f>IFERROR(L39/G39*100-100,"")</f>
        <v>6.5307002133211824</v>
      </c>
      <c r="M103" s="39">
        <f t="shared" si="427"/>
        <v>6.7401738850829673</v>
      </c>
      <c r="N103" s="39">
        <f t="shared" si="427"/>
        <v>6.5841747499964356</v>
      </c>
      <c r="O103" s="39">
        <f t="shared" si="427"/>
        <v>7.9177710837764721</v>
      </c>
      <c r="P103" s="40">
        <f t="shared" si="427"/>
        <v>6.9629934199783463</v>
      </c>
      <c r="Q103" s="39">
        <f>IFERROR(Q39/L39*100-100,"")</f>
        <v>4.3581321924069556</v>
      </c>
      <c r="R103" s="39" t="str">
        <f t="shared" si="428"/>
        <v/>
      </c>
      <c r="S103" s="39">
        <f t="shared" si="428"/>
        <v>7.4309768369576972</v>
      </c>
      <c r="T103" s="39">
        <f t="shared" si="428"/>
        <v>2.6231769670579865</v>
      </c>
      <c r="U103" s="40" t="str">
        <f t="shared" si="428"/>
        <v/>
      </c>
      <c r="V103" s="39">
        <f>IFERROR(V39/Q39*100-100,"")</f>
        <v>3.5664186523126915</v>
      </c>
      <c r="W103" s="39" t="str">
        <f t="shared" si="429"/>
        <v/>
      </c>
      <c r="X103" s="39">
        <f t="shared" si="429"/>
        <v>3.5614587328870471</v>
      </c>
      <c r="Y103" s="39">
        <f t="shared" si="429"/>
        <v>4.5310926560675284</v>
      </c>
      <c r="Z103" s="40" t="str">
        <f t="shared" si="429"/>
        <v/>
      </c>
      <c r="AA103" s="39">
        <f>IFERROR(AA39/V39*100-100,"")</f>
        <v>5.3600600438942649</v>
      </c>
      <c r="AB103" s="39">
        <f t="shared" si="430"/>
        <v>5.1499162723210645</v>
      </c>
      <c r="AC103" s="39">
        <f t="shared" si="430"/>
        <v>5.3225926691965952</v>
      </c>
      <c r="AD103" s="39">
        <f t="shared" si="430"/>
        <v>8.0706192640220564</v>
      </c>
      <c r="AE103" s="40">
        <f t="shared" si="430"/>
        <v>6.0109641785178241</v>
      </c>
      <c r="AF103" s="39">
        <f>IFERROR(AF39/AA39*100-100,"")</f>
        <v>8.3903534002719198</v>
      </c>
      <c r="AG103" s="39">
        <f t="shared" si="431"/>
        <v>7.6602425113470929</v>
      </c>
      <c r="AH103" s="39">
        <f t="shared" si="431"/>
        <v>6.5644995362326171</v>
      </c>
      <c r="AI103" s="39">
        <f t="shared" si="431"/>
        <v>8.8313916280541491</v>
      </c>
      <c r="AJ103" s="40">
        <f t="shared" si="431"/>
        <v>7.8608740013816742</v>
      </c>
      <c r="AK103" s="39">
        <f>IFERROR(AK39/AF39*100-100,"")</f>
        <v>9.3421128608597286</v>
      </c>
      <c r="AL103" s="39">
        <f t="shared" si="432"/>
        <v>9.6088907076122609</v>
      </c>
      <c r="AM103" s="39">
        <f t="shared" si="432"/>
        <v>9.2039225394867401</v>
      </c>
      <c r="AN103" s="39">
        <f t="shared" si="432"/>
        <v>10.692290234773978</v>
      </c>
      <c r="AO103" s="40">
        <f t="shared" si="432"/>
        <v>9.7364860628581766</v>
      </c>
      <c r="AP103" s="39">
        <f>IFERROR(AP39/AK39*100-100,"")</f>
        <v>9.2189127555266026</v>
      </c>
      <c r="AQ103" s="39">
        <f t="shared" si="433"/>
        <v>8.4374623001538538</v>
      </c>
      <c r="AR103" s="39">
        <f t="shared" si="433"/>
        <v>5.4110828066794312</v>
      </c>
      <c r="AS103" s="39">
        <f t="shared" si="433"/>
        <v>1.1039256234154777</v>
      </c>
      <c r="AT103" s="40">
        <f t="shared" si="433"/>
        <v>5.8535282468786107</v>
      </c>
      <c r="AU103" s="39">
        <f>IFERROR(AU39/AP39*100-100,"")</f>
        <v>3.2908872949163737</v>
      </c>
      <c r="AV103" s="39">
        <f t="shared" si="434"/>
        <v>3.9072472718270319</v>
      </c>
      <c r="AW103" s="39">
        <f t="shared" si="434"/>
        <v>7.2686264103639218</v>
      </c>
      <c r="AX103" s="39">
        <f t="shared" si="434"/>
        <v>9.3432845993661999</v>
      </c>
      <c r="AY103" s="40">
        <f t="shared" si="434"/>
        <v>6.0225105381659887</v>
      </c>
      <c r="AZ103" s="39">
        <f>IFERROR(AZ39/AU39*100-100,"")</f>
        <v>5.6421565976300485</v>
      </c>
      <c r="BA103" s="39">
        <f t="shared" si="435"/>
        <v>5.7635551718939979</v>
      </c>
      <c r="BB103" s="39">
        <f t="shared" si="435"/>
        <v>5.8686362634702789</v>
      </c>
      <c r="BC103" s="39">
        <f t="shared" si="435"/>
        <v>7.4905815846339436</v>
      </c>
      <c r="BD103" s="40">
        <f t="shared" si="435"/>
        <v>6.2257544538097278</v>
      </c>
      <c r="BE103" s="39">
        <f>IFERROR(BE39/AZ39*100-100,"")</f>
        <v>8.3426235990153259</v>
      </c>
      <c r="BF103" s="39">
        <f t="shared" si="436"/>
        <v>8.6316272667307459</v>
      </c>
      <c r="BG103" s="39">
        <f t="shared" si="436"/>
        <v>7.8169415678345189</v>
      </c>
      <c r="BH103" s="39">
        <f t="shared" si="436"/>
        <v>1.321947934569863</v>
      </c>
      <c r="BI103" s="40">
        <f t="shared" si="436"/>
        <v>6.3714426276530958</v>
      </c>
      <c r="BJ103" s="39">
        <f>IFERROR(BJ39/BE39*100-100,"")</f>
        <v>7.5518433554839817</v>
      </c>
      <c r="BK103" s="39">
        <f t="shared" si="437"/>
        <v>3.0743779330498739</v>
      </c>
      <c r="BL103" s="39">
        <f t="shared" si="437"/>
        <v>-7.8418028071496337E-2</v>
      </c>
      <c r="BM103" s="39">
        <f t="shared" si="437"/>
        <v>-0.14243375247559698</v>
      </c>
      <c r="BN103" s="40">
        <f t="shared" si="437"/>
        <v>2.4871386661794617</v>
      </c>
      <c r="BO103" s="39">
        <f>IFERROR(BO39/BJ39*100-100,"")</f>
        <v>0.57722914291527161</v>
      </c>
      <c r="BP103" s="39">
        <f t="shared" si="438"/>
        <v>-0.53217705877504784</v>
      </c>
      <c r="BQ103" s="39">
        <f t="shared" si="438"/>
        <v>-1.5281823671141552</v>
      </c>
      <c r="BR103" s="39">
        <f t="shared" si="438"/>
        <v>3.9021044236390594</v>
      </c>
      <c r="BS103" s="40">
        <f t="shared" si="438"/>
        <v>0.61075207652083918</v>
      </c>
      <c r="BT103" s="39">
        <f>IFERROR(BT39/BO39*100-100,"")</f>
        <v>4.1234614543218271</v>
      </c>
      <c r="BU103" s="39">
        <f t="shared" si="439"/>
        <v>6.048973999453878</v>
      </c>
      <c r="BV103" s="39">
        <f t="shared" si="439"/>
        <v>6.3751197841956895</v>
      </c>
      <c r="BW103" s="39">
        <f t="shared" si="439"/>
        <v>2.924636047552724</v>
      </c>
      <c r="BX103" s="40">
        <f t="shared" si="439"/>
        <v>4.8383643645700829</v>
      </c>
      <c r="BY103" s="39">
        <f>IFERROR(BY39/BT39*100-100,"")</f>
        <v>1.9693501671737721</v>
      </c>
      <c r="BZ103" s="39">
        <f t="shared" si="440"/>
        <v>2.5630525848031596</v>
      </c>
      <c r="CA103" s="39">
        <f t="shared" si="440"/>
        <v>2.4744357933317929</v>
      </c>
      <c r="CB103" s="39">
        <f t="shared" si="440"/>
        <v>2.793039355888709</v>
      </c>
      <c r="CC103" s="40">
        <f t="shared" si="440"/>
        <v>2.4535994908411567</v>
      </c>
      <c r="CD103" s="39">
        <f>IFERROR(CD39/BY39*100-100,"")</f>
        <v>4.9662662370766952</v>
      </c>
      <c r="CE103" s="39">
        <f t="shared" si="441"/>
        <v>3.7191648998265805</v>
      </c>
      <c r="CF103" s="39">
        <f t="shared" si="441"/>
        <v>3.4867840723308348</v>
      </c>
      <c r="CG103" s="39">
        <f t="shared" si="441"/>
        <v>4.7777584132385584</v>
      </c>
      <c r="CH103" s="40">
        <f t="shared" si="441"/>
        <v>4.238218646884178</v>
      </c>
      <c r="CI103" s="39">
        <f>IFERROR(CI39/CD39*100-100,"")</f>
        <v>4.5603336209339318</v>
      </c>
      <c r="CJ103" s="39">
        <f t="shared" si="442"/>
        <v>4.1103971613611918</v>
      </c>
      <c r="CK103" s="39">
        <f t="shared" si="442"/>
        <v>4.2423294828370075</v>
      </c>
      <c r="CL103" s="39">
        <f t="shared" si="442"/>
        <v>4.4459066865874917</v>
      </c>
      <c r="CM103" s="40">
        <f t="shared" si="442"/>
        <v>4.3405876941153423</v>
      </c>
      <c r="CN103" s="39">
        <f>IFERROR(CN39/CI39*100-100,"")</f>
        <v>-100</v>
      </c>
      <c r="CO103" s="39">
        <f t="shared" si="443"/>
        <v>-100</v>
      </c>
      <c r="CP103" s="39">
        <f t="shared" si="443"/>
        <v>-100</v>
      </c>
      <c r="CQ103" s="39">
        <f t="shared" si="443"/>
        <v>-100</v>
      </c>
      <c r="CR103" s="40">
        <f t="shared" si="443"/>
        <v>-100</v>
      </c>
    </row>
    <row r="104" spans="1:96" s="9" customFormat="1" ht="15" x14ac:dyDescent="0.4">
      <c r="A104" s="18" t="s">
        <v>81</v>
      </c>
      <c r="B104" s="41"/>
      <c r="C104" s="41"/>
      <c r="D104" s="41"/>
      <c r="E104" s="41"/>
      <c r="F104" s="41"/>
      <c r="G104" s="39">
        <f>IFERROR(G40/B40*100-100,"")</f>
        <v>55.997153274552574</v>
      </c>
      <c r="H104" s="39">
        <f t="shared" si="426"/>
        <v>61.480847572352587</v>
      </c>
      <c r="I104" s="39">
        <f t="shared" si="426"/>
        <v>63.417693296260978</v>
      </c>
      <c r="J104" s="39">
        <f t="shared" si="426"/>
        <v>53.150486378838849</v>
      </c>
      <c r="K104" s="40">
        <f t="shared" si="426"/>
        <v>58.281321215588264</v>
      </c>
      <c r="L104" s="39">
        <f>IFERROR(L40/G40*100-100,"")</f>
        <v>25.935648464537081</v>
      </c>
      <c r="M104" s="39">
        <f t="shared" si="427"/>
        <v>8.7729499096162158</v>
      </c>
      <c r="N104" s="39">
        <f t="shared" si="427"/>
        <v>-3.6941960295329466</v>
      </c>
      <c r="O104" s="39">
        <f t="shared" si="427"/>
        <v>-8.8120537009285727</v>
      </c>
      <c r="P104" s="40">
        <f t="shared" si="427"/>
        <v>3.8195458936250049</v>
      </c>
      <c r="Q104" s="39">
        <f>IFERROR(Q40/L40*100-100,"")</f>
        <v>-5.507404082870238</v>
      </c>
      <c r="R104" s="39" t="str">
        <f t="shared" si="428"/>
        <v/>
      </c>
      <c r="S104" s="39">
        <f t="shared" si="428"/>
        <v>6.8157127250228342</v>
      </c>
      <c r="T104" s="39">
        <f t="shared" si="428"/>
        <v>11.365207109323251</v>
      </c>
      <c r="U104" s="40" t="str">
        <f t="shared" si="428"/>
        <v/>
      </c>
      <c r="V104" s="39">
        <f>IFERROR(V40/Q40*100-100,"")</f>
        <v>7.3716318087321895</v>
      </c>
      <c r="W104" s="39" t="str">
        <f t="shared" si="429"/>
        <v/>
      </c>
      <c r="X104" s="39">
        <f t="shared" si="429"/>
        <v>10.914504111976626</v>
      </c>
      <c r="Y104" s="39">
        <f t="shared" si="429"/>
        <v>10.035977569855675</v>
      </c>
      <c r="Z104" s="40" t="str">
        <f t="shared" si="429"/>
        <v/>
      </c>
      <c r="AA104" s="39">
        <f>IFERROR(AA40/V40*100-100,"")</f>
        <v>8.4134669134282092</v>
      </c>
      <c r="AB104" s="39">
        <f t="shared" si="430"/>
        <v>6.0100795268350566</v>
      </c>
      <c r="AC104" s="39">
        <f t="shared" si="430"/>
        <v>1.9685364519583288</v>
      </c>
      <c r="AD104" s="39">
        <f t="shared" si="430"/>
        <v>0.64533394169681912</v>
      </c>
      <c r="AE104" s="40">
        <f t="shared" si="430"/>
        <v>4.0008357052648336</v>
      </c>
      <c r="AF104" s="39">
        <f>IFERROR(AF40/AA40*100-100,"")</f>
        <v>2.6097697076815365</v>
      </c>
      <c r="AG104" s="39">
        <f t="shared" si="431"/>
        <v>5.1761219734910213</v>
      </c>
      <c r="AH104" s="39">
        <f t="shared" si="431"/>
        <v>6.2305614963173781</v>
      </c>
      <c r="AI104" s="39">
        <f t="shared" si="431"/>
        <v>7.5479502030106431</v>
      </c>
      <c r="AJ104" s="40">
        <f t="shared" si="431"/>
        <v>5.4858858799808417</v>
      </c>
      <c r="AK104" s="39">
        <f>IFERROR(AK40/AF40*100-100,"")</f>
        <v>4.8854677490552518</v>
      </c>
      <c r="AL104" s="39">
        <f t="shared" si="432"/>
        <v>5.7757586964862355</v>
      </c>
      <c r="AM104" s="39">
        <f t="shared" si="432"/>
        <v>6.4931765596842723</v>
      </c>
      <c r="AN104" s="39">
        <f t="shared" si="432"/>
        <v>6.5979903294827835</v>
      </c>
      <c r="AO104" s="40">
        <f t="shared" si="432"/>
        <v>5.9832163380124683</v>
      </c>
      <c r="AP104" s="39">
        <f>IFERROR(AP40/AK40*100-100,"")</f>
        <v>11.415830468485069</v>
      </c>
      <c r="AQ104" s="39">
        <f t="shared" si="433"/>
        <v>7.6344846790733669</v>
      </c>
      <c r="AR104" s="39">
        <f t="shared" si="433"/>
        <v>4.427041596310886</v>
      </c>
      <c r="AS104" s="39">
        <f t="shared" si="433"/>
        <v>3.2831417772038094</v>
      </c>
      <c r="AT104" s="40">
        <f t="shared" si="433"/>
        <v>6.4542349815184679</v>
      </c>
      <c r="AU104" s="39">
        <f>IFERROR(AU40/AP40*100-100,"")</f>
        <v>3.7728744899317093</v>
      </c>
      <c r="AV104" s="39">
        <f t="shared" si="434"/>
        <v>4.3755267207685478</v>
      </c>
      <c r="AW104" s="39">
        <f t="shared" si="434"/>
        <v>3.6093740900421096</v>
      </c>
      <c r="AX104" s="39">
        <f t="shared" si="434"/>
        <v>1.5799155137122369</v>
      </c>
      <c r="AY104" s="40">
        <f t="shared" si="434"/>
        <v>3.2837084430982912</v>
      </c>
      <c r="AZ104" s="39">
        <f>IFERROR(AZ40/AU40*100-100,"")</f>
        <v>5.4478941811892128</v>
      </c>
      <c r="BA104" s="39">
        <f t="shared" si="435"/>
        <v>6.1431847481451882</v>
      </c>
      <c r="BB104" s="39">
        <f t="shared" si="435"/>
        <v>5.5692908714834743</v>
      </c>
      <c r="BC104" s="39">
        <f t="shared" si="435"/>
        <v>6.942638127165381</v>
      </c>
      <c r="BD104" s="40">
        <f t="shared" si="435"/>
        <v>6.0466576481460947</v>
      </c>
      <c r="BE104" s="39">
        <f>IFERROR(BE40/AZ40*100-100,"")</f>
        <v>5.7512253606937946</v>
      </c>
      <c r="BF104" s="39">
        <f t="shared" si="436"/>
        <v>9.7846107184421953</v>
      </c>
      <c r="BG104" s="39">
        <f t="shared" si="436"/>
        <v>7.3052368943940422</v>
      </c>
      <c r="BH104" s="39">
        <f t="shared" si="436"/>
        <v>5.9750327421121767</v>
      </c>
      <c r="BI104" s="40">
        <f t="shared" si="436"/>
        <v>7.1876371499212155</v>
      </c>
      <c r="BJ104" s="39">
        <f>IFERROR(BJ40/BE40*100-100,"")</f>
        <v>3.4002251933515879</v>
      </c>
      <c r="BK104" s="39">
        <f t="shared" si="437"/>
        <v>-20.518398551454681</v>
      </c>
      <c r="BL104" s="39">
        <f t="shared" si="437"/>
        <v>-27.41392707913775</v>
      </c>
      <c r="BM104" s="39">
        <f t="shared" si="437"/>
        <v>-30.746842587091379</v>
      </c>
      <c r="BN104" s="40">
        <f t="shared" si="437"/>
        <v>-19.388869927942608</v>
      </c>
      <c r="BO104" s="39">
        <f>IFERROR(BO40/BJ40*100-100,"")</f>
        <v>-28.859153804353582</v>
      </c>
      <c r="BP104" s="39">
        <f t="shared" si="438"/>
        <v>-6.2776958429360405</v>
      </c>
      <c r="BQ104" s="39">
        <f t="shared" si="438"/>
        <v>-0.16760763866616912</v>
      </c>
      <c r="BR104" s="39">
        <f t="shared" si="438"/>
        <v>1.7590109492763588</v>
      </c>
      <c r="BS104" s="40">
        <f t="shared" si="438"/>
        <v>-9.8156554384051731</v>
      </c>
      <c r="BT104" s="39">
        <f>IFERROR(BT40/BO40*100-100,"")</f>
        <v>0.84227982323197637</v>
      </c>
      <c r="BU104" s="39">
        <f t="shared" si="439"/>
        <v>1.3448903241274763</v>
      </c>
      <c r="BV104" s="39">
        <f t="shared" si="439"/>
        <v>4.7399445534238112</v>
      </c>
      <c r="BW104" s="39">
        <f t="shared" si="439"/>
        <v>5.0416799556125369</v>
      </c>
      <c r="BX104" s="40">
        <f t="shared" si="439"/>
        <v>3.0263463456867044</v>
      </c>
      <c r="BY104" s="39">
        <f>IFERROR(BY40/BT40*100-100,"")</f>
        <v>9.017912687090444</v>
      </c>
      <c r="BZ104" s="39">
        <f t="shared" si="440"/>
        <v>1.026779643213473</v>
      </c>
      <c r="CA104" s="39">
        <f t="shared" si="440"/>
        <v>0.631566441023935</v>
      </c>
      <c r="CB104" s="39">
        <f t="shared" si="440"/>
        <v>0.34183491255959098</v>
      </c>
      <c r="CC104" s="40">
        <f t="shared" si="440"/>
        <v>2.5911496376975123</v>
      </c>
      <c r="CD104" s="39">
        <f>IFERROR(CD40/BY40*100-100,"")</f>
        <v>4.9313412790427122</v>
      </c>
      <c r="CE104" s="39">
        <f t="shared" si="441"/>
        <v>3.687839457860818</v>
      </c>
      <c r="CF104" s="39">
        <f t="shared" si="441"/>
        <v>3.1055530917520286</v>
      </c>
      <c r="CG104" s="39">
        <f t="shared" si="441"/>
        <v>4.4418449437324767</v>
      </c>
      <c r="CH104" s="40">
        <f t="shared" si="441"/>
        <v>4.0413885566053835</v>
      </c>
      <c r="CI104" s="39">
        <f>IFERROR(CI40/CD40*100-100,"")</f>
        <v>3.4029200567381253</v>
      </c>
      <c r="CJ104" s="39">
        <f t="shared" si="442"/>
        <v>3.4190688472366872</v>
      </c>
      <c r="CK104" s="39">
        <f t="shared" si="442"/>
        <v>2.8055730911492844</v>
      </c>
      <c r="CL104" s="39">
        <f t="shared" si="442"/>
        <v>5.4748149355311853</v>
      </c>
      <c r="CM104" s="40">
        <f t="shared" si="442"/>
        <v>3.7934754973955904</v>
      </c>
      <c r="CN104" s="39">
        <f>IFERROR(CN40/CI40*100-100,"")</f>
        <v>-100</v>
      </c>
      <c r="CO104" s="39">
        <f t="shared" si="443"/>
        <v>-100</v>
      </c>
      <c r="CP104" s="39">
        <f t="shared" si="443"/>
        <v>-100</v>
      </c>
      <c r="CQ104" s="39">
        <f t="shared" si="443"/>
        <v>-100</v>
      </c>
      <c r="CR104" s="40">
        <f t="shared" si="443"/>
        <v>-100</v>
      </c>
    </row>
    <row r="105" spans="1:96" s="9" customFormat="1" ht="15" x14ac:dyDescent="0.4">
      <c r="A105" s="18" t="s">
        <v>82</v>
      </c>
      <c r="B105" s="38"/>
      <c r="C105" s="38"/>
      <c r="D105" s="38"/>
      <c r="E105" s="38"/>
      <c r="F105" s="38"/>
      <c r="G105" s="39">
        <f t="shared" ref="G105:G109" si="444">IFERROR(G41/B41*100-100,"")</f>
        <v>8.499373578918636</v>
      </c>
      <c r="H105" s="39">
        <f t="shared" si="426"/>
        <v>4.2210066280411951</v>
      </c>
      <c r="I105" s="39">
        <f t="shared" si="426"/>
        <v>4.1012098688159</v>
      </c>
      <c r="J105" s="39">
        <f t="shared" si="426"/>
        <v>-4.3355808166373038</v>
      </c>
      <c r="K105" s="40">
        <f t="shared" si="426"/>
        <v>2.8214384733926039</v>
      </c>
      <c r="L105" s="39">
        <f t="shared" si="426"/>
        <v>-0.1511987540126114</v>
      </c>
      <c r="M105" s="39">
        <f t="shared" si="427"/>
        <v>-2.0003154517872304</v>
      </c>
      <c r="N105" s="39">
        <f t="shared" si="427"/>
        <v>-1.55682383143089</v>
      </c>
      <c r="O105" s="39">
        <f t="shared" si="427"/>
        <v>5.5716086022814579</v>
      </c>
      <c r="P105" s="40">
        <f t="shared" si="427"/>
        <v>0.49705027905746135</v>
      </c>
      <c r="Q105" s="39">
        <f t="shared" si="427"/>
        <v>0.95433428506200357</v>
      </c>
      <c r="R105" s="39" t="str">
        <f t="shared" si="428"/>
        <v/>
      </c>
      <c r="S105" s="39">
        <f t="shared" si="428"/>
        <v>6.3571619200287728</v>
      </c>
      <c r="T105" s="39">
        <f t="shared" si="428"/>
        <v>7.7693266502505907</v>
      </c>
      <c r="U105" s="40" t="str">
        <f t="shared" si="428"/>
        <v/>
      </c>
      <c r="V105" s="39">
        <f t="shared" si="428"/>
        <v>7.6321343797399237</v>
      </c>
      <c r="W105" s="39" t="str">
        <f t="shared" si="429"/>
        <v/>
      </c>
      <c r="X105" s="39">
        <f t="shared" si="429"/>
        <v>4.0890698916076929</v>
      </c>
      <c r="Y105" s="39">
        <f t="shared" si="429"/>
        <v>2.5910247430368116</v>
      </c>
      <c r="Z105" s="40" t="str">
        <f t="shared" si="429"/>
        <v/>
      </c>
      <c r="AA105" s="39">
        <f t="shared" si="429"/>
        <v>5.4033113834340156</v>
      </c>
      <c r="AB105" s="39">
        <f t="shared" si="430"/>
        <v>8.2416907754917332</v>
      </c>
      <c r="AC105" s="39">
        <f t="shared" si="430"/>
        <v>6.45125829437238</v>
      </c>
      <c r="AD105" s="39">
        <f t="shared" si="430"/>
        <v>4.7889269477320511</v>
      </c>
      <c r="AE105" s="40">
        <f t="shared" si="430"/>
        <v>6.1807462040760726</v>
      </c>
      <c r="AF105" s="39">
        <f t="shared" si="430"/>
        <v>2.775266133165033</v>
      </c>
      <c r="AG105" s="39">
        <f t="shared" si="431"/>
        <v>3.704558076932372</v>
      </c>
      <c r="AH105" s="39">
        <f t="shared" si="431"/>
        <v>5.8482856575630819</v>
      </c>
      <c r="AI105" s="39">
        <f t="shared" si="431"/>
        <v>7.4678331141428487</v>
      </c>
      <c r="AJ105" s="40">
        <f t="shared" si="431"/>
        <v>5.0330948395525894</v>
      </c>
      <c r="AK105" s="39">
        <f t="shared" si="431"/>
        <v>9.5265718133056225</v>
      </c>
      <c r="AL105" s="39">
        <f t="shared" si="432"/>
        <v>9.480608542905486</v>
      </c>
      <c r="AM105" s="39">
        <f t="shared" si="432"/>
        <v>5.8060526910193744</v>
      </c>
      <c r="AN105" s="39">
        <f t="shared" si="432"/>
        <v>4.9517058704590085</v>
      </c>
      <c r="AO105" s="40">
        <f t="shared" si="432"/>
        <v>7.3148851462555342</v>
      </c>
      <c r="AP105" s="39">
        <f t="shared" si="432"/>
        <v>6.3981741392317417</v>
      </c>
      <c r="AQ105" s="39">
        <f t="shared" si="433"/>
        <v>4.3699393650690013</v>
      </c>
      <c r="AR105" s="39">
        <f t="shared" si="433"/>
        <v>3.0590259895035672</v>
      </c>
      <c r="AS105" s="39">
        <f t="shared" si="433"/>
        <v>2.7705604113898943</v>
      </c>
      <c r="AT105" s="40">
        <f t="shared" si="433"/>
        <v>4.0902248132690318</v>
      </c>
      <c r="AU105" s="39">
        <f t="shared" si="433"/>
        <v>3.4937849571375068</v>
      </c>
      <c r="AV105" s="39">
        <f t="shared" si="434"/>
        <v>3.3547909094968134</v>
      </c>
      <c r="AW105" s="39">
        <f t="shared" si="434"/>
        <v>3.3184732988273709</v>
      </c>
      <c r="AX105" s="39">
        <f t="shared" si="434"/>
        <v>1.1406356475985717</v>
      </c>
      <c r="AY105" s="40">
        <f t="shared" si="434"/>
        <v>2.7964001627236001</v>
      </c>
      <c r="AZ105" s="39">
        <f t="shared" si="434"/>
        <v>-0.4322417547805486</v>
      </c>
      <c r="BA105" s="39">
        <f t="shared" si="435"/>
        <v>0.36154527780465173</v>
      </c>
      <c r="BB105" s="39">
        <f t="shared" si="435"/>
        <v>-6.2822120209489185E-3</v>
      </c>
      <c r="BC105" s="39">
        <f t="shared" si="435"/>
        <v>0.60047354318540158</v>
      </c>
      <c r="BD105" s="40">
        <f t="shared" si="435"/>
        <v>0.13843356271019047</v>
      </c>
      <c r="BE105" s="39">
        <f t="shared" si="435"/>
        <v>3.1508254278410419</v>
      </c>
      <c r="BF105" s="39">
        <f t="shared" si="436"/>
        <v>4.1811719991505782</v>
      </c>
      <c r="BG105" s="39">
        <f t="shared" si="436"/>
        <v>4.9276813489496334</v>
      </c>
      <c r="BH105" s="39">
        <f t="shared" si="436"/>
        <v>3.4531133244484664</v>
      </c>
      <c r="BI105" s="40">
        <f t="shared" si="436"/>
        <v>3.930778445738099</v>
      </c>
      <c r="BJ105" s="39">
        <f t="shared" si="436"/>
        <v>4.6461401147150951</v>
      </c>
      <c r="BK105" s="39">
        <f t="shared" si="437"/>
        <v>-0.78593632067092756</v>
      </c>
      <c r="BL105" s="39">
        <f t="shared" si="437"/>
        <v>-3.6966642836000148</v>
      </c>
      <c r="BM105" s="39">
        <f t="shared" si="437"/>
        <v>-0.59882461082273153</v>
      </c>
      <c r="BN105" s="40">
        <f t="shared" si="437"/>
        <v>-0.17546569755751307</v>
      </c>
      <c r="BO105" s="39">
        <f t="shared" si="437"/>
        <v>2.6228894421869882</v>
      </c>
      <c r="BP105" s="39">
        <f t="shared" si="438"/>
        <v>5.4189077154352105</v>
      </c>
      <c r="BQ105" s="39">
        <f t="shared" si="438"/>
        <v>6.0304668900185447</v>
      </c>
      <c r="BR105" s="39">
        <f t="shared" si="438"/>
        <v>1.4138223654206428</v>
      </c>
      <c r="BS105" s="40">
        <f t="shared" si="438"/>
        <v>3.8342718347079199</v>
      </c>
      <c r="BT105" s="39">
        <f t="shared" si="438"/>
        <v>-1.3121269600668342</v>
      </c>
      <c r="BU105" s="39">
        <f t="shared" si="439"/>
        <v>1.1636534802392617</v>
      </c>
      <c r="BV105" s="39">
        <f t="shared" si="439"/>
        <v>5.7197670262720806</v>
      </c>
      <c r="BW105" s="39">
        <f t="shared" si="439"/>
        <v>6.8048937627304156</v>
      </c>
      <c r="BX105" s="40">
        <f t="shared" si="439"/>
        <v>3.1084645650000198</v>
      </c>
      <c r="BY105" s="39">
        <f t="shared" si="439"/>
        <v>6.1726521838240842</v>
      </c>
      <c r="BZ105" s="39">
        <f t="shared" si="440"/>
        <v>2.966168263583242</v>
      </c>
      <c r="CA105" s="39">
        <f t="shared" si="440"/>
        <v>0.22431219089484955</v>
      </c>
      <c r="CB105" s="39">
        <f t="shared" si="440"/>
        <v>0.22979358886968271</v>
      </c>
      <c r="CC105" s="40">
        <f t="shared" si="440"/>
        <v>2.3111026013526583</v>
      </c>
      <c r="CD105" s="39">
        <f t="shared" si="440"/>
        <v>2.7695470193694405</v>
      </c>
      <c r="CE105" s="39">
        <f t="shared" si="441"/>
        <v>1.4982651285050395</v>
      </c>
      <c r="CF105" s="39">
        <f t="shared" si="441"/>
        <v>1.7695908137341121E-2</v>
      </c>
      <c r="CG105" s="39">
        <f t="shared" si="441"/>
        <v>4.4531087963648019E-2</v>
      </c>
      <c r="CH105" s="40">
        <f t="shared" si="441"/>
        <v>1.0683970608266691</v>
      </c>
      <c r="CI105" s="39">
        <f t="shared" si="441"/>
        <v>-1.0600025675693274</v>
      </c>
      <c r="CJ105" s="39">
        <f t="shared" si="442"/>
        <v>0.37182683465127297</v>
      </c>
      <c r="CK105" s="39">
        <f t="shared" si="442"/>
        <v>1.9484710047853184</v>
      </c>
      <c r="CL105" s="39">
        <f t="shared" si="442"/>
        <v>1.999866686236345</v>
      </c>
      <c r="CM105" s="40">
        <f t="shared" si="442"/>
        <v>0.81654519756966693</v>
      </c>
      <c r="CN105" s="39">
        <f t="shared" si="442"/>
        <v>-100</v>
      </c>
      <c r="CO105" s="39">
        <f t="shared" si="443"/>
        <v>-100</v>
      </c>
      <c r="CP105" s="39">
        <f t="shared" si="443"/>
        <v>-100</v>
      </c>
      <c r="CQ105" s="39">
        <f t="shared" si="443"/>
        <v>-100</v>
      </c>
      <c r="CR105" s="40">
        <f t="shared" si="443"/>
        <v>-100</v>
      </c>
    </row>
    <row r="106" spans="1:96" s="9" customFormat="1" ht="15" x14ac:dyDescent="0.4">
      <c r="A106" s="18" t="s">
        <v>83</v>
      </c>
      <c r="B106" s="41"/>
      <c r="C106" s="41"/>
      <c r="D106" s="41"/>
      <c r="E106" s="41"/>
      <c r="F106" s="41"/>
      <c r="G106" s="39">
        <f t="shared" si="444"/>
        <v>4.3656709799669784</v>
      </c>
      <c r="H106" s="39">
        <f t="shared" si="426"/>
        <v>4.0831240176169388</v>
      </c>
      <c r="I106" s="39">
        <f t="shared" si="426"/>
        <v>2.6312979588317944</v>
      </c>
      <c r="J106" s="39">
        <f t="shared" si="426"/>
        <v>4.2544234490205639</v>
      </c>
      <c r="K106" s="40">
        <f t="shared" si="426"/>
        <v>3.8119927241650373</v>
      </c>
      <c r="L106" s="39">
        <f t="shared" si="426"/>
        <v>9.2625873103112042</v>
      </c>
      <c r="M106" s="39">
        <f t="shared" si="427"/>
        <v>1.3357887003431586</v>
      </c>
      <c r="N106" s="39">
        <f t="shared" si="427"/>
        <v>-0.13688131984410745</v>
      </c>
      <c r="O106" s="39">
        <f t="shared" si="427"/>
        <v>2.0917036622556111</v>
      </c>
      <c r="P106" s="40">
        <f t="shared" si="427"/>
        <v>2.9970979421715072</v>
      </c>
      <c r="Q106" s="39">
        <f t="shared" si="427"/>
        <v>0.16717360253460356</v>
      </c>
      <c r="R106" s="39" t="str">
        <f t="shared" si="428"/>
        <v/>
      </c>
      <c r="S106" s="39">
        <f t="shared" si="428"/>
        <v>11.587354885933337</v>
      </c>
      <c r="T106" s="39">
        <f t="shared" si="428"/>
        <v>5.615235591255427</v>
      </c>
      <c r="U106" s="40" t="str">
        <f t="shared" si="428"/>
        <v/>
      </c>
      <c r="V106" s="39">
        <f t="shared" si="428"/>
        <v>3.6341980190726559</v>
      </c>
      <c r="W106" s="39" t="str">
        <f t="shared" si="429"/>
        <v/>
      </c>
      <c r="X106" s="39">
        <f t="shared" si="429"/>
        <v>6.7929465755336622</v>
      </c>
      <c r="Y106" s="39">
        <f t="shared" si="429"/>
        <v>10.013747659597044</v>
      </c>
      <c r="Z106" s="40" t="str">
        <f t="shared" si="429"/>
        <v/>
      </c>
      <c r="AA106" s="39">
        <f t="shared" si="429"/>
        <v>8.811343095874463</v>
      </c>
      <c r="AB106" s="39">
        <f t="shared" si="430"/>
        <v>3.5663957750471837</v>
      </c>
      <c r="AC106" s="39">
        <f t="shared" si="430"/>
        <v>2.5649744641239636</v>
      </c>
      <c r="AD106" s="39">
        <f t="shared" si="430"/>
        <v>3.9187383072162447</v>
      </c>
      <c r="AE106" s="40">
        <f t="shared" si="430"/>
        <v>4.5755844504758301</v>
      </c>
      <c r="AF106" s="39">
        <f t="shared" si="430"/>
        <v>8.8042730513161729</v>
      </c>
      <c r="AG106" s="39">
        <f t="shared" si="431"/>
        <v>8.1681661040423137</v>
      </c>
      <c r="AH106" s="39">
        <f t="shared" si="431"/>
        <v>4.9391618727983229</v>
      </c>
      <c r="AI106" s="39">
        <f t="shared" si="431"/>
        <v>6.6528034715822741</v>
      </c>
      <c r="AJ106" s="40">
        <f t="shared" si="431"/>
        <v>7.0777534190502109</v>
      </c>
      <c r="AK106" s="39">
        <f t="shared" si="431"/>
        <v>7.248805108771549</v>
      </c>
      <c r="AL106" s="39">
        <f t="shared" si="432"/>
        <v>9.4070431739340421</v>
      </c>
      <c r="AM106" s="39">
        <f t="shared" si="432"/>
        <v>9.586362350389436</v>
      </c>
      <c r="AN106" s="39">
        <f t="shared" si="432"/>
        <v>9.1000817003280758</v>
      </c>
      <c r="AO106" s="40">
        <f t="shared" si="432"/>
        <v>8.8581548738883527</v>
      </c>
      <c r="AP106" s="39">
        <f t="shared" si="432"/>
        <v>7.7010476792836329</v>
      </c>
      <c r="AQ106" s="39">
        <f t="shared" si="433"/>
        <v>5.00691836140102</v>
      </c>
      <c r="AR106" s="39">
        <f t="shared" si="433"/>
        <v>2.6539185123235995</v>
      </c>
      <c r="AS106" s="39">
        <f t="shared" si="433"/>
        <v>1.6244405278162759</v>
      </c>
      <c r="AT106" s="40">
        <f t="shared" si="433"/>
        <v>4.1363462118358001</v>
      </c>
      <c r="AU106" s="39">
        <f t="shared" si="433"/>
        <v>4.0635897807310641</v>
      </c>
      <c r="AV106" s="39">
        <f t="shared" si="434"/>
        <v>7.565581304250685</v>
      </c>
      <c r="AW106" s="39">
        <f t="shared" si="434"/>
        <v>7.5111425787917057</v>
      </c>
      <c r="AX106" s="39">
        <f t="shared" si="434"/>
        <v>5.0456906704425109</v>
      </c>
      <c r="AY106" s="40">
        <f t="shared" si="434"/>
        <v>6.0491144724637707</v>
      </c>
      <c r="AZ106" s="39">
        <f t="shared" si="434"/>
        <v>1.8133035887443896</v>
      </c>
      <c r="BA106" s="39">
        <f t="shared" si="435"/>
        <v>1.4559860787108079</v>
      </c>
      <c r="BB106" s="39">
        <f t="shared" si="435"/>
        <v>3.4211618233486547</v>
      </c>
      <c r="BC106" s="39">
        <f t="shared" si="435"/>
        <v>5.9530672502404514</v>
      </c>
      <c r="BD106" s="40">
        <f t="shared" si="435"/>
        <v>3.1997278784309628</v>
      </c>
      <c r="BE106" s="39">
        <f t="shared" si="435"/>
        <v>6.4482130971788649</v>
      </c>
      <c r="BF106" s="39">
        <f t="shared" si="436"/>
        <v>8.2609402938954872</v>
      </c>
      <c r="BG106" s="39">
        <f t="shared" si="436"/>
        <v>9.5686384489860927</v>
      </c>
      <c r="BH106" s="39">
        <f t="shared" si="436"/>
        <v>8.7473632126571488</v>
      </c>
      <c r="BI106" s="40">
        <f t="shared" si="436"/>
        <v>8.2987571372679696</v>
      </c>
      <c r="BJ106" s="39">
        <f t="shared" si="436"/>
        <v>9.6489941212917927</v>
      </c>
      <c r="BK106" s="39">
        <f t="shared" si="437"/>
        <v>6.2500549252181941</v>
      </c>
      <c r="BL106" s="39">
        <f t="shared" si="437"/>
        <v>6.312497372242305</v>
      </c>
      <c r="BM106" s="39">
        <f t="shared" si="437"/>
        <v>6.278732539148308</v>
      </c>
      <c r="BN106" s="40">
        <f t="shared" si="437"/>
        <v>7.056725474354721</v>
      </c>
      <c r="BO106" s="39">
        <f t="shared" si="437"/>
        <v>-0.38686874016619299</v>
      </c>
      <c r="BP106" s="39">
        <f t="shared" si="438"/>
        <v>-4.0167879176891574E-2</v>
      </c>
      <c r="BQ106" s="39">
        <f t="shared" si="438"/>
        <v>3.7445937349743588</v>
      </c>
      <c r="BR106" s="39">
        <f t="shared" si="438"/>
        <v>-0.20546935147883971</v>
      </c>
      <c r="BS106" s="40">
        <f t="shared" si="438"/>
        <v>0.80577500865138063</v>
      </c>
      <c r="BT106" s="39">
        <f t="shared" si="438"/>
        <v>9.3092422619905193</v>
      </c>
      <c r="BU106" s="39">
        <f t="shared" si="439"/>
        <v>6.6220058187066257</v>
      </c>
      <c r="BV106" s="39">
        <f t="shared" si="439"/>
        <v>3.1514823191354679</v>
      </c>
      <c r="BW106" s="39">
        <f t="shared" si="439"/>
        <v>4.6791114630935056</v>
      </c>
      <c r="BX106" s="40">
        <f t="shared" si="439"/>
        <v>5.824987649999855</v>
      </c>
      <c r="BY106" s="39">
        <f t="shared" si="439"/>
        <v>3.2066254654763924</v>
      </c>
      <c r="BZ106" s="39">
        <f t="shared" si="440"/>
        <v>2.9223594291709389</v>
      </c>
      <c r="CA106" s="39">
        <f t="shared" si="440"/>
        <v>0.35617293299455355</v>
      </c>
      <c r="CB106" s="39">
        <f t="shared" si="440"/>
        <v>1.1273619521575853</v>
      </c>
      <c r="CC106" s="40">
        <f t="shared" si="440"/>
        <v>1.8669481071616616</v>
      </c>
      <c r="CD106" s="39">
        <f t="shared" si="440"/>
        <v>5.0942795813166981</v>
      </c>
      <c r="CE106" s="39">
        <f t="shared" si="441"/>
        <v>4.803038517562868</v>
      </c>
      <c r="CF106" s="39">
        <f t="shared" si="441"/>
        <v>2.2310241237856019</v>
      </c>
      <c r="CG106" s="39">
        <f t="shared" si="441"/>
        <v>3.2730892276615862</v>
      </c>
      <c r="CH106" s="40">
        <f t="shared" si="441"/>
        <v>3.8298138049423898</v>
      </c>
      <c r="CI106" s="39">
        <f t="shared" si="441"/>
        <v>2.4544729950893895</v>
      </c>
      <c r="CJ106" s="39">
        <f t="shared" si="442"/>
        <v>4.7824679218134776</v>
      </c>
      <c r="CK106" s="39">
        <f t="shared" si="442"/>
        <v>3.490509451236818</v>
      </c>
      <c r="CL106" s="39">
        <f t="shared" si="442"/>
        <v>3.0500859022716753</v>
      </c>
      <c r="CM106" s="40">
        <f t="shared" si="442"/>
        <v>3.443526240388465</v>
      </c>
      <c r="CN106" s="39">
        <f t="shared" si="442"/>
        <v>-100</v>
      </c>
      <c r="CO106" s="39">
        <f t="shared" si="443"/>
        <v>-100</v>
      </c>
      <c r="CP106" s="39">
        <f t="shared" si="443"/>
        <v>-100</v>
      </c>
      <c r="CQ106" s="39">
        <f t="shared" si="443"/>
        <v>-100</v>
      </c>
      <c r="CR106" s="40">
        <f t="shared" si="443"/>
        <v>-100</v>
      </c>
    </row>
    <row r="107" spans="1:96" s="9" customFormat="1" ht="15" x14ac:dyDescent="0.4">
      <c r="A107" s="18" t="s">
        <v>84</v>
      </c>
      <c r="B107" s="38"/>
      <c r="C107" s="38"/>
      <c r="D107" s="38"/>
      <c r="E107" s="38"/>
      <c r="F107" s="38"/>
      <c r="G107" s="39">
        <f t="shared" si="444"/>
        <v>2.6417142518751433</v>
      </c>
      <c r="H107" s="39">
        <f t="shared" si="426"/>
        <v>3.5287660806129253</v>
      </c>
      <c r="I107" s="39">
        <f t="shared" si="426"/>
        <v>3.5151188361901973</v>
      </c>
      <c r="J107" s="39">
        <f t="shared" si="426"/>
        <v>4.6122332592587441</v>
      </c>
      <c r="K107" s="40">
        <f t="shared" si="426"/>
        <v>3.5833966703862075</v>
      </c>
      <c r="L107" s="39">
        <f t="shared" si="426"/>
        <v>12.494192217764947</v>
      </c>
      <c r="M107" s="39">
        <f t="shared" si="427"/>
        <v>30.233381469586249</v>
      </c>
      <c r="N107" s="39">
        <f t="shared" si="427"/>
        <v>32.773178254844112</v>
      </c>
      <c r="O107" s="39">
        <f t="shared" si="427"/>
        <v>32.012183555591406</v>
      </c>
      <c r="P107" s="40">
        <f t="shared" si="427"/>
        <v>26.790274117554304</v>
      </c>
      <c r="Q107" s="39">
        <f t="shared" si="427"/>
        <v>9.0222324818510629</v>
      </c>
      <c r="R107" s="39" t="str">
        <f t="shared" si="428"/>
        <v/>
      </c>
      <c r="S107" s="39">
        <f t="shared" si="428"/>
        <v>-16.937642453692206</v>
      </c>
      <c r="T107" s="39">
        <f t="shared" si="428"/>
        <v>-18.486151607991204</v>
      </c>
      <c r="U107" s="40" t="str">
        <f t="shared" si="428"/>
        <v/>
      </c>
      <c r="V107" s="39">
        <f t="shared" si="428"/>
        <v>-10.195874651039034</v>
      </c>
      <c r="W107" s="39" t="str">
        <f t="shared" si="429"/>
        <v/>
      </c>
      <c r="X107" s="39">
        <f t="shared" si="429"/>
        <v>14.198051645315331</v>
      </c>
      <c r="Y107" s="39">
        <f t="shared" si="429"/>
        <v>18.68818442469798</v>
      </c>
      <c r="Z107" s="40" t="str">
        <f t="shared" si="429"/>
        <v/>
      </c>
      <c r="AA107" s="39">
        <f t="shared" si="429"/>
        <v>6.555006068068451</v>
      </c>
      <c r="AB107" s="39">
        <f t="shared" si="430"/>
        <v>7.0762127699560011</v>
      </c>
      <c r="AC107" s="39">
        <f t="shared" si="430"/>
        <v>2.6405091661048772</v>
      </c>
      <c r="AD107" s="39">
        <f t="shared" si="430"/>
        <v>2.4855951651482115</v>
      </c>
      <c r="AE107" s="40">
        <f t="shared" si="430"/>
        <v>4.5242470049438879</v>
      </c>
      <c r="AF107" s="39">
        <f t="shared" si="430"/>
        <v>6.2055208268291295</v>
      </c>
      <c r="AG107" s="39">
        <f t="shared" si="431"/>
        <v>9.4221907248792007</v>
      </c>
      <c r="AH107" s="39">
        <f t="shared" si="431"/>
        <v>7.9769201400154799</v>
      </c>
      <c r="AI107" s="39">
        <f t="shared" si="431"/>
        <v>5.8633273589992143</v>
      </c>
      <c r="AJ107" s="40">
        <f t="shared" si="431"/>
        <v>7.3056339888346145</v>
      </c>
      <c r="AK107" s="39">
        <f t="shared" si="431"/>
        <v>9.8979838254416848</v>
      </c>
      <c r="AL107" s="39">
        <f t="shared" si="432"/>
        <v>8.0274799899370208</v>
      </c>
      <c r="AM107" s="39">
        <f t="shared" si="432"/>
        <v>7.1577875027983424</v>
      </c>
      <c r="AN107" s="39">
        <f t="shared" si="432"/>
        <v>5.2089294988206376</v>
      </c>
      <c r="AO107" s="40">
        <f t="shared" si="432"/>
        <v>7.4771653781906053</v>
      </c>
      <c r="AP107" s="39">
        <f t="shared" si="432"/>
        <v>4.5699190557064924</v>
      </c>
      <c r="AQ107" s="39">
        <f t="shared" si="433"/>
        <v>6.7636967827271661</v>
      </c>
      <c r="AR107" s="39">
        <f t="shared" si="433"/>
        <v>5.4594455290245492</v>
      </c>
      <c r="AS107" s="39">
        <f t="shared" si="433"/>
        <v>4.5963225190524639</v>
      </c>
      <c r="AT107" s="40">
        <f t="shared" si="433"/>
        <v>5.3260156668577565</v>
      </c>
      <c r="AU107" s="39">
        <f t="shared" si="433"/>
        <v>6.8095272735781265</v>
      </c>
      <c r="AV107" s="39">
        <f t="shared" si="434"/>
        <v>7.65407770478825</v>
      </c>
      <c r="AW107" s="39">
        <f t="shared" si="434"/>
        <v>6.4041705432909595</v>
      </c>
      <c r="AX107" s="39">
        <f t="shared" si="434"/>
        <v>3.9521921930156338</v>
      </c>
      <c r="AY107" s="40">
        <f t="shared" si="434"/>
        <v>6.1515387332973432</v>
      </c>
      <c r="AZ107" s="39">
        <f t="shared" si="434"/>
        <v>3.7862722946670999</v>
      </c>
      <c r="BA107" s="39">
        <f t="shared" si="435"/>
        <v>4.4233706295889732</v>
      </c>
      <c r="BB107" s="39">
        <f t="shared" si="435"/>
        <v>4.6738352522329052</v>
      </c>
      <c r="BC107" s="39">
        <f t="shared" si="435"/>
        <v>5.1860542713814084</v>
      </c>
      <c r="BD107" s="40">
        <f t="shared" si="435"/>
        <v>4.5319833124473519</v>
      </c>
      <c r="BE107" s="39">
        <f t="shared" si="435"/>
        <v>7.2565776776887958</v>
      </c>
      <c r="BF107" s="39">
        <f t="shared" si="436"/>
        <v>8.5850882523105838</v>
      </c>
      <c r="BG107" s="39">
        <f t="shared" si="436"/>
        <v>9.809816991630754</v>
      </c>
      <c r="BH107" s="39">
        <f t="shared" si="436"/>
        <v>8.8549627746140658</v>
      </c>
      <c r="BI107" s="40">
        <f t="shared" si="436"/>
        <v>8.6469389893749877</v>
      </c>
      <c r="BJ107" s="39">
        <f t="shared" si="436"/>
        <v>6.3431845853036748</v>
      </c>
      <c r="BK107" s="39">
        <f t="shared" si="437"/>
        <v>-9.7438322838607689</v>
      </c>
      <c r="BL107" s="39">
        <f t="shared" si="437"/>
        <v>-6.8098409883896096</v>
      </c>
      <c r="BM107" s="39">
        <f t="shared" si="437"/>
        <v>-8.3454171435714102</v>
      </c>
      <c r="BN107" s="40">
        <f t="shared" si="437"/>
        <v>-4.8303087542370093</v>
      </c>
      <c r="BO107" s="39">
        <f t="shared" si="437"/>
        <v>-3.7966000573274385</v>
      </c>
      <c r="BP107" s="39">
        <f t="shared" si="438"/>
        <v>11.912845508696208</v>
      </c>
      <c r="BQ107" s="39">
        <f t="shared" si="438"/>
        <v>4.6508959589020833</v>
      </c>
      <c r="BR107" s="39">
        <f t="shared" si="438"/>
        <v>7.9092957254645313</v>
      </c>
      <c r="BS107" s="40">
        <f t="shared" si="438"/>
        <v>4.9423978332033158</v>
      </c>
      <c r="BT107" s="39">
        <f t="shared" si="438"/>
        <v>6.3720146366458295</v>
      </c>
      <c r="BU107" s="39">
        <f t="shared" si="439"/>
        <v>7.1815605719330051</v>
      </c>
      <c r="BV107" s="39">
        <f t="shared" si="439"/>
        <v>8.5963873253951846</v>
      </c>
      <c r="BW107" s="39">
        <f t="shared" si="439"/>
        <v>4.6596475509473407</v>
      </c>
      <c r="BX107" s="40">
        <f t="shared" si="439"/>
        <v>6.6806818634807712</v>
      </c>
      <c r="BY107" s="39">
        <f t="shared" si="439"/>
        <v>4.1256484762573535</v>
      </c>
      <c r="BZ107" s="39">
        <f t="shared" si="440"/>
        <v>1.0579345495463883</v>
      </c>
      <c r="CA107" s="39">
        <f t="shared" si="440"/>
        <v>0.3983514703599127</v>
      </c>
      <c r="CB107" s="39">
        <f t="shared" si="440"/>
        <v>0.76529250312596275</v>
      </c>
      <c r="CC107" s="40">
        <f t="shared" si="440"/>
        <v>1.5558819726707185</v>
      </c>
      <c r="CD107" s="39">
        <f t="shared" si="440"/>
        <v>2.4113004960155848</v>
      </c>
      <c r="CE107" s="39">
        <f t="shared" si="441"/>
        <v>2.672674804960991</v>
      </c>
      <c r="CF107" s="39">
        <f t="shared" si="441"/>
        <v>2.3220331335413817</v>
      </c>
      <c r="CG107" s="39">
        <f t="shared" si="441"/>
        <v>3.3210535903847074</v>
      </c>
      <c r="CH107" s="40">
        <f t="shared" si="441"/>
        <v>2.684703531329319</v>
      </c>
      <c r="CI107" s="39">
        <f t="shared" si="441"/>
        <v>1.1717528046478094</v>
      </c>
      <c r="CJ107" s="39">
        <f t="shared" si="442"/>
        <v>1.9922913400791487</v>
      </c>
      <c r="CK107" s="39">
        <f t="shared" si="442"/>
        <v>1.9069893912736973</v>
      </c>
      <c r="CL107" s="39">
        <f t="shared" si="442"/>
        <v>3.0201780598259091</v>
      </c>
      <c r="CM107" s="40">
        <f t="shared" si="442"/>
        <v>2.0309733001137715</v>
      </c>
      <c r="CN107" s="39">
        <f t="shared" si="442"/>
        <v>-100</v>
      </c>
      <c r="CO107" s="39">
        <f t="shared" si="443"/>
        <v>-100</v>
      </c>
      <c r="CP107" s="39">
        <f t="shared" si="443"/>
        <v>-100</v>
      </c>
      <c r="CQ107" s="39">
        <f t="shared" si="443"/>
        <v>-100</v>
      </c>
      <c r="CR107" s="40">
        <f t="shared" si="443"/>
        <v>-100</v>
      </c>
    </row>
    <row r="108" spans="1:96" s="9" customFormat="1" ht="15" x14ac:dyDescent="0.4">
      <c r="A108" s="18" t="s">
        <v>85</v>
      </c>
      <c r="B108" s="41"/>
      <c r="C108" s="41"/>
      <c r="D108" s="41"/>
      <c r="E108" s="41"/>
      <c r="F108" s="41"/>
      <c r="G108" s="39">
        <f t="shared" si="444"/>
        <v>2.4128178517039913</v>
      </c>
      <c r="H108" s="39">
        <f t="shared" si="426"/>
        <v>-0.35021237940409833</v>
      </c>
      <c r="I108" s="39">
        <f t="shared" si="426"/>
        <v>1.7201010513843329</v>
      </c>
      <c r="J108" s="39">
        <f t="shared" si="426"/>
        <v>3.157111864248435</v>
      </c>
      <c r="K108" s="40">
        <f t="shared" si="426"/>
        <v>1.7557850525569734</v>
      </c>
      <c r="L108" s="39">
        <f t="shared" si="426"/>
        <v>4.3747861007000495</v>
      </c>
      <c r="M108" s="39">
        <f t="shared" si="427"/>
        <v>4.4842346035251666</v>
      </c>
      <c r="N108" s="39">
        <f t="shared" si="427"/>
        <v>2.9605141371248749</v>
      </c>
      <c r="O108" s="39">
        <f t="shared" si="427"/>
        <v>-0.14065656353164968</v>
      </c>
      <c r="P108" s="40">
        <f t="shared" si="427"/>
        <v>2.8302597849919664</v>
      </c>
      <c r="Q108" s="39">
        <f t="shared" si="427"/>
        <v>-1.1447040191091133</v>
      </c>
      <c r="R108" s="39" t="str">
        <f t="shared" si="428"/>
        <v/>
      </c>
      <c r="S108" s="39">
        <f t="shared" si="428"/>
        <v>7.2097221452018516</v>
      </c>
      <c r="T108" s="39">
        <f t="shared" si="428"/>
        <v>9.6322010486334193</v>
      </c>
      <c r="U108" s="40" t="str">
        <f t="shared" si="428"/>
        <v/>
      </c>
      <c r="V108" s="39">
        <f t="shared" si="428"/>
        <v>9.912245674707961</v>
      </c>
      <c r="W108" s="39" t="str">
        <f t="shared" si="429"/>
        <v/>
      </c>
      <c r="X108" s="39">
        <f t="shared" si="429"/>
        <v>7.0428929103798339</v>
      </c>
      <c r="Y108" s="39">
        <f t="shared" si="429"/>
        <v>1.6686457181901488</v>
      </c>
      <c r="Z108" s="40" t="str">
        <f t="shared" si="429"/>
        <v/>
      </c>
      <c r="AA108" s="39">
        <f t="shared" si="429"/>
        <v>4.6456584505815641</v>
      </c>
      <c r="AB108" s="39">
        <f t="shared" si="430"/>
        <v>2.0834992400455121</v>
      </c>
      <c r="AC108" s="39">
        <f t="shared" si="430"/>
        <v>7.0103066584572957</v>
      </c>
      <c r="AD108" s="39">
        <f t="shared" si="430"/>
        <v>11.980246134824441</v>
      </c>
      <c r="AE108" s="40">
        <f t="shared" si="430"/>
        <v>6.5434441215474806</v>
      </c>
      <c r="AF108" s="39">
        <f t="shared" si="430"/>
        <v>4.8799721892138734</v>
      </c>
      <c r="AG108" s="39">
        <f t="shared" si="431"/>
        <v>6.0783129025205369</v>
      </c>
      <c r="AH108" s="39">
        <f t="shared" si="431"/>
        <v>5.8123817955256101</v>
      </c>
      <c r="AI108" s="39">
        <f t="shared" si="431"/>
        <v>4.8982372584186038</v>
      </c>
      <c r="AJ108" s="40">
        <f t="shared" si="431"/>
        <v>5.4072255891199745</v>
      </c>
      <c r="AK108" s="39">
        <f t="shared" si="431"/>
        <v>7.5740743698011954</v>
      </c>
      <c r="AL108" s="39">
        <f t="shared" si="432"/>
        <v>5.6652165021809537</v>
      </c>
      <c r="AM108" s="39">
        <f t="shared" si="432"/>
        <v>2.5939860963503349</v>
      </c>
      <c r="AN108" s="39">
        <f t="shared" si="432"/>
        <v>2.3935711980379182</v>
      </c>
      <c r="AO108" s="40">
        <f t="shared" si="432"/>
        <v>4.4151275503931942</v>
      </c>
      <c r="AP108" s="39">
        <f t="shared" si="432"/>
        <v>6.9483892240432681</v>
      </c>
      <c r="AQ108" s="39">
        <f t="shared" si="433"/>
        <v>7.5733020098812176</v>
      </c>
      <c r="AR108" s="39">
        <f t="shared" si="433"/>
        <v>2.8179083141132395</v>
      </c>
      <c r="AS108" s="39">
        <f t="shared" si="433"/>
        <v>3.2498403559522586</v>
      </c>
      <c r="AT108" s="40">
        <f t="shared" si="433"/>
        <v>5.054551622100405</v>
      </c>
      <c r="AU108" s="39">
        <f t="shared" si="433"/>
        <v>7.9471369057845465</v>
      </c>
      <c r="AV108" s="39">
        <f t="shared" si="434"/>
        <v>8.5865650711849213</v>
      </c>
      <c r="AW108" s="39">
        <f t="shared" si="434"/>
        <v>8.900245089244649</v>
      </c>
      <c r="AX108" s="39">
        <f t="shared" si="434"/>
        <v>3.2603439662609617</v>
      </c>
      <c r="AY108" s="40">
        <f t="shared" si="434"/>
        <v>7.1049000025715543</v>
      </c>
      <c r="AZ108" s="39">
        <f t="shared" si="434"/>
        <v>1.3330865664173785</v>
      </c>
      <c r="BA108" s="39">
        <f t="shared" si="435"/>
        <v>3.1219144257028404</v>
      </c>
      <c r="BB108" s="39">
        <f t="shared" si="435"/>
        <v>6.7001466267526411</v>
      </c>
      <c r="BC108" s="39">
        <f t="shared" si="435"/>
        <v>9.2936453160546506</v>
      </c>
      <c r="BD108" s="40">
        <f t="shared" si="435"/>
        <v>5.160953510072062</v>
      </c>
      <c r="BE108" s="39">
        <f t="shared" si="435"/>
        <v>9.4968948251706848</v>
      </c>
      <c r="BF108" s="39">
        <f t="shared" si="436"/>
        <v>8.1860177179648588</v>
      </c>
      <c r="BG108" s="39">
        <f t="shared" si="436"/>
        <v>7.6958103626215859</v>
      </c>
      <c r="BH108" s="39">
        <f t="shared" si="436"/>
        <v>5.6389733591962283</v>
      </c>
      <c r="BI108" s="40">
        <f t="shared" si="436"/>
        <v>7.6950400860544903</v>
      </c>
      <c r="BJ108" s="39">
        <f t="shared" si="436"/>
        <v>1.1420067004822272</v>
      </c>
      <c r="BK108" s="39">
        <f t="shared" si="437"/>
        <v>-6.7255046006324335</v>
      </c>
      <c r="BL108" s="39">
        <f t="shared" si="437"/>
        <v>-13.93781540919997</v>
      </c>
      <c r="BM108" s="39">
        <f t="shared" si="437"/>
        <v>-13.433550171208452</v>
      </c>
      <c r="BN108" s="40">
        <f t="shared" si="437"/>
        <v>-8.4368466486741056</v>
      </c>
      <c r="BO108" s="39">
        <f t="shared" si="437"/>
        <v>-7.1986720403320419</v>
      </c>
      <c r="BP108" s="39">
        <f t="shared" si="438"/>
        <v>7.8889470070627539</v>
      </c>
      <c r="BQ108" s="39">
        <f t="shared" si="438"/>
        <v>6.2898875544025117</v>
      </c>
      <c r="BR108" s="39">
        <f t="shared" si="438"/>
        <v>5.4587165201926808</v>
      </c>
      <c r="BS108" s="40">
        <f t="shared" si="438"/>
        <v>2.9238824599826927</v>
      </c>
      <c r="BT108" s="39">
        <f t="shared" si="438"/>
        <v>6.5224126037496859</v>
      </c>
      <c r="BU108" s="39">
        <f t="shared" si="439"/>
        <v>2.1078056768541416</v>
      </c>
      <c r="BV108" s="39">
        <f t="shared" si="439"/>
        <v>7.5169372316353957</v>
      </c>
      <c r="BW108" s="39">
        <f t="shared" si="439"/>
        <v>7.9000618379781713</v>
      </c>
      <c r="BX108" s="40">
        <f t="shared" si="439"/>
        <v>5.9620766171281332</v>
      </c>
      <c r="BY108" s="39">
        <f t="shared" si="439"/>
        <v>6.3492030319793429</v>
      </c>
      <c r="BZ108" s="39">
        <f t="shared" si="440"/>
        <v>2.1728927899832655</v>
      </c>
      <c r="CA108" s="39">
        <f t="shared" si="440"/>
        <v>3.3741767835004879</v>
      </c>
      <c r="CB108" s="39">
        <f t="shared" si="440"/>
        <v>3.8272240505586126</v>
      </c>
      <c r="CC108" s="40">
        <f t="shared" si="440"/>
        <v>3.8993039437732762</v>
      </c>
      <c r="CD108" s="39">
        <f t="shared" si="440"/>
        <v>3.4152354874505306</v>
      </c>
      <c r="CE108" s="39">
        <f t="shared" si="441"/>
        <v>2.7260317182465315</v>
      </c>
      <c r="CF108" s="39">
        <f t="shared" si="441"/>
        <v>2.1877993045919908</v>
      </c>
      <c r="CG108" s="39">
        <f t="shared" si="441"/>
        <v>1.8782851193434453</v>
      </c>
      <c r="CH108" s="40">
        <f t="shared" si="441"/>
        <v>2.5427148525670731</v>
      </c>
      <c r="CI108" s="39">
        <f t="shared" si="441"/>
        <v>2.2720447707118723</v>
      </c>
      <c r="CJ108" s="39">
        <f t="shared" si="442"/>
        <v>2.3355767283613034</v>
      </c>
      <c r="CK108" s="39">
        <f t="shared" si="442"/>
        <v>1.6943941353324732</v>
      </c>
      <c r="CL108" s="39">
        <f t="shared" si="442"/>
        <v>1.7711222051936204</v>
      </c>
      <c r="CM108" s="40">
        <f t="shared" si="442"/>
        <v>2.0157281007325594</v>
      </c>
      <c r="CN108" s="39">
        <f t="shared" si="442"/>
        <v>-100</v>
      </c>
      <c r="CO108" s="39">
        <f t="shared" si="443"/>
        <v>-100</v>
      </c>
      <c r="CP108" s="39">
        <f t="shared" si="443"/>
        <v>-100</v>
      </c>
      <c r="CQ108" s="39">
        <f t="shared" si="443"/>
        <v>-100</v>
      </c>
      <c r="CR108" s="40">
        <f t="shared" si="443"/>
        <v>-100</v>
      </c>
    </row>
    <row r="109" spans="1:96" s="9" customFormat="1" ht="15" x14ac:dyDescent="0.4">
      <c r="A109" s="18" t="s">
        <v>86</v>
      </c>
      <c r="B109" s="38"/>
      <c r="C109" s="38"/>
      <c r="D109" s="38"/>
      <c r="E109" s="38"/>
      <c r="F109" s="38"/>
      <c r="G109" s="39">
        <f t="shared" si="444"/>
        <v>0.64478560712866795</v>
      </c>
      <c r="H109" s="39">
        <f t="shared" si="426"/>
        <v>2.07570024006354</v>
      </c>
      <c r="I109" s="39">
        <f t="shared" si="426"/>
        <v>4.1752553420714662</v>
      </c>
      <c r="J109" s="39">
        <f t="shared" si="426"/>
        <v>4.2861242509012527</v>
      </c>
      <c r="K109" s="40">
        <f t="shared" si="426"/>
        <v>2.8016073374410411</v>
      </c>
      <c r="L109" s="39">
        <f t="shared" si="426"/>
        <v>3.8896596697915982</v>
      </c>
      <c r="M109" s="39">
        <f t="shared" si="427"/>
        <v>3.1621484620863072</v>
      </c>
      <c r="N109" s="39">
        <f t="shared" si="427"/>
        <v>0.99772335682339985</v>
      </c>
      <c r="O109" s="39">
        <f t="shared" si="427"/>
        <v>4.7170997647029367</v>
      </c>
      <c r="P109" s="40">
        <f t="shared" si="427"/>
        <v>3.1908338738520143</v>
      </c>
      <c r="Q109" s="39">
        <f t="shared" si="427"/>
        <v>10.099352592825454</v>
      </c>
      <c r="R109" s="39" t="str">
        <f t="shared" si="428"/>
        <v/>
      </c>
      <c r="S109" s="39">
        <f t="shared" si="428"/>
        <v>21.159635827457919</v>
      </c>
      <c r="T109" s="39">
        <f t="shared" si="428"/>
        <v>26.027524371964944</v>
      </c>
      <c r="U109" s="40" t="str">
        <f t="shared" si="428"/>
        <v/>
      </c>
      <c r="V109" s="39">
        <f t="shared" si="428"/>
        <v>8.6497090673720294</v>
      </c>
      <c r="W109" s="39" t="str">
        <f t="shared" si="429"/>
        <v/>
      </c>
      <c r="X109" s="39">
        <f t="shared" si="429"/>
        <v>5.3948581704594574</v>
      </c>
      <c r="Y109" s="39">
        <f t="shared" si="429"/>
        <v>-1.1779180046220858</v>
      </c>
      <c r="Z109" s="40" t="str">
        <f t="shared" si="429"/>
        <v/>
      </c>
      <c r="AA109" s="39">
        <f t="shared" si="429"/>
        <v>3.9657633242116077</v>
      </c>
      <c r="AB109" s="39">
        <f t="shared" si="430"/>
        <v>1.9884747581747177</v>
      </c>
      <c r="AC109" s="39">
        <f t="shared" si="430"/>
        <v>-0.87892167623041928</v>
      </c>
      <c r="AD109" s="39">
        <f t="shared" si="430"/>
        <v>3.2261471958431258</v>
      </c>
      <c r="AE109" s="40">
        <f t="shared" si="430"/>
        <v>2.0523198290400586</v>
      </c>
      <c r="AF109" s="39">
        <f t="shared" si="430"/>
        <v>3.4900650201610262</v>
      </c>
      <c r="AG109" s="39">
        <f t="shared" si="431"/>
        <v>4.7349153286802732</v>
      </c>
      <c r="AH109" s="39">
        <f t="shared" si="431"/>
        <v>1.8429440848006351</v>
      </c>
      <c r="AI109" s="39">
        <f t="shared" si="431"/>
        <v>3.0226349349435253</v>
      </c>
      <c r="AJ109" s="40">
        <f t="shared" si="431"/>
        <v>3.2463742179289312</v>
      </c>
      <c r="AK109" s="39">
        <f t="shared" si="431"/>
        <v>1.6184246950648173</v>
      </c>
      <c r="AL109" s="39">
        <f t="shared" si="432"/>
        <v>7.0587740491352378</v>
      </c>
      <c r="AM109" s="39">
        <f t="shared" si="432"/>
        <v>6.7602900846246143</v>
      </c>
      <c r="AN109" s="39">
        <f t="shared" si="432"/>
        <v>4.8155792555450745</v>
      </c>
      <c r="AO109" s="40">
        <f t="shared" si="432"/>
        <v>5.0453180323015658</v>
      </c>
      <c r="AP109" s="39">
        <f t="shared" si="432"/>
        <v>7.2816037811252556</v>
      </c>
      <c r="AQ109" s="39">
        <f t="shared" si="433"/>
        <v>6.9626532765197879</v>
      </c>
      <c r="AR109" s="39">
        <f t="shared" si="433"/>
        <v>6.5980811207606536</v>
      </c>
      <c r="AS109" s="39">
        <f t="shared" si="433"/>
        <v>4.4666081329430369</v>
      </c>
      <c r="AT109" s="40">
        <f t="shared" si="433"/>
        <v>6.2841543902244013</v>
      </c>
      <c r="AU109" s="39">
        <f t="shared" si="433"/>
        <v>5.9961141969955918</v>
      </c>
      <c r="AV109" s="39">
        <f t="shared" si="434"/>
        <v>7.5314163507783576</v>
      </c>
      <c r="AW109" s="39">
        <f t="shared" si="434"/>
        <v>6.8810830226665871</v>
      </c>
      <c r="AX109" s="39">
        <f t="shared" si="434"/>
        <v>6.0555460422213798</v>
      </c>
      <c r="AY109" s="40">
        <f t="shared" si="434"/>
        <v>6.6121804580844952</v>
      </c>
      <c r="AZ109" s="39">
        <f t="shared" si="434"/>
        <v>2.7676288428777838</v>
      </c>
      <c r="BA109" s="39">
        <f t="shared" si="435"/>
        <v>2.3205405117324744</v>
      </c>
      <c r="BB109" s="39">
        <f t="shared" si="435"/>
        <v>2.5924678639931926</v>
      </c>
      <c r="BC109" s="39">
        <f t="shared" si="435"/>
        <v>1.9603112000812501</v>
      </c>
      <c r="BD109" s="40">
        <f t="shared" si="435"/>
        <v>2.4028374933068477</v>
      </c>
      <c r="BE109" s="39">
        <f t="shared" si="435"/>
        <v>4.2642472056679566</v>
      </c>
      <c r="BF109" s="39">
        <f t="shared" si="436"/>
        <v>2.2891952642743973</v>
      </c>
      <c r="BG109" s="39">
        <f t="shared" si="436"/>
        <v>1.122993527657016</v>
      </c>
      <c r="BH109" s="39">
        <f t="shared" si="436"/>
        <v>0.56040351362847218</v>
      </c>
      <c r="BI109" s="40">
        <f t="shared" si="436"/>
        <v>2.021630479399434</v>
      </c>
      <c r="BJ109" s="39">
        <f t="shared" si="436"/>
        <v>0.4423901691466483</v>
      </c>
      <c r="BK109" s="39">
        <f t="shared" si="437"/>
        <v>-4.2518112019889145</v>
      </c>
      <c r="BL109" s="39">
        <f t="shared" si="437"/>
        <v>-3.7692509147723854</v>
      </c>
      <c r="BM109" s="39">
        <f t="shared" si="437"/>
        <v>-3.2000205464646854</v>
      </c>
      <c r="BN109" s="40">
        <f t="shared" si="437"/>
        <v>-2.7092149463946242</v>
      </c>
      <c r="BO109" s="39">
        <f t="shared" si="437"/>
        <v>0.20171982092576002</v>
      </c>
      <c r="BP109" s="39">
        <f t="shared" si="438"/>
        <v>6.1536984003933526</v>
      </c>
      <c r="BQ109" s="39">
        <f t="shared" si="438"/>
        <v>2.6839833813204166</v>
      </c>
      <c r="BR109" s="39">
        <f t="shared" si="438"/>
        <v>1.4662386220416295</v>
      </c>
      <c r="BS109" s="40">
        <f t="shared" si="438"/>
        <v>2.5936553902257344</v>
      </c>
      <c r="BT109" s="39">
        <f t="shared" si="438"/>
        <v>0.52524977307439258</v>
      </c>
      <c r="BU109" s="39">
        <f t="shared" si="439"/>
        <v>3.9669304413472588</v>
      </c>
      <c r="BV109" s="39">
        <f t="shared" si="439"/>
        <v>6.6230067073787922</v>
      </c>
      <c r="BW109" s="39">
        <f t="shared" si="439"/>
        <v>6.1509108366895902</v>
      </c>
      <c r="BX109" s="40">
        <f t="shared" si="439"/>
        <v>4.3221189838934748</v>
      </c>
      <c r="BY109" s="39">
        <f t="shared" si="439"/>
        <v>6.9702220342044257</v>
      </c>
      <c r="BZ109" s="39">
        <f t="shared" si="440"/>
        <v>2.9477842173922397</v>
      </c>
      <c r="CA109" s="39">
        <f t="shared" si="440"/>
        <v>2.9886024345479001</v>
      </c>
      <c r="CB109" s="39">
        <f t="shared" si="440"/>
        <v>3.2937996563561853</v>
      </c>
      <c r="CC109" s="40">
        <f t="shared" si="440"/>
        <v>4.0067340590692879</v>
      </c>
      <c r="CD109" s="39">
        <f t="shared" si="440"/>
        <v>3.4149312342625109</v>
      </c>
      <c r="CE109" s="39">
        <f t="shared" si="441"/>
        <v>2.2211594242836696</v>
      </c>
      <c r="CF109" s="39">
        <f t="shared" si="441"/>
        <v>2.2666643848102979</v>
      </c>
      <c r="CG109" s="39">
        <f t="shared" si="441"/>
        <v>4.049553382969691</v>
      </c>
      <c r="CH109" s="40">
        <f t="shared" si="441"/>
        <v>2.9891279654244158</v>
      </c>
      <c r="CI109" s="39">
        <f t="shared" si="441"/>
        <v>3.3340576872759726</v>
      </c>
      <c r="CJ109" s="39">
        <f t="shared" si="442"/>
        <v>4.7060512317398207</v>
      </c>
      <c r="CK109" s="39">
        <f t="shared" si="442"/>
        <v>3.5607421461003099</v>
      </c>
      <c r="CL109" s="39">
        <f t="shared" si="442"/>
        <v>3.993812784448906</v>
      </c>
      <c r="CM109" s="40">
        <f t="shared" si="442"/>
        <v>3.8993651917461563</v>
      </c>
      <c r="CN109" s="39">
        <f t="shared" si="442"/>
        <v>-100</v>
      </c>
      <c r="CO109" s="39">
        <f t="shared" si="443"/>
        <v>-100</v>
      </c>
      <c r="CP109" s="39">
        <f t="shared" si="443"/>
        <v>-100</v>
      </c>
      <c r="CQ109" s="39">
        <f t="shared" si="443"/>
        <v>-100</v>
      </c>
      <c r="CR109" s="40">
        <f t="shared" si="443"/>
        <v>-100</v>
      </c>
    </row>
    <row r="110" spans="1:96" s="9" customFormat="1" ht="15" x14ac:dyDescent="0.4">
      <c r="A110" s="18"/>
      <c r="B110" s="42"/>
      <c r="C110" s="42"/>
      <c r="D110" s="42"/>
      <c r="E110" s="42"/>
      <c r="F110" s="42"/>
      <c r="G110" s="22"/>
      <c r="H110" s="22"/>
      <c r="I110" s="22"/>
      <c r="J110" s="22"/>
      <c r="K110" s="24"/>
      <c r="L110" s="22"/>
      <c r="M110" s="22"/>
      <c r="N110" s="22"/>
      <c r="O110" s="22"/>
      <c r="P110" s="24"/>
      <c r="Q110" s="22"/>
      <c r="R110" s="22"/>
      <c r="S110" s="22"/>
      <c r="T110" s="22"/>
      <c r="U110" s="24"/>
      <c r="V110" s="22"/>
      <c r="W110" s="22"/>
      <c r="X110" s="22"/>
      <c r="Y110" s="22"/>
      <c r="Z110" s="24"/>
      <c r="AA110" s="22"/>
      <c r="AB110" s="22"/>
      <c r="AC110" s="22"/>
      <c r="AD110" s="22"/>
      <c r="AE110" s="24"/>
      <c r="AF110" s="22"/>
      <c r="AG110" s="22"/>
      <c r="AH110" s="22"/>
      <c r="AI110" s="22"/>
      <c r="AJ110" s="24"/>
      <c r="AK110" s="22"/>
      <c r="AL110" s="22"/>
      <c r="AM110" s="22"/>
      <c r="AN110" s="22"/>
      <c r="AO110" s="24"/>
      <c r="AP110" s="22"/>
      <c r="AQ110" s="22"/>
      <c r="AR110" s="22"/>
      <c r="AS110" s="22"/>
      <c r="AT110" s="24"/>
      <c r="AU110" s="22"/>
      <c r="AV110" s="22"/>
      <c r="AW110" s="22"/>
      <c r="AX110" s="22"/>
      <c r="AY110" s="24"/>
      <c r="AZ110" s="22"/>
      <c r="BA110" s="22"/>
      <c r="BB110" s="22"/>
      <c r="BC110" s="22"/>
      <c r="BD110" s="24"/>
      <c r="BE110" s="22"/>
      <c r="BF110" s="22"/>
      <c r="BG110" s="22"/>
      <c r="BH110" s="22"/>
      <c r="BI110" s="24"/>
      <c r="BJ110" s="22"/>
      <c r="BK110" s="22"/>
      <c r="BL110" s="22"/>
      <c r="BM110" s="22"/>
      <c r="BN110" s="24"/>
      <c r="BO110" s="22"/>
      <c r="BP110" s="22"/>
      <c r="BQ110" s="22"/>
      <c r="BR110" s="22"/>
      <c r="BS110" s="24"/>
      <c r="BT110" s="22"/>
      <c r="BU110" s="22"/>
      <c r="BV110" s="22"/>
      <c r="BW110" s="22"/>
      <c r="BX110" s="24"/>
      <c r="BY110" s="22"/>
      <c r="BZ110" s="22"/>
      <c r="CA110" s="22"/>
      <c r="CB110" s="22"/>
      <c r="CC110" s="24"/>
      <c r="CD110" s="22"/>
      <c r="CE110" s="22"/>
      <c r="CF110" s="22"/>
      <c r="CG110" s="22"/>
      <c r="CH110" s="24"/>
      <c r="CI110" s="22"/>
      <c r="CJ110" s="22"/>
      <c r="CK110" s="22"/>
      <c r="CL110" s="22"/>
      <c r="CM110" s="24"/>
      <c r="CN110" s="22"/>
      <c r="CO110" s="22"/>
      <c r="CP110" s="22"/>
      <c r="CQ110" s="22"/>
      <c r="CR110" s="24"/>
    </row>
    <row r="111" spans="1:96" s="17" customFormat="1" ht="15" x14ac:dyDescent="0.4">
      <c r="A111" s="15" t="s">
        <v>87</v>
      </c>
      <c r="B111" s="37"/>
      <c r="C111" s="37"/>
      <c r="D111" s="37"/>
      <c r="E111" s="37"/>
      <c r="F111" s="37"/>
      <c r="G111" s="16">
        <f>IFERROR(G47/B47*100-100,"")</f>
        <v>0.29534810317619531</v>
      </c>
      <c r="H111" s="16">
        <f t="shared" ref="H111:K111" si="445">IFERROR(H47/C47*100-100,"")</f>
        <v>4.4169518175437759</v>
      </c>
      <c r="I111" s="16">
        <f t="shared" si="445"/>
        <v>-3.88282762945515</v>
      </c>
      <c r="J111" s="16">
        <f t="shared" si="445"/>
        <v>-0.98560648856592081</v>
      </c>
      <c r="K111" s="16">
        <f t="shared" si="445"/>
        <v>-7.2192113278958914E-2</v>
      </c>
      <c r="L111" s="16">
        <f>IFERROR(L47/G47*100-100,"")</f>
        <v>8.3129298028828345</v>
      </c>
      <c r="M111" s="16">
        <f t="shared" ref="M111:P111" si="446">IFERROR(M47/H47*100-100,"")</f>
        <v>3.2998342040715158</v>
      </c>
      <c r="N111" s="16">
        <f t="shared" si="446"/>
        <v>14.000985483099939</v>
      </c>
      <c r="O111" s="16">
        <f t="shared" si="446"/>
        <v>5.405659340622762</v>
      </c>
      <c r="P111" s="16">
        <f t="shared" si="446"/>
        <v>7.6247959333774844</v>
      </c>
      <c r="Q111" s="16">
        <f>IFERROR(Q47/L47*100-100,"")</f>
        <v>3.6771992198729038</v>
      </c>
      <c r="R111" s="16" t="str">
        <f t="shared" ref="R111:U111" si="447">IFERROR(R47/M47*100-100,"")</f>
        <v/>
      </c>
      <c r="S111" s="16">
        <f t="shared" si="447"/>
        <v>4.0260788497657103</v>
      </c>
      <c r="T111" s="16">
        <f t="shared" si="447"/>
        <v>3.6628845131985344</v>
      </c>
      <c r="U111" s="16" t="str">
        <f t="shared" si="447"/>
        <v/>
      </c>
      <c r="V111" s="16">
        <f>IFERROR(V47/Q47*100-100,"")</f>
        <v>7.077320075635086</v>
      </c>
      <c r="W111" s="16" t="str">
        <f t="shared" ref="W111:Z111" si="448">IFERROR(W47/R47*100-100,"")</f>
        <v/>
      </c>
      <c r="X111" s="16">
        <f t="shared" si="448"/>
        <v>5.0764529213668084</v>
      </c>
      <c r="Y111" s="16">
        <f t="shared" si="448"/>
        <v>4.7645994436531538</v>
      </c>
      <c r="Z111" s="16" t="str">
        <f t="shared" si="448"/>
        <v/>
      </c>
      <c r="AA111" s="16">
        <f>IFERROR(AA47/V47*100-100,"")</f>
        <v>6.4491252958596164</v>
      </c>
      <c r="AB111" s="16">
        <f t="shared" ref="AB111:AE111" si="449">IFERROR(AB47/W47*100-100,"")</f>
        <v>5.0218505523771881</v>
      </c>
      <c r="AC111" s="16">
        <f t="shared" si="449"/>
        <v>6.67784155720814</v>
      </c>
      <c r="AD111" s="16">
        <f t="shared" si="449"/>
        <v>7.3313582162493702</v>
      </c>
      <c r="AE111" s="16">
        <f t="shared" si="449"/>
        <v>6.374312779743434</v>
      </c>
      <c r="AF111" s="16">
        <f>IFERROR(AF47/AA47*100-100,"")</f>
        <v>14.04486807106808</v>
      </c>
      <c r="AG111" s="16">
        <f t="shared" ref="AG111:AJ111" si="450">IFERROR(AG47/AB47*100-100,"")</f>
        <v>7.2114009643681811</v>
      </c>
      <c r="AH111" s="16">
        <f t="shared" si="450"/>
        <v>3.5448386605351487</v>
      </c>
      <c r="AI111" s="16">
        <f t="shared" si="450"/>
        <v>4.7372679047571182</v>
      </c>
      <c r="AJ111" s="16">
        <f t="shared" si="450"/>
        <v>7.3316631776643391</v>
      </c>
      <c r="AK111" s="16">
        <f>IFERROR(AK47/AF47*100-100,"")</f>
        <v>-6.1460018493828272</v>
      </c>
      <c r="AL111" s="16">
        <f t="shared" ref="AL111:AO111" si="451">IFERROR(AL47/AG47*100-100,"")</f>
        <v>1.869656679659812</v>
      </c>
      <c r="AM111" s="16">
        <f t="shared" si="451"/>
        <v>6.2110527145147216</v>
      </c>
      <c r="AN111" s="16">
        <f t="shared" si="451"/>
        <v>11.643880552029032</v>
      </c>
      <c r="AO111" s="16">
        <f t="shared" si="451"/>
        <v>3.2756218709522784</v>
      </c>
      <c r="AP111" s="16">
        <f>IFERROR(AP47/AK47*100-100,"")</f>
        <v>4.56448044552873</v>
      </c>
      <c r="AQ111" s="16">
        <f t="shared" ref="AQ111:AT111" si="452">IFERROR(AQ47/AL47*100-100,"")</f>
        <v>5.5188920859343966</v>
      </c>
      <c r="AR111" s="16">
        <f t="shared" si="452"/>
        <v>7.7189568914534306</v>
      </c>
      <c r="AS111" s="16">
        <f t="shared" si="452"/>
        <v>6.9830700338406189</v>
      </c>
      <c r="AT111" s="16">
        <f t="shared" si="452"/>
        <v>6.2382909356355896</v>
      </c>
      <c r="AU111" s="16">
        <f>IFERROR(AU47/AP47*100-100,"")</f>
        <v>10.081371729697921</v>
      </c>
      <c r="AV111" s="16">
        <f t="shared" ref="AV111:AY111" si="453">IFERROR(AV47/AQ47*100-100,"")</f>
        <v>8.343593079405025</v>
      </c>
      <c r="AW111" s="16">
        <f t="shared" si="453"/>
        <v>4.213759978090664</v>
      </c>
      <c r="AX111" s="16">
        <f t="shared" si="453"/>
        <v>1.1814968263828831</v>
      </c>
      <c r="AY111" s="16">
        <f t="shared" si="453"/>
        <v>5.7542142419415967</v>
      </c>
      <c r="AZ111" s="16">
        <f>IFERROR(AZ47/AU47*100-100,"")</f>
        <v>6.0295760425721312</v>
      </c>
      <c r="BA111" s="16">
        <f t="shared" ref="BA111:BD111" si="454">IFERROR(BA47/AV47*100-100,"")</f>
        <v>6.7382975968336609</v>
      </c>
      <c r="BB111" s="16">
        <f t="shared" si="454"/>
        <v>7.3289137002993527</v>
      </c>
      <c r="BC111" s="16">
        <f t="shared" si="454"/>
        <v>5.024173187272396</v>
      </c>
      <c r="BD111" s="16">
        <f t="shared" si="454"/>
        <v>6.2678114343972311</v>
      </c>
      <c r="BE111" s="16">
        <f>IFERROR(BE47/AZ47*100-100,"")</f>
        <v>7.8165770093876006</v>
      </c>
      <c r="BF111" s="16">
        <f t="shared" ref="BF111:BI111" si="455">IFERROR(BF47/BA47*100-100,"")</f>
        <v>7.1766789426486781</v>
      </c>
      <c r="BG111" s="16">
        <f t="shared" si="455"/>
        <v>7.7638860630875399</v>
      </c>
      <c r="BH111" s="16">
        <f t="shared" si="455"/>
        <v>8.3821649876769442</v>
      </c>
      <c r="BI111" s="16">
        <f t="shared" si="455"/>
        <v>7.7899562383423557</v>
      </c>
      <c r="BJ111" s="16">
        <f>IFERROR(BJ47/BE47*100-100,"")</f>
        <v>6.7628453181338273</v>
      </c>
      <c r="BK111" s="16">
        <f t="shared" ref="BK111:BN111" si="456">IFERROR(BK47/BF47*100-100,"")</f>
        <v>-0.91966118934348628</v>
      </c>
      <c r="BL111" s="16">
        <f t="shared" si="456"/>
        <v>-2.6003806871159583</v>
      </c>
      <c r="BM111" s="16">
        <f t="shared" si="456"/>
        <v>-3.8358763898322792</v>
      </c>
      <c r="BN111" s="16">
        <f t="shared" si="456"/>
        <v>-0.23517137435582924</v>
      </c>
      <c r="BO111" s="16">
        <f>IFERROR(BO47/BJ47*100-100,"")</f>
        <v>-3.6343300899117281</v>
      </c>
      <c r="BP111" s="16">
        <f t="shared" ref="BP111:BS111" si="457">IFERROR(BP47/BK47*100-100,"")</f>
        <v>3.1677904737927207</v>
      </c>
      <c r="BQ111" s="16">
        <f t="shared" si="457"/>
        <v>0.56073253347356911</v>
      </c>
      <c r="BR111" s="16">
        <f t="shared" si="457"/>
        <v>4.2149322155504763</v>
      </c>
      <c r="BS111" s="16">
        <f t="shared" si="457"/>
        <v>1.021558598895993</v>
      </c>
      <c r="BT111" s="16">
        <f>IFERROR(BT47/BO47*100-100,"")</f>
        <v>4.8152366759495209</v>
      </c>
      <c r="BU111" s="16">
        <f t="shared" ref="BU111:BX111" si="458">IFERROR(BU47/BP47*100-100,"")</f>
        <v>6.6828061669476142</v>
      </c>
      <c r="BV111" s="16">
        <f t="shared" si="458"/>
        <v>9.4792244784923412</v>
      </c>
      <c r="BW111" s="16">
        <f t="shared" si="458"/>
        <v>8.3148269832921073</v>
      </c>
      <c r="BX111" s="16">
        <f t="shared" si="458"/>
        <v>7.326017567897523</v>
      </c>
      <c r="BY111" s="16">
        <f>IFERROR(BY47/BT47*100-100,"")</f>
        <v>5.7320760936706563</v>
      </c>
      <c r="BZ111" s="16">
        <f t="shared" ref="BZ111:CC111" si="459">IFERROR(BZ47/BU47*100-100,"")</f>
        <v>5.1870650488462502</v>
      </c>
      <c r="CA111" s="16">
        <f t="shared" si="459"/>
        <v>5.6858839178757279</v>
      </c>
      <c r="CB111" s="16">
        <f t="shared" si="459"/>
        <v>8.1570698491593134</v>
      </c>
      <c r="CC111" s="16">
        <f t="shared" si="459"/>
        <v>6.2141271489468721</v>
      </c>
      <c r="CD111" s="16">
        <f>IFERROR(CD47/BY47*100-100,"")</f>
        <v>20.465991971419257</v>
      </c>
      <c r="CE111" s="16">
        <f t="shared" ref="CE111:CH111" si="460">IFERROR(CE47/BZ47*100-100,"")</f>
        <v>9.1274073202024226</v>
      </c>
      <c r="CF111" s="16">
        <f t="shared" si="460"/>
        <v>11.072387884791141</v>
      </c>
      <c r="CG111" s="16">
        <f t="shared" si="460"/>
        <v>13.884267881341316</v>
      </c>
      <c r="CH111" s="16">
        <f t="shared" si="460"/>
        <v>13.596412925653837</v>
      </c>
      <c r="CI111" s="16">
        <f>IFERROR(CI47/CD47*100-100,"")</f>
        <v>6.3222484977319908</v>
      </c>
      <c r="CJ111" s="16">
        <f t="shared" ref="CJ111:CM111" si="461">IFERROR(CJ47/CE47*100-100,"")</f>
        <v>9.1123273692606688</v>
      </c>
      <c r="CK111" s="16">
        <f t="shared" si="461"/>
        <v>2.4457542482922321</v>
      </c>
      <c r="CL111" s="16">
        <f t="shared" si="461"/>
        <v>-1.9715096893772994</v>
      </c>
      <c r="CM111" s="16">
        <f t="shared" si="461"/>
        <v>3.8420898528096643</v>
      </c>
      <c r="CN111" s="16">
        <f>IFERROR(CN47/CI47*100-100,"")</f>
        <v>-100</v>
      </c>
      <c r="CO111" s="16">
        <f t="shared" ref="CO111:CR111" si="462">IFERROR(CO47/CJ47*100-100,"")</f>
        <v>-100</v>
      </c>
      <c r="CP111" s="16">
        <f t="shared" si="462"/>
        <v>-100</v>
      </c>
      <c r="CQ111" s="16">
        <f t="shared" si="462"/>
        <v>-100</v>
      </c>
      <c r="CR111" s="16">
        <f t="shared" si="462"/>
        <v>-100</v>
      </c>
    </row>
    <row r="112" spans="1:96" s="9" customFormat="1" ht="15" x14ac:dyDescent="0.4">
      <c r="A112" s="25"/>
      <c r="B112" s="42"/>
      <c r="C112" s="42"/>
      <c r="D112" s="42"/>
      <c r="E112" s="42"/>
      <c r="F112" s="42"/>
      <c r="G112" s="22"/>
      <c r="H112" s="22"/>
      <c r="I112" s="22"/>
      <c r="J112" s="22"/>
      <c r="K112" s="24"/>
      <c r="L112" s="22"/>
      <c r="M112" s="22"/>
      <c r="N112" s="22"/>
      <c r="O112" s="22"/>
      <c r="P112" s="24"/>
      <c r="Q112" s="22"/>
      <c r="R112" s="22"/>
      <c r="S112" s="22"/>
      <c r="T112" s="22"/>
      <c r="U112" s="24"/>
      <c r="V112" s="22"/>
      <c r="W112" s="22"/>
      <c r="X112" s="22"/>
      <c r="Y112" s="22"/>
      <c r="Z112" s="24"/>
      <c r="AA112" s="22"/>
      <c r="AB112" s="22"/>
      <c r="AC112" s="22"/>
      <c r="AD112" s="22"/>
      <c r="AE112" s="24"/>
      <c r="AF112" s="22"/>
      <c r="AG112" s="22"/>
      <c r="AH112" s="22"/>
      <c r="AI112" s="22"/>
      <c r="AJ112" s="24"/>
      <c r="AK112" s="22"/>
      <c r="AL112" s="22"/>
      <c r="AM112" s="22"/>
      <c r="AN112" s="22"/>
      <c r="AO112" s="24"/>
      <c r="AP112" s="22"/>
      <c r="AQ112" s="22"/>
      <c r="AR112" s="22"/>
      <c r="AS112" s="22"/>
      <c r="AT112" s="24"/>
      <c r="AU112" s="22"/>
      <c r="AV112" s="22"/>
      <c r="AW112" s="22"/>
      <c r="AX112" s="22"/>
      <c r="AY112" s="24"/>
      <c r="AZ112" s="22"/>
      <c r="BA112" s="22"/>
      <c r="BB112" s="22"/>
      <c r="BC112" s="22"/>
      <c r="BD112" s="24"/>
      <c r="BE112" s="22"/>
      <c r="BF112" s="22"/>
      <c r="BG112" s="22"/>
      <c r="BH112" s="22"/>
      <c r="BI112" s="24"/>
      <c r="BJ112" s="22"/>
      <c r="BK112" s="22"/>
      <c r="BL112" s="22"/>
      <c r="BM112" s="22"/>
      <c r="BN112" s="24"/>
      <c r="BO112" s="22"/>
      <c r="BP112" s="22"/>
      <c r="BQ112" s="22"/>
      <c r="BR112" s="22"/>
      <c r="BS112" s="24"/>
      <c r="BT112" s="22"/>
      <c r="BU112" s="22"/>
      <c r="BV112" s="22"/>
      <c r="BW112" s="22"/>
      <c r="BX112" s="24"/>
      <c r="BY112" s="22"/>
      <c r="BZ112" s="22"/>
      <c r="CA112" s="22"/>
      <c r="CB112" s="22"/>
      <c r="CC112" s="24"/>
      <c r="CD112" s="22"/>
      <c r="CE112" s="22"/>
      <c r="CF112" s="22"/>
      <c r="CG112" s="22"/>
      <c r="CH112" s="24"/>
      <c r="CI112" s="22"/>
      <c r="CJ112" s="22"/>
      <c r="CK112" s="22"/>
      <c r="CL112" s="22"/>
      <c r="CM112" s="24"/>
      <c r="CN112" s="22"/>
      <c r="CO112" s="22"/>
      <c r="CP112" s="22"/>
      <c r="CQ112" s="22"/>
      <c r="CR112" s="24"/>
    </row>
    <row r="113" spans="1:96" s="17" customFormat="1" ht="15" x14ac:dyDescent="0.4">
      <c r="A113" s="15" t="s">
        <v>88</v>
      </c>
      <c r="B113" s="37"/>
      <c r="C113" s="37"/>
      <c r="D113" s="37"/>
      <c r="E113" s="37"/>
      <c r="F113" s="37"/>
      <c r="G113" s="16">
        <f>IFERROR(G49/B49*100-100,"")</f>
        <v>18.435872131936179</v>
      </c>
      <c r="H113" s="16">
        <f t="shared" ref="H113:K113" si="463">IFERROR(H49/C49*100-100,"")</f>
        <v>10.926514689695452</v>
      </c>
      <c r="I113" s="16">
        <f t="shared" si="463"/>
        <v>3.4281662604155798</v>
      </c>
      <c r="J113" s="16">
        <f t="shared" si="463"/>
        <v>14.596438111034075</v>
      </c>
      <c r="K113" s="16">
        <f t="shared" si="463"/>
        <v>11.449225942489875</v>
      </c>
      <c r="L113" s="16">
        <f>IFERROR(L49/G49*100-100,"")</f>
        <v>3.1927842149543864</v>
      </c>
      <c r="M113" s="16">
        <f t="shared" ref="M113:P113" si="464">IFERROR(M49/H49*100-100,"")</f>
        <v>0.69507431284230847</v>
      </c>
      <c r="N113" s="16">
        <f t="shared" si="464"/>
        <v>2.9980665958639889</v>
      </c>
      <c r="O113" s="16">
        <f t="shared" si="464"/>
        <v>6.989311226631159</v>
      </c>
      <c r="P113" s="16">
        <f t="shared" si="464"/>
        <v>3.6161650535685226</v>
      </c>
      <c r="Q113" s="16">
        <f>IFERROR(Q49/L49*100-100,"")</f>
        <v>4.443001000751039</v>
      </c>
      <c r="R113" s="16" t="str">
        <f t="shared" ref="R113:U113" si="465">IFERROR(R49/M49*100-100,"")</f>
        <v/>
      </c>
      <c r="S113" s="16">
        <f t="shared" si="465"/>
        <v>16.479623003815675</v>
      </c>
      <c r="T113" s="16">
        <f t="shared" si="465"/>
        <v>7.0306022174508627</v>
      </c>
      <c r="U113" s="16" t="str">
        <f t="shared" si="465"/>
        <v/>
      </c>
      <c r="V113" s="16">
        <f>IFERROR(V49/Q49*100-100,"")</f>
        <v>7.5343305961821443</v>
      </c>
      <c r="W113" s="16" t="str">
        <f t="shared" ref="W113:Z113" si="466">IFERROR(W49/R49*100-100,"")</f>
        <v/>
      </c>
      <c r="X113" s="16">
        <f t="shared" si="466"/>
        <v>8.6763505081401036</v>
      </c>
      <c r="Y113" s="16">
        <f t="shared" si="466"/>
        <v>7.0183664816165816</v>
      </c>
      <c r="Z113" s="16" t="str">
        <f t="shared" si="466"/>
        <v/>
      </c>
      <c r="AA113" s="16">
        <f>IFERROR(AA49/V49*100-100,"")</f>
        <v>12.968222693904679</v>
      </c>
      <c r="AB113" s="16">
        <f t="shared" ref="AB113:AE113" si="467">IFERROR(AB49/W49*100-100,"")</f>
        <v>7.0906945611119596</v>
      </c>
      <c r="AC113" s="16">
        <f t="shared" si="467"/>
        <v>8.456920178506806</v>
      </c>
      <c r="AD113" s="16">
        <f t="shared" si="467"/>
        <v>8.5863065470990847</v>
      </c>
      <c r="AE113" s="16">
        <f t="shared" si="467"/>
        <v>9.0583777509097132</v>
      </c>
      <c r="AF113" s="16">
        <f>IFERROR(AF49/AA49*100-100,"")</f>
        <v>6.7102325649291998</v>
      </c>
      <c r="AG113" s="16">
        <f t="shared" ref="AG113:AJ113" si="468">IFERROR(AG49/AB49*100-100,"")</f>
        <v>1.2878499455024155</v>
      </c>
      <c r="AH113" s="16">
        <f t="shared" si="468"/>
        <v>4.2995531790252812</v>
      </c>
      <c r="AI113" s="16">
        <f t="shared" si="468"/>
        <v>7.4115111745960149</v>
      </c>
      <c r="AJ113" s="16">
        <f t="shared" si="468"/>
        <v>4.9278274904071253</v>
      </c>
      <c r="AK113" s="16">
        <f>IFERROR(AK49/AF49*100-100,"")</f>
        <v>9.5591188321175764</v>
      </c>
      <c r="AL113" s="16">
        <f t="shared" ref="AL113:AO113" si="469">IFERROR(AL49/AG49*100-100,"")</f>
        <v>7.0196131034032874</v>
      </c>
      <c r="AM113" s="16">
        <f t="shared" si="469"/>
        <v>6.5817053098566447</v>
      </c>
      <c r="AN113" s="16">
        <f t="shared" si="469"/>
        <v>5.8458420247518745</v>
      </c>
      <c r="AO113" s="16">
        <f t="shared" si="469"/>
        <v>7.1088314203292811</v>
      </c>
      <c r="AP113" s="16">
        <f>IFERROR(AP49/AK49*100-100,"")</f>
        <v>7.0090858288060787</v>
      </c>
      <c r="AQ113" s="16">
        <f t="shared" ref="AQ113:AT113" si="470">IFERROR(AQ49/AL49*100-100,"")</f>
        <v>2.7757488990776835</v>
      </c>
      <c r="AR113" s="16">
        <f t="shared" si="470"/>
        <v>0.94873861462939146</v>
      </c>
      <c r="AS113" s="16">
        <f t="shared" si="470"/>
        <v>1.3382826256154203</v>
      </c>
      <c r="AT113" s="16">
        <f t="shared" si="470"/>
        <v>2.815847873171279</v>
      </c>
      <c r="AU113" s="16">
        <f>IFERROR(AU49/AP49*100-100,"")</f>
        <v>2.3172290816647774</v>
      </c>
      <c r="AV113" s="16">
        <f t="shared" ref="AV113:AY113" si="471">IFERROR(AV49/AQ49*100-100,"")</f>
        <v>1.7343963999311853</v>
      </c>
      <c r="AW113" s="16">
        <f t="shared" si="471"/>
        <v>4.4455991472900962</v>
      </c>
      <c r="AX113" s="16">
        <f t="shared" si="471"/>
        <v>1.8143821430453215</v>
      </c>
      <c r="AY113" s="16">
        <f t="shared" si="471"/>
        <v>2.5780856577577822</v>
      </c>
      <c r="AZ113" s="16">
        <f>IFERROR(AZ49/AU49*100-100,"")</f>
        <v>0.14433874530128321</v>
      </c>
      <c r="BA113" s="16">
        <f t="shared" ref="BA113:BD113" si="472">IFERROR(BA49/AV49*100-100,"")</f>
        <v>0.50616571973201019</v>
      </c>
      <c r="BB113" s="16">
        <f t="shared" si="472"/>
        <v>1.4343418246284045E-2</v>
      </c>
      <c r="BC113" s="16">
        <f t="shared" si="472"/>
        <v>7.1818013843568451E-2</v>
      </c>
      <c r="BD113" s="16">
        <f t="shared" si="472"/>
        <v>0.17656313275647051</v>
      </c>
      <c r="BE113" s="16">
        <f>IFERROR(BE49/AZ49*100-100,"")</f>
        <v>0.20355461928194529</v>
      </c>
      <c r="BF113" s="16">
        <f t="shared" ref="BF113:BI113" si="473">IFERROR(BF49/BA49*100-100,"")</f>
        <v>0.24523715002627</v>
      </c>
      <c r="BG113" s="16">
        <f t="shared" si="473"/>
        <v>1.6048923501690098</v>
      </c>
      <c r="BH113" s="16">
        <f t="shared" si="473"/>
        <v>-1.9363111367536305</v>
      </c>
      <c r="BI113" s="16">
        <f t="shared" si="473"/>
        <v>-1.7595765143724407E-2</v>
      </c>
      <c r="BJ113" s="16">
        <f>IFERROR(BJ49/BE49*100-100,"")</f>
        <v>-35.526451250633556</v>
      </c>
      <c r="BK113" s="16">
        <f t="shared" ref="BK113:BN113" si="474">IFERROR(BK49/BF49*100-100,"")</f>
        <v>-26.711375741901875</v>
      </c>
      <c r="BL113" s="16">
        <f t="shared" si="474"/>
        <v>-29.113424036309894</v>
      </c>
      <c r="BM113" s="16">
        <f t="shared" si="474"/>
        <v>-13.310809240498372</v>
      </c>
      <c r="BN113" s="16">
        <f t="shared" si="474"/>
        <v>-25.692995909753947</v>
      </c>
      <c r="BO113" s="16">
        <f>IFERROR(BO49/BJ49*100-100,"")</f>
        <v>-26.704843338559897</v>
      </c>
      <c r="BP113" s="16">
        <f t="shared" ref="BP113:BS113" si="475">IFERROR(BP49/BK49*100-100,"")</f>
        <v>19.254444085848377</v>
      </c>
      <c r="BQ113" s="16">
        <f t="shared" si="475"/>
        <v>-9.2450362741730601</v>
      </c>
      <c r="BR113" s="16">
        <f t="shared" si="475"/>
        <v>18.116711696010185</v>
      </c>
      <c r="BS113" s="16">
        <f t="shared" si="475"/>
        <v>2.728411664957946</v>
      </c>
      <c r="BT113" s="16">
        <f>IFERROR(BT49/BO49*100-100,"")</f>
        <v>2.8210731074363764</v>
      </c>
      <c r="BU113" s="16">
        <f t="shared" ref="BU113:BX113" si="476">IFERROR(BU49/BP49*100-100,"")</f>
        <v>-26.292686685783607</v>
      </c>
      <c r="BV113" s="16">
        <f t="shared" si="476"/>
        <v>12.435330895857604</v>
      </c>
      <c r="BW113" s="16">
        <f t="shared" si="476"/>
        <v>-2.8800589694499052</v>
      </c>
      <c r="BX113" s="16">
        <f t="shared" si="476"/>
        <v>-5.1007723522579482</v>
      </c>
      <c r="BY113" s="16">
        <f>IFERROR(BY49/BT49*100-100,"")</f>
        <v>2.1909020925442633</v>
      </c>
      <c r="BZ113" s="16">
        <f t="shared" ref="BZ113:CC113" si="477">IFERROR(BZ49/BU49*100-100,"")</f>
        <v>20.789138229997988</v>
      </c>
      <c r="CA113" s="16">
        <f t="shared" si="477"/>
        <v>-8.5109140612820084</v>
      </c>
      <c r="CB113" s="16">
        <f t="shared" si="477"/>
        <v>-5.295207061863735</v>
      </c>
      <c r="CC113" s="16">
        <f t="shared" si="477"/>
        <v>0.5441271126620677</v>
      </c>
      <c r="CD113" s="16">
        <f>IFERROR(CD49/BY49*100-100,"")</f>
        <v>7.8349097724606196</v>
      </c>
      <c r="CE113" s="16">
        <f t="shared" ref="CE113:CH113" si="478">IFERROR(CE49/BZ49*100-100,"")</f>
        <v>1.0391949945270653</v>
      </c>
      <c r="CF113" s="16">
        <f t="shared" si="478"/>
        <v>1.2037825366147672</v>
      </c>
      <c r="CG113" s="16">
        <f t="shared" si="478"/>
        <v>1.7311785784365838</v>
      </c>
      <c r="CH113" s="16">
        <f t="shared" si="478"/>
        <v>2.3701708605490666</v>
      </c>
      <c r="CI113" s="16">
        <f>IFERROR(CI49/CD49*100-100,"")</f>
        <v>10.621318499695292</v>
      </c>
      <c r="CJ113" s="16">
        <f t="shared" ref="CJ113:CM113" si="479">IFERROR(CJ49/CE49*100-100,"")</f>
        <v>-13.007668872382155</v>
      </c>
      <c r="CK113" s="16">
        <f t="shared" si="479"/>
        <v>-6.4127262675241639</v>
      </c>
      <c r="CL113" s="16">
        <f t="shared" si="479"/>
        <v>-21.145252655126484</v>
      </c>
      <c r="CM113" s="16">
        <f t="shared" si="479"/>
        <v>-10.455409863780275</v>
      </c>
      <c r="CN113" s="16">
        <f>IFERROR(CN49/CI49*100-100,"")</f>
        <v>-100</v>
      </c>
      <c r="CO113" s="16">
        <f t="shared" ref="CO113:CR113" si="480">IFERROR(CO49/CJ49*100-100,"")</f>
        <v>-100</v>
      </c>
      <c r="CP113" s="16">
        <f t="shared" si="480"/>
        <v>-100</v>
      </c>
      <c r="CQ113" s="16">
        <f t="shared" si="480"/>
        <v>-100</v>
      </c>
      <c r="CR113" s="16">
        <f t="shared" si="480"/>
        <v>-100</v>
      </c>
    </row>
    <row r="114" spans="1:96" s="9" customFormat="1" ht="15" x14ac:dyDescent="0.4">
      <c r="A114" s="25"/>
      <c r="B114" s="42"/>
      <c r="C114" s="42"/>
      <c r="D114" s="42"/>
      <c r="E114" s="42"/>
      <c r="F114" s="42"/>
      <c r="G114" s="22"/>
      <c r="H114" s="22"/>
      <c r="I114" s="22"/>
      <c r="J114" s="22"/>
      <c r="K114" s="24"/>
      <c r="L114" s="22"/>
      <c r="M114" s="22"/>
      <c r="N114" s="22"/>
      <c r="O114" s="22"/>
      <c r="P114" s="24"/>
      <c r="Q114" s="22"/>
      <c r="R114" s="22"/>
      <c r="S114" s="22"/>
      <c r="T114" s="22"/>
      <c r="U114" s="24"/>
      <c r="V114" s="22"/>
      <c r="W114" s="22"/>
      <c r="X114" s="22"/>
      <c r="Y114" s="22"/>
      <c r="Z114" s="24"/>
      <c r="AA114" s="22"/>
      <c r="AB114" s="22"/>
      <c r="AC114" s="22"/>
      <c r="AD114" s="22"/>
      <c r="AE114" s="24"/>
      <c r="AF114" s="22"/>
      <c r="AG114" s="22"/>
      <c r="AH114" s="22"/>
      <c r="AI114" s="22"/>
      <c r="AJ114" s="24"/>
      <c r="AK114" s="22"/>
      <c r="AL114" s="22"/>
      <c r="AM114" s="22"/>
      <c r="AN114" s="22"/>
      <c r="AO114" s="24"/>
      <c r="AP114" s="22"/>
      <c r="AQ114" s="22"/>
      <c r="AR114" s="22"/>
      <c r="AS114" s="22"/>
      <c r="AT114" s="24"/>
      <c r="AU114" s="22"/>
      <c r="AV114" s="22"/>
      <c r="AW114" s="22"/>
      <c r="AX114" s="22"/>
      <c r="AY114" s="24"/>
      <c r="AZ114" s="22"/>
      <c r="BA114" s="22"/>
      <c r="BB114" s="22"/>
      <c r="BC114" s="22"/>
      <c r="BD114" s="24"/>
      <c r="BE114" s="22"/>
      <c r="BF114" s="22"/>
      <c r="BG114" s="22"/>
      <c r="BH114" s="22"/>
      <c r="BI114" s="24"/>
      <c r="BJ114" s="22"/>
      <c r="BK114" s="22"/>
      <c r="BL114" s="22"/>
      <c r="BM114" s="22"/>
      <c r="BN114" s="24"/>
      <c r="BO114" s="22"/>
      <c r="BP114" s="22"/>
      <c r="BQ114" s="22"/>
      <c r="BR114" s="22"/>
      <c r="BS114" s="24"/>
      <c r="BT114" s="22"/>
      <c r="BU114" s="22"/>
      <c r="BV114" s="22"/>
      <c r="BW114" s="22"/>
      <c r="BX114" s="24"/>
      <c r="BY114" s="22"/>
      <c r="BZ114" s="22"/>
      <c r="CA114" s="22"/>
      <c r="CB114" s="22"/>
      <c r="CC114" s="24"/>
      <c r="CD114" s="22"/>
      <c r="CE114" s="22"/>
      <c r="CF114" s="22"/>
      <c r="CG114" s="22"/>
      <c r="CH114" s="24"/>
      <c r="CI114" s="22"/>
      <c r="CJ114" s="22"/>
      <c r="CK114" s="22"/>
      <c r="CL114" s="22"/>
      <c r="CM114" s="24"/>
      <c r="CN114" s="22"/>
      <c r="CO114" s="22"/>
      <c r="CP114" s="22"/>
      <c r="CQ114" s="22"/>
      <c r="CR114" s="24"/>
    </row>
    <row r="115" spans="1:96" s="17" customFormat="1" ht="15" x14ac:dyDescent="0.4">
      <c r="A115" s="15" t="s">
        <v>89</v>
      </c>
      <c r="B115" s="37"/>
      <c r="C115" s="37"/>
      <c r="D115" s="37"/>
      <c r="E115" s="37"/>
      <c r="F115" s="37"/>
      <c r="G115" s="16">
        <f>IFERROR(G51/B51*100-100,"")</f>
        <v>-10.205272913893964</v>
      </c>
      <c r="H115" s="16">
        <f t="shared" ref="H115:L117" si="481">IFERROR(H51/C51*100-100,"")</f>
        <v>-9.2672261378920098</v>
      </c>
      <c r="I115" s="16">
        <f t="shared" si="481"/>
        <v>-7.281767981994463</v>
      </c>
      <c r="J115" s="16">
        <f t="shared" si="481"/>
        <v>-6.0979583918322362</v>
      </c>
      <c r="K115" s="16">
        <f t="shared" si="481"/>
        <v>-8.1809355822685177</v>
      </c>
      <c r="L115" s="16">
        <f>IFERROR(L51/G51*100-100,"")</f>
        <v>2.2368718353093868</v>
      </c>
      <c r="M115" s="16">
        <f t="shared" ref="M115:Q117" si="482">IFERROR(M51/H51*100-100,"")</f>
        <v>15.187953659537087</v>
      </c>
      <c r="N115" s="16">
        <f t="shared" si="482"/>
        <v>13.154038145913603</v>
      </c>
      <c r="O115" s="16">
        <f t="shared" si="482"/>
        <v>8.7221210599461614</v>
      </c>
      <c r="P115" s="16">
        <f t="shared" si="482"/>
        <v>9.8693236672689579</v>
      </c>
      <c r="Q115" s="16">
        <f>IFERROR(Q51/L51*100-100,"")</f>
        <v>25.498256299450787</v>
      </c>
      <c r="R115" s="16" t="str">
        <f t="shared" ref="R115:V117" si="483">IFERROR(R51/M51*100-100,"")</f>
        <v/>
      </c>
      <c r="S115" s="16">
        <f t="shared" si="483"/>
        <v>16.844531908356146</v>
      </c>
      <c r="T115" s="16">
        <f t="shared" si="483"/>
        <v>22.446872188889813</v>
      </c>
      <c r="U115" s="16" t="str">
        <f t="shared" si="483"/>
        <v/>
      </c>
      <c r="V115" s="16">
        <f>IFERROR(V51/Q51*100-100,"")</f>
        <v>23.697612359047056</v>
      </c>
      <c r="W115" s="16" t="str">
        <f t="shared" ref="W115:AA117" si="484">IFERROR(W51/R51*100-100,"")</f>
        <v/>
      </c>
      <c r="X115" s="16">
        <f t="shared" si="484"/>
        <v>24.610928107162835</v>
      </c>
      <c r="Y115" s="16">
        <f t="shared" si="484"/>
        <v>18.767686619170874</v>
      </c>
      <c r="Z115" s="16" t="str">
        <f t="shared" si="484"/>
        <v/>
      </c>
      <c r="AA115" s="16">
        <f>IFERROR(AA51/V51*100-100,"")</f>
        <v>19.359972267765002</v>
      </c>
      <c r="AB115" s="16">
        <f t="shared" ref="AB115:AF117" si="485">IFERROR(AB51/W51*100-100,"")</f>
        <v>-4.4707248368406169</v>
      </c>
      <c r="AC115" s="16">
        <f t="shared" si="485"/>
        <v>1.5329321589685634</v>
      </c>
      <c r="AD115" s="16">
        <f t="shared" si="485"/>
        <v>9.074784733015818</v>
      </c>
      <c r="AE115" s="16">
        <f t="shared" si="485"/>
        <v>6.1381478265328298</v>
      </c>
      <c r="AF115" s="16">
        <f>IFERROR(AF51/AA51*100-100,"")</f>
        <v>3.3333148591682544</v>
      </c>
      <c r="AG115" s="16">
        <f t="shared" ref="AG115:AK117" si="486">IFERROR(AG51/AB51*100-100,"")</f>
        <v>11.286106962392964</v>
      </c>
      <c r="AH115" s="16">
        <f t="shared" si="486"/>
        <v>7.3534214631416432</v>
      </c>
      <c r="AI115" s="16">
        <f t="shared" si="486"/>
        <v>5.7786830206448769</v>
      </c>
      <c r="AJ115" s="16">
        <f t="shared" si="486"/>
        <v>6.769472589528732</v>
      </c>
      <c r="AK115" s="16">
        <f>IFERROR(AK51/AF51*100-100,"")</f>
        <v>-3.3875713953197106</v>
      </c>
      <c r="AL115" s="16">
        <f t="shared" ref="AL115:AP117" si="487">IFERROR(AL51/AG51*100-100,"")</f>
        <v>10.467335448432365</v>
      </c>
      <c r="AM115" s="16">
        <f t="shared" si="487"/>
        <v>11.457049719500191</v>
      </c>
      <c r="AN115" s="16">
        <f t="shared" si="487"/>
        <v>13.082643575009939</v>
      </c>
      <c r="AO115" s="16">
        <f t="shared" si="487"/>
        <v>7.8702006823118325</v>
      </c>
      <c r="AP115" s="16">
        <f>IFERROR(AP51/AK51*100-100,"")</f>
        <v>10.636635209525664</v>
      </c>
      <c r="AQ115" s="16">
        <f t="shared" ref="AQ115:AU117" si="488">IFERROR(AQ51/AL51*100-100,"")</f>
        <v>7.3992625196561193</v>
      </c>
      <c r="AR115" s="16">
        <f t="shared" si="488"/>
        <v>6.8164757578989708</v>
      </c>
      <c r="AS115" s="16">
        <f t="shared" si="488"/>
        <v>5.5607042918770446</v>
      </c>
      <c r="AT115" s="16">
        <f t="shared" si="488"/>
        <v>7.482864271880004</v>
      </c>
      <c r="AU115" s="16">
        <f>IFERROR(AU51/AP51*100-100,"")</f>
        <v>6.8796984443185067</v>
      </c>
      <c r="AV115" s="16">
        <f t="shared" ref="AV115:AZ117" si="489">IFERROR(AV51/AQ51*100-100,"")</f>
        <v>7.5291202532917936</v>
      </c>
      <c r="AW115" s="16">
        <f t="shared" si="489"/>
        <v>6.4907971340139738</v>
      </c>
      <c r="AX115" s="16">
        <f t="shared" si="489"/>
        <v>5.256955570837917</v>
      </c>
      <c r="AY115" s="16">
        <f t="shared" si="489"/>
        <v>6.4993572315256216</v>
      </c>
      <c r="AZ115" s="16">
        <f>IFERROR(AZ51/AU51*100-100,"")</f>
        <v>7.9009654060471632</v>
      </c>
      <c r="BA115" s="16">
        <f t="shared" ref="BA115:BE117" si="490">IFERROR(BA51/AV51*100-100,"")</f>
        <v>6.1426753725605892</v>
      </c>
      <c r="BB115" s="16">
        <f t="shared" si="490"/>
        <v>4.6209034069663915</v>
      </c>
      <c r="BC115" s="16">
        <f t="shared" si="490"/>
        <v>1.6149433767518246</v>
      </c>
      <c r="BD115" s="16">
        <f t="shared" si="490"/>
        <v>4.9615022290949469</v>
      </c>
      <c r="BE115" s="16">
        <f>IFERROR(BE51/AZ51*100-100,"")</f>
        <v>3.1235828974484718</v>
      </c>
      <c r="BF115" s="16">
        <f t="shared" ref="BF115:BJ117" si="491">IFERROR(BF51/BA51*100-100,"")</f>
        <v>4.2512165721286408</v>
      </c>
      <c r="BG115" s="16">
        <f t="shared" si="491"/>
        <v>7.4580062354989991</v>
      </c>
      <c r="BH115" s="16">
        <f t="shared" si="491"/>
        <v>9.3246472750659706</v>
      </c>
      <c r="BI115" s="16">
        <f t="shared" si="491"/>
        <v>6.0997839970661687</v>
      </c>
      <c r="BJ115" s="16">
        <f>IFERROR(BJ51/BE51*100-100,"")</f>
        <v>2.0877922191353946</v>
      </c>
      <c r="BK115" s="16">
        <f t="shared" ref="BK115:BO117" si="492">IFERROR(BK51/BF51*100-100,"")</f>
        <v>0.99101627534227532</v>
      </c>
      <c r="BL115" s="16">
        <f t="shared" si="492"/>
        <v>0.96583094949305348</v>
      </c>
      <c r="BM115" s="16">
        <f t="shared" si="492"/>
        <v>-2.0181925186523131</v>
      </c>
      <c r="BN115" s="16">
        <f t="shared" si="492"/>
        <v>0.44024048793933446</v>
      </c>
      <c r="BO115" s="16">
        <f>IFERROR(BO51/BJ51*100-100,"")</f>
        <v>6.1889480011247002</v>
      </c>
      <c r="BP115" s="16">
        <f t="shared" ref="BP115:BT117" si="493">IFERROR(BP51/BK51*100-100,"")</f>
        <v>5.3564178475856323</v>
      </c>
      <c r="BQ115" s="16">
        <f t="shared" si="493"/>
        <v>6.3134944435008151</v>
      </c>
      <c r="BR115" s="16">
        <f t="shared" si="493"/>
        <v>6.1471249349240651</v>
      </c>
      <c r="BS115" s="16">
        <f t="shared" si="493"/>
        <v>6.0070097856856961</v>
      </c>
      <c r="BT115" s="16">
        <f>IFERROR(BT51/BO51*100-100,"")</f>
        <v>-2.3456679478011608</v>
      </c>
      <c r="BU115" s="16">
        <f t="shared" ref="BU115:BY117" si="494">IFERROR(BU51/BP51*100-100,"")</f>
        <v>4.9645334390396698</v>
      </c>
      <c r="BV115" s="16">
        <f t="shared" si="494"/>
        <v>-1.2222637742628564</v>
      </c>
      <c r="BW115" s="16">
        <f t="shared" si="494"/>
        <v>4.8540117049267621</v>
      </c>
      <c r="BX115" s="16">
        <f t="shared" si="494"/>
        <v>1.5909091636308688</v>
      </c>
      <c r="BY115" s="16">
        <f>IFERROR(BY51/BT51*100-100,"")</f>
        <v>3.9911504133884392</v>
      </c>
      <c r="BZ115" s="16">
        <f t="shared" ref="BZ115:CD117" si="495">IFERROR(BZ51/BU51*100-100,"")</f>
        <v>-2.0282171230300889</v>
      </c>
      <c r="CA115" s="16">
        <f t="shared" si="495"/>
        <v>4.0869565522162929</v>
      </c>
      <c r="CB115" s="16">
        <f t="shared" si="495"/>
        <v>-2.5287982313257942</v>
      </c>
      <c r="CC115" s="16">
        <f t="shared" si="495"/>
        <v>0.7547015424706558</v>
      </c>
      <c r="CD115" s="16">
        <f>IFERROR(CD51/BY51*100-100,"")</f>
        <v>2.1452035198039425</v>
      </c>
      <c r="CE115" s="16">
        <f t="shared" ref="CE115:CI117" si="496">IFERROR(CE51/BZ51*100-100,"")</f>
        <v>2.5847533530628368</v>
      </c>
      <c r="CF115" s="16">
        <f t="shared" si="496"/>
        <v>0.86148300818737766</v>
      </c>
      <c r="CG115" s="16">
        <f t="shared" si="496"/>
        <v>3.2041713295246836</v>
      </c>
      <c r="CH115" s="16">
        <f t="shared" si="496"/>
        <v>2.1957262660676946</v>
      </c>
      <c r="CI115" s="16">
        <f>IFERROR(CI51/CD51*100-100,"")</f>
        <v>1.9280847239156316</v>
      </c>
      <c r="CJ115" s="16">
        <f t="shared" ref="CJ115:CN117" si="497">IFERROR(CJ51/CE51*100-100,"")</f>
        <v>0.94687887706319884</v>
      </c>
      <c r="CK115" s="16">
        <f t="shared" si="497"/>
        <v>0.72709744246573393</v>
      </c>
      <c r="CL115" s="16">
        <f t="shared" si="497"/>
        <v>0.62628437743789789</v>
      </c>
      <c r="CM115" s="16">
        <f t="shared" si="497"/>
        <v>1.0397789803402873</v>
      </c>
      <c r="CN115" s="16">
        <f>IFERROR(CN51/CI51*100-100,"")</f>
        <v>-100</v>
      </c>
      <c r="CO115" s="16">
        <f t="shared" ref="CO115:CR117" si="498">IFERROR(CO51/CJ51*100-100,"")</f>
        <v>-100</v>
      </c>
      <c r="CP115" s="16">
        <f t="shared" si="498"/>
        <v>-100</v>
      </c>
      <c r="CQ115" s="16">
        <f t="shared" si="498"/>
        <v>-100</v>
      </c>
      <c r="CR115" s="16">
        <f t="shared" si="498"/>
        <v>-100</v>
      </c>
    </row>
    <row r="116" spans="1:96" s="9" customFormat="1" ht="15" x14ac:dyDescent="0.4">
      <c r="A116" s="18" t="s">
        <v>90</v>
      </c>
      <c r="B116" s="38"/>
      <c r="C116" s="38"/>
      <c r="D116" s="38"/>
      <c r="E116" s="38"/>
      <c r="F116" s="38"/>
      <c r="G116" s="39">
        <f t="shared" ref="G116:G117" si="499">IFERROR(G52/B52*100-100,"")</f>
        <v>-3.7840868098410851</v>
      </c>
      <c r="H116" s="39">
        <f t="shared" si="481"/>
        <v>-3.1255535399971421</v>
      </c>
      <c r="I116" s="39">
        <f t="shared" si="481"/>
        <v>-0.51691569378040469</v>
      </c>
      <c r="J116" s="39">
        <f t="shared" si="481"/>
        <v>2.8880445298344881</v>
      </c>
      <c r="K116" s="40">
        <f t="shared" si="481"/>
        <v>-1.0347012961887714</v>
      </c>
      <c r="L116" s="39">
        <f t="shared" si="481"/>
        <v>6.3208286062627224</v>
      </c>
      <c r="M116" s="39">
        <f t="shared" si="482"/>
        <v>7.1552393146064048</v>
      </c>
      <c r="N116" s="39">
        <f t="shared" si="482"/>
        <v>6.5051828640429079</v>
      </c>
      <c r="O116" s="39">
        <f t="shared" si="482"/>
        <v>6.2484133789535008</v>
      </c>
      <c r="P116" s="40">
        <f t="shared" si="482"/>
        <v>6.5472350910439303</v>
      </c>
      <c r="Q116" s="39">
        <f t="shared" si="482"/>
        <v>11.175117560121393</v>
      </c>
      <c r="R116" s="39" t="str">
        <f t="shared" si="483"/>
        <v/>
      </c>
      <c r="S116" s="39">
        <f t="shared" si="483"/>
        <v>9.9621349243598871</v>
      </c>
      <c r="T116" s="39">
        <f t="shared" si="483"/>
        <v>10.617128452686032</v>
      </c>
      <c r="U116" s="40" t="str">
        <f t="shared" si="483"/>
        <v/>
      </c>
      <c r="V116" s="39">
        <f t="shared" si="483"/>
        <v>24.698408187993493</v>
      </c>
      <c r="W116" s="39" t="str">
        <f t="shared" si="484"/>
        <v/>
      </c>
      <c r="X116" s="39">
        <f t="shared" si="484"/>
        <v>24.143328978435392</v>
      </c>
      <c r="Y116" s="39">
        <f t="shared" si="484"/>
        <v>16.842098099816923</v>
      </c>
      <c r="Z116" s="40" t="str">
        <f t="shared" si="484"/>
        <v/>
      </c>
      <c r="AA116" s="39">
        <f t="shared" si="484"/>
        <v>15.353090904850404</v>
      </c>
      <c r="AB116" s="39">
        <f t="shared" si="485"/>
        <v>3.9248494805316056</v>
      </c>
      <c r="AC116" s="39">
        <f t="shared" si="485"/>
        <v>7.2045117409345494</v>
      </c>
      <c r="AD116" s="39">
        <f t="shared" si="485"/>
        <v>9.6228848194644883</v>
      </c>
      <c r="AE116" s="40">
        <f t="shared" si="485"/>
        <v>8.9300567369057262</v>
      </c>
      <c r="AF116" s="39">
        <f t="shared" si="485"/>
        <v>3.7576780402780514</v>
      </c>
      <c r="AG116" s="39">
        <f t="shared" si="486"/>
        <v>12.888002248672478</v>
      </c>
      <c r="AH116" s="39">
        <f t="shared" si="486"/>
        <v>10.980613303735922</v>
      </c>
      <c r="AI116" s="39">
        <f t="shared" si="486"/>
        <v>8.3405595190495063</v>
      </c>
      <c r="AJ116" s="40">
        <f t="shared" si="486"/>
        <v>8.9442342738060177</v>
      </c>
      <c r="AK116" s="39">
        <f t="shared" si="486"/>
        <v>3.1830455972865224</v>
      </c>
      <c r="AL116" s="39">
        <f t="shared" si="487"/>
        <v>6.606344765811258</v>
      </c>
      <c r="AM116" s="39">
        <f t="shared" si="487"/>
        <v>8.923687286335209</v>
      </c>
      <c r="AN116" s="39">
        <f t="shared" si="487"/>
        <v>13.820500859009854</v>
      </c>
      <c r="AO116" s="40">
        <f t="shared" si="487"/>
        <v>8.2573425797042574</v>
      </c>
      <c r="AP116" s="39">
        <f t="shared" si="487"/>
        <v>10.917733048254675</v>
      </c>
      <c r="AQ116" s="39">
        <f t="shared" si="488"/>
        <v>6.3366145071549482</v>
      </c>
      <c r="AR116" s="39">
        <f t="shared" si="488"/>
        <v>6.6288093396615011</v>
      </c>
      <c r="AS116" s="39">
        <f t="shared" si="488"/>
        <v>5.0972740295950558</v>
      </c>
      <c r="AT116" s="40">
        <f t="shared" si="488"/>
        <v>7.1103246457962399</v>
      </c>
      <c r="AU116" s="39">
        <f t="shared" si="488"/>
        <v>6.8480042383366424</v>
      </c>
      <c r="AV116" s="39">
        <f t="shared" si="489"/>
        <v>6.8329438132712852</v>
      </c>
      <c r="AW116" s="39">
        <f t="shared" si="489"/>
        <v>6.1960597320987318</v>
      </c>
      <c r="AX116" s="39">
        <f t="shared" si="489"/>
        <v>9.4825708798167625</v>
      </c>
      <c r="AY116" s="40">
        <f t="shared" si="489"/>
        <v>7.3854855586191945</v>
      </c>
      <c r="AZ116" s="39">
        <f t="shared" si="489"/>
        <v>7.7767292382070679</v>
      </c>
      <c r="BA116" s="39">
        <f t="shared" si="490"/>
        <v>7.2762351237920484</v>
      </c>
      <c r="BB116" s="39">
        <f t="shared" si="490"/>
        <v>5.4928867312301861</v>
      </c>
      <c r="BC116" s="39">
        <f t="shared" si="490"/>
        <v>0.72045643665208559</v>
      </c>
      <c r="BD116" s="40">
        <f t="shared" si="490"/>
        <v>5.1511127776019663</v>
      </c>
      <c r="BE116" s="39">
        <f t="shared" si="490"/>
        <v>5.1380196435264764</v>
      </c>
      <c r="BF116" s="39">
        <f t="shared" si="491"/>
        <v>4.7754431663894223</v>
      </c>
      <c r="BG116" s="39">
        <f t="shared" si="491"/>
        <v>7.3631471449896395</v>
      </c>
      <c r="BH116" s="39">
        <f t="shared" si="491"/>
        <v>7.3632755582464711</v>
      </c>
      <c r="BI116" s="40">
        <f t="shared" si="491"/>
        <v>6.1932348800125112</v>
      </c>
      <c r="BJ116" s="39">
        <f t="shared" si="491"/>
        <v>-0.2013943063175816</v>
      </c>
      <c r="BK116" s="39">
        <f t="shared" si="492"/>
        <v>2.1675971455145771</v>
      </c>
      <c r="BL116" s="39">
        <f t="shared" si="492"/>
        <v>2.273206411764761</v>
      </c>
      <c r="BM116" s="39">
        <f t="shared" si="492"/>
        <v>-3.2188283844124044</v>
      </c>
      <c r="BN116" s="40">
        <f t="shared" si="492"/>
        <v>0.20626977933055457</v>
      </c>
      <c r="BO116" s="39">
        <f t="shared" si="492"/>
        <v>3.4619748357048508</v>
      </c>
      <c r="BP116" s="39">
        <f t="shared" si="493"/>
        <v>2.9426100946382974</v>
      </c>
      <c r="BQ116" s="39">
        <f t="shared" si="493"/>
        <v>6.2038390749724641</v>
      </c>
      <c r="BR116" s="39">
        <f t="shared" si="493"/>
        <v>10.311955676937345</v>
      </c>
      <c r="BS116" s="40">
        <f t="shared" si="493"/>
        <v>5.7998532663629163</v>
      </c>
      <c r="BT116" s="39">
        <f t="shared" si="493"/>
        <v>-0.14136512116948552</v>
      </c>
      <c r="BU116" s="39">
        <f t="shared" si="494"/>
        <v>3.6648238819799559</v>
      </c>
      <c r="BV116" s="39">
        <f t="shared" si="494"/>
        <v>-4.7086276918945771</v>
      </c>
      <c r="BW116" s="39">
        <f t="shared" si="494"/>
        <v>2.267797002586974</v>
      </c>
      <c r="BX116" s="40">
        <f t="shared" si="494"/>
        <v>0.22552181560502049</v>
      </c>
      <c r="BY116" s="39">
        <f t="shared" si="494"/>
        <v>4.6302557757537528</v>
      </c>
      <c r="BZ116" s="39">
        <f t="shared" si="495"/>
        <v>-6.3889788902043847</v>
      </c>
      <c r="CA116" s="39">
        <f t="shared" si="495"/>
        <v>2.5818479643770331</v>
      </c>
      <c r="CB116" s="39">
        <f t="shared" si="495"/>
        <v>-5.5826117195230722</v>
      </c>
      <c r="CC116" s="40">
        <f t="shared" si="495"/>
        <v>-1.407187601664063</v>
      </c>
      <c r="CD116" s="39">
        <f t="shared" si="495"/>
        <v>6.5778188488408773E-2</v>
      </c>
      <c r="CE116" s="39">
        <f t="shared" si="496"/>
        <v>5.0476641558977491</v>
      </c>
      <c r="CF116" s="39">
        <f t="shared" si="496"/>
        <v>5.66945723023764E-2</v>
      </c>
      <c r="CG116" s="39">
        <f t="shared" si="496"/>
        <v>1.972891556011831</v>
      </c>
      <c r="CH116" s="40">
        <f t="shared" si="496"/>
        <v>1.7403369175292625</v>
      </c>
      <c r="CI116" s="39">
        <f t="shared" si="496"/>
        <v>0.83518634530268798</v>
      </c>
      <c r="CJ116" s="39">
        <f t="shared" si="497"/>
        <v>0.77450304922442115</v>
      </c>
      <c r="CK116" s="39">
        <f t="shared" si="497"/>
        <v>1.3192712683397332</v>
      </c>
      <c r="CL116" s="39">
        <f t="shared" si="497"/>
        <v>0.99478045567411755</v>
      </c>
      <c r="CM116" s="40">
        <f t="shared" si="497"/>
        <v>0.98513109261585896</v>
      </c>
      <c r="CN116" s="39">
        <f t="shared" si="497"/>
        <v>-100</v>
      </c>
      <c r="CO116" s="39">
        <f t="shared" si="498"/>
        <v>-100</v>
      </c>
      <c r="CP116" s="39">
        <f t="shared" si="498"/>
        <v>-100</v>
      </c>
      <c r="CQ116" s="39">
        <f t="shared" si="498"/>
        <v>-100</v>
      </c>
      <c r="CR116" s="40">
        <f t="shared" si="498"/>
        <v>-100</v>
      </c>
    </row>
    <row r="117" spans="1:96" s="9" customFormat="1" ht="15" x14ac:dyDescent="0.4">
      <c r="A117" s="18" t="s">
        <v>91</v>
      </c>
      <c r="B117" s="41"/>
      <c r="C117" s="41"/>
      <c r="D117" s="41"/>
      <c r="E117" s="41"/>
      <c r="F117" s="41"/>
      <c r="G117" s="39">
        <f t="shared" si="499"/>
        <v>-16.684382702847728</v>
      </c>
      <c r="H117" s="39">
        <f t="shared" si="481"/>
        <v>-15.593956082062633</v>
      </c>
      <c r="I117" s="39">
        <f t="shared" si="481"/>
        <v>-14.553081206922485</v>
      </c>
      <c r="J117" s="39">
        <f t="shared" si="481"/>
        <v>-16.031754104390188</v>
      </c>
      <c r="K117" s="40">
        <f t="shared" si="481"/>
        <v>-15.719770648655611</v>
      </c>
      <c r="L117" s="39">
        <f t="shared" si="481"/>
        <v>-2.5219747911194759</v>
      </c>
      <c r="M117" s="39">
        <f t="shared" si="482"/>
        <v>24.68504570861478</v>
      </c>
      <c r="N117" s="39">
        <f t="shared" si="482"/>
        <v>21.474630585079368</v>
      </c>
      <c r="O117" s="39">
        <f t="shared" si="482"/>
        <v>12.072908500916185</v>
      </c>
      <c r="P117" s="40">
        <f t="shared" si="482"/>
        <v>13.984566152664996</v>
      </c>
      <c r="Q117" s="39">
        <f t="shared" si="482"/>
        <v>43.702406102020916</v>
      </c>
      <c r="R117" s="39" t="str">
        <f t="shared" si="483"/>
        <v/>
      </c>
      <c r="S117" s="39">
        <f t="shared" si="483"/>
        <v>24.396014829672879</v>
      </c>
      <c r="T117" s="39">
        <f t="shared" si="483"/>
        <v>37.638196968628961</v>
      </c>
      <c r="U117" s="40" t="str">
        <f t="shared" si="483"/>
        <v/>
      </c>
      <c r="V117" s="39">
        <f t="shared" si="483"/>
        <v>22.713553113248835</v>
      </c>
      <c r="W117" s="39" t="str">
        <f t="shared" si="484"/>
        <v/>
      </c>
      <c r="X117" s="39">
        <f t="shared" si="484"/>
        <v>25.064454863524645</v>
      </c>
      <c r="Y117" s="39">
        <f t="shared" si="484"/>
        <v>20.755003883576364</v>
      </c>
      <c r="Z117" s="40" t="str">
        <f t="shared" si="484"/>
        <v/>
      </c>
      <c r="AA117" s="39">
        <f t="shared" si="484"/>
        <v>23.36357172683428</v>
      </c>
      <c r="AB117" s="39">
        <f t="shared" si="485"/>
        <v>-12.691424052652124</v>
      </c>
      <c r="AC117" s="39">
        <f t="shared" si="485"/>
        <v>-3.927446286227152</v>
      </c>
      <c r="AD117" s="39">
        <f t="shared" si="485"/>
        <v>8.5274439632071903</v>
      </c>
      <c r="AE117" s="40">
        <f t="shared" si="485"/>
        <v>3.3893717130040244</v>
      </c>
      <c r="AF117" s="39">
        <f t="shared" si="485"/>
        <v>2.9368322566936627</v>
      </c>
      <c r="AG117" s="39">
        <f t="shared" si="486"/>
        <v>9.4190611658894454</v>
      </c>
      <c r="AH117" s="39">
        <f t="shared" si="486"/>
        <v>3.4566676648714747</v>
      </c>
      <c r="AI117" s="39">
        <f t="shared" si="486"/>
        <v>3.194532719149052</v>
      </c>
      <c r="AJ117" s="40">
        <f t="shared" si="486"/>
        <v>4.5135633137944211</v>
      </c>
      <c r="AK117" s="39">
        <f t="shared" si="486"/>
        <v>-9.5754535835299066</v>
      </c>
      <c r="AL117" s="39">
        <f t="shared" si="487"/>
        <v>15.110075887796299</v>
      </c>
      <c r="AM117" s="39">
        <f t="shared" si="487"/>
        <v>14.376616426301482</v>
      </c>
      <c r="AN117" s="39">
        <f t="shared" si="487"/>
        <v>12.301256299991081</v>
      </c>
      <c r="AO117" s="40">
        <f t="shared" si="487"/>
        <v>7.4515886308500967</v>
      </c>
      <c r="AP117" s="39">
        <f t="shared" si="487"/>
        <v>10.334559785274962</v>
      </c>
      <c r="AQ117" s="39">
        <f t="shared" si="488"/>
        <v>8.5826713284909033</v>
      </c>
      <c r="AR117" s="39">
        <f t="shared" si="488"/>
        <v>7.0224404284196567</v>
      </c>
      <c r="AS117" s="39">
        <f t="shared" si="488"/>
        <v>6.058113972451622</v>
      </c>
      <c r="AT117" s="40">
        <f t="shared" si="488"/>
        <v>7.8887077288469953</v>
      </c>
      <c r="AU117" s="39">
        <f t="shared" si="488"/>
        <v>6.9139379260214469</v>
      </c>
      <c r="AV117" s="39">
        <f t="shared" si="489"/>
        <v>8.2883740855857866</v>
      </c>
      <c r="AW117" s="39">
        <f t="shared" si="489"/>
        <v>6.813082901475596</v>
      </c>
      <c r="AX117" s="39">
        <f t="shared" si="489"/>
        <v>0.76260079053736263</v>
      </c>
      <c r="AY117" s="40">
        <f t="shared" si="489"/>
        <v>5.540976576885285</v>
      </c>
      <c r="AZ117" s="39">
        <f t="shared" si="489"/>
        <v>8.0350958744414669</v>
      </c>
      <c r="BA117" s="39">
        <f t="shared" si="490"/>
        <v>4.923024724788732</v>
      </c>
      <c r="BB117" s="39">
        <f t="shared" si="490"/>
        <v>3.6729259527422897</v>
      </c>
      <c r="BC117" s="39">
        <f t="shared" si="490"/>
        <v>2.648649330058646</v>
      </c>
      <c r="BD117" s="40">
        <f t="shared" si="490"/>
        <v>4.7528474242086958</v>
      </c>
      <c r="BE117" s="39">
        <f t="shared" si="490"/>
        <v>0.95391547871174964</v>
      </c>
      <c r="BF117" s="39">
        <f t="shared" si="491"/>
        <v>3.6745260628257483</v>
      </c>
      <c r="BG117" s="39">
        <f t="shared" si="491"/>
        <v>7.5629427430912841</v>
      </c>
      <c r="BH117" s="39">
        <f t="shared" si="491"/>
        <v>11.548711722732975</v>
      </c>
      <c r="BI117" s="40">
        <f t="shared" si="491"/>
        <v>5.9965560380631899</v>
      </c>
      <c r="BJ117" s="39">
        <f t="shared" si="491"/>
        <v>4.6555694181994909</v>
      </c>
      <c r="BK117" s="39">
        <f t="shared" si="492"/>
        <v>-0.31705974966082806</v>
      </c>
      <c r="BL117" s="39">
        <f t="shared" si="492"/>
        <v>-0.47774799069291873</v>
      </c>
      <c r="BM117" s="39">
        <f t="shared" si="492"/>
        <v>-0.70783451421009147</v>
      </c>
      <c r="BN117" s="40">
        <f t="shared" si="492"/>
        <v>0.69916938287626351</v>
      </c>
      <c r="BO117" s="39">
        <f t="shared" si="492"/>
        <v>9.1058319477850915</v>
      </c>
      <c r="BP117" s="39">
        <f t="shared" si="493"/>
        <v>8.106883466838255</v>
      </c>
      <c r="BQ117" s="39">
        <f t="shared" si="493"/>
        <v>6.4379206280830346</v>
      </c>
      <c r="BR117" s="39">
        <f t="shared" si="493"/>
        <v>1.7166334858426779</v>
      </c>
      <c r="BS117" s="40">
        <f t="shared" si="493"/>
        <v>6.2351420127383648</v>
      </c>
      <c r="BT117" s="39">
        <f t="shared" si="493"/>
        <v>-4.5815162906177136</v>
      </c>
      <c r="BU117" s="39">
        <f t="shared" si="494"/>
        <v>6.3747690693326291</v>
      </c>
      <c r="BV117" s="39">
        <f t="shared" si="494"/>
        <v>2.7250208038499153</v>
      </c>
      <c r="BW117" s="39">
        <f t="shared" si="494"/>
        <v>7.8376744303543688</v>
      </c>
      <c r="BX117" s="40">
        <f t="shared" si="494"/>
        <v>3.0883882702564591</v>
      </c>
      <c r="BY117" s="39">
        <f t="shared" si="494"/>
        <v>3.3127335106542404</v>
      </c>
      <c r="BZ117" s="39">
        <f t="shared" si="495"/>
        <v>2.5828401444852602</v>
      </c>
      <c r="CA117" s="39">
        <f t="shared" si="495"/>
        <v>5.6677346022803192</v>
      </c>
      <c r="CB117" s="39">
        <f t="shared" si="495"/>
        <v>0.81235234558947411</v>
      </c>
      <c r="CC117" s="40">
        <f t="shared" si="495"/>
        <v>3.0598924316955589</v>
      </c>
      <c r="CD117" s="39">
        <f t="shared" si="495"/>
        <v>4.3806844166748249</v>
      </c>
      <c r="CE117" s="39">
        <f t="shared" si="496"/>
        <v>0.20824633076176724</v>
      </c>
      <c r="CF117" s="39">
        <f t="shared" si="496"/>
        <v>1.6820478632604932</v>
      </c>
      <c r="CG117" s="39">
        <f t="shared" si="496"/>
        <v>4.465849297644354</v>
      </c>
      <c r="CH117" s="40">
        <f t="shared" si="496"/>
        <v>2.660254282843951</v>
      </c>
      <c r="CI117" s="39">
        <f t="shared" si="496"/>
        <v>3.0544333961240966</v>
      </c>
      <c r="CJ117" s="39">
        <f t="shared" si="497"/>
        <v>1.1212400255977855</v>
      </c>
      <c r="CK117" s="39">
        <f t="shared" si="497"/>
        <v>0.13296637868147343</v>
      </c>
      <c r="CL117" s="39">
        <f t="shared" si="497"/>
        <v>0.25770159923912672</v>
      </c>
      <c r="CM117" s="40">
        <f t="shared" si="497"/>
        <v>1.0950240162232063</v>
      </c>
      <c r="CN117" s="39">
        <f t="shared" si="497"/>
        <v>-100</v>
      </c>
      <c r="CO117" s="39">
        <f t="shared" si="498"/>
        <v>-100</v>
      </c>
      <c r="CP117" s="39">
        <f t="shared" si="498"/>
        <v>-100</v>
      </c>
      <c r="CQ117" s="39">
        <f t="shared" si="498"/>
        <v>-100</v>
      </c>
      <c r="CR117" s="40">
        <f t="shared" si="498"/>
        <v>-100</v>
      </c>
    </row>
    <row r="118" spans="1:96" s="9" customFormat="1" ht="15" x14ac:dyDescent="0.4">
      <c r="A118" s="25"/>
      <c r="B118" s="42"/>
      <c r="C118" s="42"/>
      <c r="D118" s="42"/>
      <c r="E118" s="42"/>
      <c r="F118" s="42"/>
      <c r="G118" s="22"/>
      <c r="H118" s="22"/>
      <c r="I118" s="22"/>
      <c r="J118" s="22"/>
      <c r="K118" s="24"/>
      <c r="L118" s="22"/>
      <c r="M118" s="22"/>
      <c r="N118" s="22"/>
      <c r="O118" s="22"/>
      <c r="P118" s="24"/>
      <c r="Q118" s="22"/>
      <c r="R118" s="22"/>
      <c r="S118" s="22"/>
      <c r="T118" s="22"/>
      <c r="U118" s="24"/>
      <c r="V118" s="22"/>
      <c r="W118" s="22"/>
      <c r="X118" s="22"/>
      <c r="Y118" s="22"/>
      <c r="Z118" s="24"/>
      <c r="AA118" s="22"/>
      <c r="AB118" s="22"/>
      <c r="AC118" s="22"/>
      <c r="AD118" s="22"/>
      <c r="AE118" s="24"/>
      <c r="AF118" s="22"/>
      <c r="AG118" s="22"/>
      <c r="AH118" s="22"/>
      <c r="AI118" s="22"/>
      <c r="AJ118" s="24"/>
      <c r="AK118" s="22"/>
      <c r="AL118" s="22"/>
      <c r="AM118" s="22"/>
      <c r="AN118" s="22"/>
      <c r="AO118" s="24"/>
      <c r="AP118" s="22"/>
      <c r="AQ118" s="22"/>
      <c r="AR118" s="22"/>
      <c r="AS118" s="22"/>
      <c r="AT118" s="24"/>
      <c r="AU118" s="22"/>
      <c r="AV118" s="22"/>
      <c r="AW118" s="22"/>
      <c r="AX118" s="22"/>
      <c r="AY118" s="24"/>
      <c r="AZ118" s="22"/>
      <c r="BA118" s="22"/>
      <c r="BB118" s="22"/>
      <c r="BC118" s="22"/>
      <c r="BD118" s="24"/>
      <c r="BE118" s="22"/>
      <c r="BF118" s="22"/>
      <c r="BG118" s="22"/>
      <c r="BH118" s="22"/>
      <c r="BI118" s="24"/>
      <c r="BJ118" s="22"/>
      <c r="BK118" s="22"/>
      <c r="BL118" s="22"/>
      <c r="BM118" s="22"/>
      <c r="BN118" s="24"/>
      <c r="BO118" s="22"/>
      <c r="BP118" s="22"/>
      <c r="BQ118" s="22"/>
      <c r="BR118" s="22"/>
      <c r="BS118" s="24"/>
      <c r="BT118" s="22"/>
      <c r="BU118" s="22"/>
      <c r="BV118" s="22"/>
      <c r="BW118" s="22"/>
      <c r="BX118" s="24"/>
      <c r="BY118" s="22"/>
      <c r="BZ118" s="22"/>
      <c r="CA118" s="22"/>
      <c r="CB118" s="22"/>
      <c r="CC118" s="24"/>
      <c r="CD118" s="22"/>
      <c r="CE118" s="22"/>
      <c r="CF118" s="22"/>
      <c r="CG118" s="22"/>
      <c r="CH118" s="24"/>
      <c r="CI118" s="22"/>
      <c r="CJ118" s="22"/>
      <c r="CK118" s="22"/>
      <c r="CL118" s="22"/>
      <c r="CM118" s="24"/>
      <c r="CN118" s="22"/>
      <c r="CO118" s="22"/>
      <c r="CP118" s="22"/>
      <c r="CQ118" s="22"/>
      <c r="CR118" s="24"/>
    </row>
    <row r="119" spans="1:96" s="17" customFormat="1" ht="15" x14ac:dyDescent="0.4">
      <c r="A119" s="15" t="s">
        <v>92</v>
      </c>
      <c r="B119" s="37"/>
      <c r="C119" s="37"/>
      <c r="D119" s="37"/>
      <c r="E119" s="37"/>
      <c r="F119" s="37"/>
      <c r="G119" s="16">
        <f>IFERROR(G55/B55*100-100,"")</f>
        <v>-31.385893874608001</v>
      </c>
      <c r="H119" s="16">
        <f t="shared" ref="H119:K119" si="500">IFERROR(H55/C55*100-100,"")</f>
        <v>-26.182393817991127</v>
      </c>
      <c r="I119" s="16">
        <f t="shared" si="500"/>
        <v>-62.85901871706649</v>
      </c>
      <c r="J119" s="16">
        <f t="shared" si="500"/>
        <v>119.620418139695</v>
      </c>
      <c r="K119" s="16">
        <f t="shared" si="500"/>
        <v>-39.20940174361499</v>
      </c>
      <c r="L119" s="16">
        <f>IFERROR(L55/G55*100-100,"")</f>
        <v>6.7179741558160941</v>
      </c>
      <c r="M119" s="16">
        <f t="shared" ref="M119:P119" si="501">IFERROR(M55/H55*100-100,"")</f>
        <v>117.5164431629851</v>
      </c>
      <c r="N119" s="16">
        <f t="shared" si="501"/>
        <v>151.50963618493779</v>
      </c>
      <c r="O119" s="16">
        <f t="shared" si="501"/>
        <v>17.623375638772302</v>
      </c>
      <c r="P119" s="16">
        <f t="shared" si="501"/>
        <v>82.805816714735613</v>
      </c>
      <c r="Q119" s="16">
        <f>IFERROR(Q55/L55*100-100,"")</f>
        <v>94.06582710219223</v>
      </c>
      <c r="R119" s="16" t="str">
        <f t="shared" ref="R119:U119" si="502">IFERROR(R55/M55*100-100,"")</f>
        <v/>
      </c>
      <c r="S119" s="16">
        <f t="shared" si="502"/>
        <v>-47.075521307047993</v>
      </c>
      <c r="T119" s="16">
        <f t="shared" si="502"/>
        <v>36.221735233214133</v>
      </c>
      <c r="U119" s="16" t="str">
        <f t="shared" si="502"/>
        <v/>
      </c>
      <c r="V119" s="16">
        <f>IFERROR(V55/Q55*100-100,"")</f>
        <v>78.100790964559053</v>
      </c>
      <c r="W119" s="16" t="str">
        <f t="shared" ref="W119:Z119" si="503">IFERROR(W55/R55*100-100,"")</f>
        <v/>
      </c>
      <c r="X119" s="16">
        <f t="shared" si="503"/>
        <v>18.090805633820679</v>
      </c>
      <c r="Y119" s="16">
        <f t="shared" si="503"/>
        <v>16.594105515414242</v>
      </c>
      <c r="Z119" s="16" t="str">
        <f t="shared" si="503"/>
        <v/>
      </c>
      <c r="AA119" s="16">
        <f>IFERROR(AA55/V55*100-100,"")</f>
        <v>-24.171796110606948</v>
      </c>
      <c r="AB119" s="16">
        <f t="shared" ref="AB119:AE119" si="504">IFERROR(AB55/W55*100-100,"")</f>
        <v>-13.954427470166536</v>
      </c>
      <c r="AC119" s="16">
        <f t="shared" si="504"/>
        <v>-36.602292309066328</v>
      </c>
      <c r="AD119" s="16">
        <f t="shared" si="504"/>
        <v>-16.949884591588699</v>
      </c>
      <c r="AE119" s="16">
        <f t="shared" si="504"/>
        <v>-22.572755439643572</v>
      </c>
      <c r="AF119" s="16">
        <f>IFERROR(AF55/AA55*100-100,"")</f>
        <v>-20.561738594320673</v>
      </c>
      <c r="AG119" s="16">
        <f t="shared" ref="AG119:AJ119" si="505">IFERROR(AG55/AB55*100-100,"")</f>
        <v>4.5904401364011278</v>
      </c>
      <c r="AH119" s="16">
        <f t="shared" si="505"/>
        <v>93.590977282429037</v>
      </c>
      <c r="AI119" s="16">
        <f t="shared" si="505"/>
        <v>-22.555297356155734</v>
      </c>
      <c r="AJ119" s="16">
        <f t="shared" si="505"/>
        <v>5.853270318282739</v>
      </c>
      <c r="AK119" s="16">
        <f>IFERROR(AK55/AF55*100-100,"")</f>
        <v>-36.013979127797491</v>
      </c>
      <c r="AL119" s="16">
        <f t="shared" ref="AL119:AO119" si="506">IFERROR(AL55/AG55*100-100,"")</f>
        <v>-40.827955718436151</v>
      </c>
      <c r="AM119" s="16">
        <f t="shared" si="506"/>
        <v>-27.507640704290907</v>
      </c>
      <c r="AN119" s="16">
        <f t="shared" si="506"/>
        <v>114.51046638579703</v>
      </c>
      <c r="AO119" s="16">
        <f t="shared" si="506"/>
        <v>-20.279581968408195</v>
      </c>
      <c r="AP119" s="16">
        <f>IFERROR(AP55/AK55*100-100,"")</f>
        <v>19.792749514191684</v>
      </c>
      <c r="AQ119" s="16">
        <f t="shared" ref="AQ119:AT119" si="507">IFERROR(AQ55/AL55*100-100,"")</f>
        <v>6.544491212705239</v>
      </c>
      <c r="AR119" s="16">
        <f t="shared" si="507"/>
        <v>-1.7568025132946872</v>
      </c>
      <c r="AS119" s="16">
        <f t="shared" si="507"/>
        <v>-1.2512732243978633</v>
      </c>
      <c r="AT119" s="16">
        <f t="shared" si="507"/>
        <v>5.2083432933974336</v>
      </c>
      <c r="AU119" s="16">
        <f>IFERROR(AU55/AP55*100-100,"")</f>
        <v>0.78711873037677549</v>
      </c>
      <c r="AV119" s="16">
        <f t="shared" ref="AV119:AY119" si="508">IFERROR(AV55/AQ55*100-100,"")</f>
        <v>2.2070545651936158</v>
      </c>
      <c r="AW119" s="16">
        <f t="shared" si="508"/>
        <v>5.7158020378868031</v>
      </c>
      <c r="AX119" s="16">
        <f t="shared" si="508"/>
        <v>5.8648751447115615</v>
      </c>
      <c r="AY119" s="16">
        <f t="shared" si="508"/>
        <v>3.6291098315718813</v>
      </c>
      <c r="AZ119" s="16">
        <f>IFERROR(AZ55/AU55*100-100,"")</f>
        <v>4.2052354312775151</v>
      </c>
      <c r="BA119" s="16">
        <f t="shared" ref="BA119:BD119" si="509">IFERROR(BA55/AV55*100-100,"")</f>
        <v>5.7148977723133783</v>
      </c>
      <c r="BB119" s="16">
        <f t="shared" si="509"/>
        <v>5.3109053461500366</v>
      </c>
      <c r="BC119" s="16">
        <f t="shared" si="509"/>
        <v>3.5035326951391284</v>
      </c>
      <c r="BD119" s="16">
        <f t="shared" si="509"/>
        <v>4.679276161659331</v>
      </c>
      <c r="BE119" s="16">
        <f>IFERROR(BE55/AZ55*100-100,"")</f>
        <v>0.5009078906072375</v>
      </c>
      <c r="BF119" s="16">
        <f t="shared" ref="BF119:BI119" si="510">IFERROR(BF55/BA55*100-100,"")</f>
        <v>-0.15637441945143848</v>
      </c>
      <c r="BG119" s="16">
        <f t="shared" si="510"/>
        <v>-0.87727837236045048</v>
      </c>
      <c r="BH119" s="16">
        <f t="shared" si="510"/>
        <v>1.1434316381549507</v>
      </c>
      <c r="BI119" s="16">
        <f t="shared" si="510"/>
        <v>0.14856125973294354</v>
      </c>
      <c r="BJ119" s="16">
        <f>IFERROR(BJ55/BE55*100-100,"")</f>
        <v>4.8054043908286417</v>
      </c>
      <c r="BK119" s="16">
        <f t="shared" ref="BK119:BN119" si="511">IFERROR(BK55/BF55*100-100,"")</f>
        <v>1.9953915483402369</v>
      </c>
      <c r="BL119" s="16">
        <f t="shared" si="511"/>
        <v>2.3527546376928399</v>
      </c>
      <c r="BM119" s="16">
        <f t="shared" si="511"/>
        <v>0.13069767714321756</v>
      </c>
      <c r="BN119" s="16">
        <f t="shared" si="511"/>
        <v>2.2992177440246593</v>
      </c>
      <c r="BO119" s="16">
        <f>IFERROR(BO55/BJ55*100-100,"")</f>
        <v>-0.91856986185065637</v>
      </c>
      <c r="BP119" s="16">
        <f t="shared" ref="BP119:BS119" si="512">IFERROR(BP55/BK55*100-100,"")</f>
        <v>-4.5192696016188734</v>
      </c>
      <c r="BQ119" s="16">
        <f t="shared" si="512"/>
        <v>-8.1068613212350016</v>
      </c>
      <c r="BR119" s="16">
        <f t="shared" si="512"/>
        <v>-5.9618734875491413</v>
      </c>
      <c r="BS119" s="16">
        <f t="shared" si="512"/>
        <v>-4.8765339098668932</v>
      </c>
      <c r="BT119" s="16">
        <f>IFERROR(BT55/BO55*100-100,"")</f>
        <v>-4.5860634749770099</v>
      </c>
      <c r="BU119" s="16">
        <f t="shared" ref="BU119:BX119" si="513">IFERROR(BU55/BP55*100-100,"")</f>
        <v>0.22990039672623652</v>
      </c>
      <c r="BV119" s="16">
        <f t="shared" si="513"/>
        <v>3.150012634446469</v>
      </c>
      <c r="BW119" s="16">
        <f t="shared" si="513"/>
        <v>1.7717202593591423</v>
      </c>
      <c r="BX119" s="16">
        <f t="shared" si="513"/>
        <v>5.9437843769558185E-2</v>
      </c>
      <c r="BY119" s="16">
        <f>IFERROR(BY55/BT55*100-100,"")</f>
        <v>2.6472982984820703</v>
      </c>
      <c r="BZ119" s="16">
        <f t="shared" ref="BZ119:CC119" si="514">IFERROR(BZ55/BU55*100-100,"")</f>
        <v>1.3929176908956862</v>
      </c>
      <c r="CA119" s="16">
        <f t="shared" si="514"/>
        <v>-0.58744682847847685</v>
      </c>
      <c r="CB119" s="16">
        <f t="shared" si="514"/>
        <v>-2.2779176736910358</v>
      </c>
      <c r="CC119" s="16">
        <f t="shared" si="514"/>
        <v>0.29069682731490332</v>
      </c>
      <c r="CD119" s="16">
        <f>IFERROR(CD55/BY55*100-100,"")</f>
        <v>0.13730567006777505</v>
      </c>
      <c r="CE119" s="16">
        <f t="shared" ref="CE119:CH119" si="515">IFERROR(CE55/BZ55*100-100,"")</f>
        <v>0.73024531274977278</v>
      </c>
      <c r="CF119" s="16">
        <f t="shared" si="515"/>
        <v>2.6146145028820342</v>
      </c>
      <c r="CG119" s="16">
        <f t="shared" si="515"/>
        <v>0.91180319956090727</v>
      </c>
      <c r="CH119" s="16">
        <f t="shared" si="515"/>
        <v>1.0908347710055324</v>
      </c>
      <c r="CI119" s="16">
        <f>IFERROR(CI55/CD55*100-100,"")</f>
        <v>0.36768911544828597</v>
      </c>
      <c r="CJ119" s="16">
        <f t="shared" ref="CJ119:CM119" si="516">IFERROR(CJ55/CE55*100-100,"")</f>
        <v>-3.8901709791044823</v>
      </c>
      <c r="CK119" s="16">
        <f t="shared" si="516"/>
        <v>0.77994583239686222</v>
      </c>
      <c r="CL119" s="16">
        <f t="shared" si="516"/>
        <v>3.2618812471533261</v>
      </c>
      <c r="CM119" s="16">
        <f t="shared" si="516"/>
        <v>0.10436429826059168</v>
      </c>
      <c r="CN119" s="16">
        <f>IFERROR(CN55/CI55*100-100,"")</f>
        <v>-100</v>
      </c>
      <c r="CO119" s="16">
        <f t="shared" ref="CO119:CR119" si="517">IFERROR(CO55/CJ55*100-100,"")</f>
        <v>-100</v>
      </c>
      <c r="CP119" s="16">
        <f t="shared" si="517"/>
        <v>-100</v>
      </c>
      <c r="CQ119" s="16">
        <f t="shared" si="517"/>
        <v>-100</v>
      </c>
      <c r="CR119" s="16">
        <f t="shared" si="517"/>
        <v>-100</v>
      </c>
    </row>
    <row r="120" spans="1:96" s="9" customFormat="1" ht="15" x14ac:dyDescent="0.4">
      <c r="A120" s="25"/>
      <c r="B120" s="42"/>
      <c r="C120" s="42"/>
      <c r="D120" s="42"/>
      <c r="E120" s="42"/>
      <c r="F120" s="42"/>
      <c r="G120" s="22"/>
      <c r="H120" s="22"/>
      <c r="I120" s="22"/>
      <c r="J120" s="22"/>
      <c r="K120" s="24"/>
      <c r="L120" s="22"/>
      <c r="M120" s="22"/>
      <c r="N120" s="22"/>
      <c r="O120" s="22"/>
      <c r="P120" s="24"/>
      <c r="Q120" s="22"/>
      <c r="R120" s="22"/>
      <c r="S120" s="22"/>
      <c r="T120" s="22"/>
      <c r="U120" s="24"/>
      <c r="V120" s="22"/>
      <c r="W120" s="22"/>
      <c r="X120" s="22"/>
      <c r="Y120" s="22"/>
      <c r="Z120" s="24"/>
      <c r="AA120" s="22"/>
      <c r="AB120" s="22"/>
      <c r="AC120" s="22"/>
      <c r="AD120" s="22"/>
      <c r="AE120" s="24"/>
      <c r="AF120" s="22"/>
      <c r="AG120" s="22"/>
      <c r="AH120" s="22"/>
      <c r="AI120" s="22"/>
      <c r="AJ120" s="24"/>
      <c r="AK120" s="22"/>
      <c r="AL120" s="22"/>
      <c r="AM120" s="22"/>
      <c r="AN120" s="22"/>
      <c r="AO120" s="24"/>
      <c r="AP120" s="22"/>
      <c r="AQ120" s="22"/>
      <c r="AR120" s="22"/>
      <c r="AS120" s="22"/>
      <c r="AT120" s="24"/>
      <c r="AU120" s="22"/>
      <c r="AV120" s="22"/>
      <c r="AW120" s="22"/>
      <c r="AX120" s="22"/>
      <c r="AY120" s="24"/>
      <c r="AZ120" s="22"/>
      <c r="BA120" s="22"/>
      <c r="BB120" s="22"/>
      <c r="BC120" s="22"/>
      <c r="BD120" s="24"/>
      <c r="BE120" s="22"/>
      <c r="BF120" s="22"/>
      <c r="BG120" s="22"/>
      <c r="BH120" s="22"/>
      <c r="BI120" s="24"/>
      <c r="BJ120" s="22"/>
      <c r="BK120" s="22"/>
      <c r="BL120" s="22"/>
      <c r="BM120" s="22"/>
      <c r="BN120" s="24"/>
      <c r="BO120" s="22"/>
      <c r="BP120" s="22"/>
      <c r="BQ120" s="22"/>
      <c r="BR120" s="22"/>
      <c r="BS120" s="24"/>
      <c r="BT120" s="22"/>
      <c r="BU120" s="22"/>
      <c r="BV120" s="22"/>
      <c r="BW120" s="22"/>
      <c r="BX120" s="24"/>
      <c r="BY120" s="22"/>
      <c r="BZ120" s="22"/>
      <c r="CA120" s="22"/>
      <c r="CB120" s="22"/>
      <c r="CC120" s="24"/>
      <c r="CD120" s="22"/>
      <c r="CE120" s="22"/>
      <c r="CF120" s="22"/>
      <c r="CG120" s="22"/>
      <c r="CH120" s="24"/>
      <c r="CI120" s="22"/>
      <c r="CJ120" s="22"/>
      <c r="CK120" s="22"/>
      <c r="CL120" s="22"/>
      <c r="CM120" s="24"/>
      <c r="CN120" s="22"/>
      <c r="CO120" s="22"/>
      <c r="CP120" s="22"/>
      <c r="CQ120" s="22"/>
      <c r="CR120" s="24"/>
    </row>
    <row r="121" spans="1:96" s="17" customFormat="1" ht="15" x14ac:dyDescent="0.4">
      <c r="A121" s="15" t="s">
        <v>93</v>
      </c>
      <c r="B121" s="37"/>
      <c r="C121" s="37"/>
      <c r="D121" s="37"/>
      <c r="E121" s="37"/>
      <c r="F121" s="37"/>
      <c r="G121" s="16">
        <f>IFERROR(G57/B57*100-100,"")</f>
        <v>30.37533007550519</v>
      </c>
      <c r="H121" s="16">
        <f t="shared" ref="H121:K121" si="518">IFERROR(H57/C57*100-100,"")</f>
        <v>-2.2086153074631198</v>
      </c>
      <c r="I121" s="16">
        <f t="shared" si="518"/>
        <v>628.46762718881087</v>
      </c>
      <c r="J121" s="16">
        <f t="shared" si="518"/>
        <v>6.939402240330736</v>
      </c>
      <c r="K121" s="16">
        <f t="shared" si="518"/>
        <v>30.592344352878598</v>
      </c>
      <c r="L121" s="16">
        <f>IFERROR(L57/G57*100-100,"")</f>
        <v>-57.600186752271888</v>
      </c>
      <c r="M121" s="16">
        <f t="shared" ref="M121:P121" si="519">IFERROR(M57/H57*100-100,"")</f>
        <v>-33.208263760418518</v>
      </c>
      <c r="N121" s="16">
        <f t="shared" si="519"/>
        <v>-91.25211468883117</v>
      </c>
      <c r="O121" s="16">
        <f t="shared" si="519"/>
        <v>100.41313829335286</v>
      </c>
      <c r="P121" s="16">
        <f t="shared" si="519"/>
        <v>14.170429348384701</v>
      </c>
      <c r="Q121" s="16">
        <f>IFERROR(Q57/L57*100-100,"")</f>
        <v>105.13422323644201</v>
      </c>
      <c r="R121" s="16" t="str">
        <f t="shared" ref="R121:U121" si="520">IFERROR(R57/M57*100-100,"")</f>
        <v/>
      </c>
      <c r="S121" s="16">
        <f t="shared" si="520"/>
        <v>640.46975654487414</v>
      </c>
      <c r="T121" s="16">
        <f t="shared" si="520"/>
        <v>-36.273619385130807</v>
      </c>
      <c r="U121" s="16" t="str">
        <f t="shared" si="520"/>
        <v/>
      </c>
      <c r="V121" s="16">
        <f>IFERROR(V57/Q57*100-100,"")</f>
        <v>51.932205048455785</v>
      </c>
      <c r="W121" s="16" t="str">
        <f t="shared" ref="W121:Z121" si="521">IFERROR(W57/R57*100-100,"")</f>
        <v/>
      </c>
      <c r="X121" s="16">
        <f t="shared" si="521"/>
        <v>165.88861355400746</v>
      </c>
      <c r="Y121" s="16">
        <f t="shared" si="521"/>
        <v>-39.968780261293112</v>
      </c>
      <c r="Z121" s="16" t="str">
        <f t="shared" si="521"/>
        <v/>
      </c>
      <c r="AA121" s="16">
        <f>IFERROR(AA57/V57*100-100,"")</f>
        <v>-12.225561070900383</v>
      </c>
      <c r="AB121" s="16">
        <f t="shared" ref="AB121:AE121" si="522">IFERROR(AB57/W57*100-100,"")</f>
        <v>5.6693741869599847</v>
      </c>
      <c r="AC121" s="16">
        <f t="shared" si="522"/>
        <v>17.216144653570026</v>
      </c>
      <c r="AD121" s="16">
        <f t="shared" si="522"/>
        <v>22.274832970116762</v>
      </c>
      <c r="AE121" s="16">
        <f t="shared" si="522"/>
        <v>9.5278322201622672</v>
      </c>
      <c r="AF121" s="16">
        <f>IFERROR(AF57/AA57*100-100,"")</f>
        <v>-11.827957479190417</v>
      </c>
      <c r="AG121" s="16">
        <f t="shared" ref="AG121:AJ121" si="523">IFERROR(AG57/AB57*100-100,"")</f>
        <v>-22.458912615632229</v>
      </c>
      <c r="AH121" s="16">
        <f t="shared" si="523"/>
        <v>13.913110435869697</v>
      </c>
      <c r="AI121" s="16">
        <f t="shared" si="523"/>
        <v>9.4874218007783213</v>
      </c>
      <c r="AJ121" s="16">
        <f t="shared" si="523"/>
        <v>-3.308572900237877</v>
      </c>
      <c r="AK121" s="16">
        <f>IFERROR(AK57/AF57*100-100,"")</f>
        <v>69.999950484673064</v>
      </c>
      <c r="AL121" s="16">
        <f t="shared" ref="AL121:AO121" si="524">IFERROR(AL57/AG57*100-100,"")</f>
        <v>-12.455615945848351</v>
      </c>
      <c r="AM121" s="16">
        <f t="shared" si="524"/>
        <v>-13.702711466033278</v>
      </c>
      <c r="AN121" s="16">
        <f t="shared" si="524"/>
        <v>3.1174371382768982</v>
      </c>
      <c r="AO121" s="16">
        <f t="shared" si="524"/>
        <v>1.8891063089370448</v>
      </c>
      <c r="AP121" s="16">
        <f>IFERROR(AP57/AK57*100-100,"")</f>
        <v>5.2607606991351901</v>
      </c>
      <c r="AQ121" s="16">
        <f t="shared" ref="AQ121:AT121" si="525">IFERROR(AQ57/AL57*100-100,"")</f>
        <v>-2.0430068268979937</v>
      </c>
      <c r="AR121" s="16">
        <f t="shared" si="525"/>
        <v>13.698311317633966</v>
      </c>
      <c r="AS121" s="16">
        <f t="shared" si="525"/>
        <v>1.7205911624162127</v>
      </c>
      <c r="AT121" s="16">
        <f t="shared" si="525"/>
        <v>4.441842030740915</v>
      </c>
      <c r="AU121" s="16">
        <f>IFERROR(AU57/AP57*100-100,"")</f>
        <v>-11.07225535305983</v>
      </c>
      <c r="AV121" s="16">
        <f t="shared" ref="AV121:AY121" si="526">IFERROR(AV57/AQ57*100-100,"")</f>
        <v>-2.1846800595611739</v>
      </c>
      <c r="AW121" s="16">
        <f t="shared" si="526"/>
        <v>8.8242757761522768</v>
      </c>
      <c r="AX121" s="16">
        <f t="shared" si="526"/>
        <v>9.7043967271138314</v>
      </c>
      <c r="AY121" s="16">
        <f t="shared" si="526"/>
        <v>2.6479720843769314</v>
      </c>
      <c r="AZ121" s="16">
        <f>IFERROR(AZ57/AU57*100-100,"")</f>
        <v>-6.2345723652232579</v>
      </c>
      <c r="BA121" s="16">
        <f t="shared" ref="BA121:BD121" si="527">IFERROR(BA57/AV57*100-100,"")</f>
        <v>12.219873148902607</v>
      </c>
      <c r="BB121" s="16">
        <f t="shared" si="527"/>
        <v>-3.3513635619704587</v>
      </c>
      <c r="BC121" s="16">
        <f t="shared" si="527"/>
        <v>2.836377083248081</v>
      </c>
      <c r="BD121" s="16">
        <f t="shared" si="527"/>
        <v>1.5319006883394337</v>
      </c>
      <c r="BE121" s="16">
        <f>IFERROR(BE57/AZ57*100-100,"")</f>
        <v>-78.859126055000175</v>
      </c>
      <c r="BF121" s="16">
        <f t="shared" ref="BF121:BI121" si="528">IFERROR(BF57/BA57*100-100,"")</f>
        <v>-37.658042324260165</v>
      </c>
      <c r="BG121" s="16">
        <f t="shared" si="528"/>
        <v>-13.073433724366694</v>
      </c>
      <c r="BH121" s="16">
        <f t="shared" si="528"/>
        <v>74.713049187059198</v>
      </c>
      <c r="BI121" s="16">
        <f t="shared" si="528"/>
        <v>6.6868157603082068E-2</v>
      </c>
      <c r="BJ121" s="16">
        <f>IFERROR(BJ57/BE57*100-100,"")</f>
        <v>384.03716055038279</v>
      </c>
      <c r="BK121" s="16">
        <f t="shared" ref="BK121:BN121" si="529">IFERROR(BK57/BF57*100-100,"")</f>
        <v>-70.612309563636003</v>
      </c>
      <c r="BL121" s="16">
        <f t="shared" si="529"/>
        <v>24.374535068335689</v>
      </c>
      <c r="BM121" s="16">
        <f t="shared" si="529"/>
        <v>-80.044569995731194</v>
      </c>
      <c r="BN121" s="16">
        <f t="shared" si="529"/>
        <v>-38.679537235631855</v>
      </c>
      <c r="BO121" s="16">
        <f>IFERROR(BO57/BJ57*100-100,"")</f>
        <v>-40.72877964823148</v>
      </c>
      <c r="BP121" s="16">
        <f t="shared" ref="BP121:BS121" si="530">IFERROR(BP57/BK57*100-100,"")</f>
        <v>199.46320223861926</v>
      </c>
      <c r="BQ121" s="16">
        <f t="shared" si="530"/>
        <v>-40.639122870390707</v>
      </c>
      <c r="BR121" s="16">
        <f t="shared" si="530"/>
        <v>39.977497944257635</v>
      </c>
      <c r="BS121" s="16">
        <f t="shared" si="530"/>
        <v>-8.3315650510621424</v>
      </c>
      <c r="BT121" s="16">
        <f>IFERROR(BT57/BO57*100-100,"")</f>
        <v>41.29341143716249</v>
      </c>
      <c r="BU121" s="16">
        <f t="shared" ref="BU121:BX121" si="531">IFERROR(BU57/BP57*100-100,"")</f>
        <v>17.289121295407156</v>
      </c>
      <c r="BV121" s="16">
        <f t="shared" si="531"/>
        <v>-31.802490256937276</v>
      </c>
      <c r="BW121" s="16">
        <f t="shared" si="531"/>
        <v>1.8246117436981848</v>
      </c>
      <c r="BX121" s="16">
        <f t="shared" si="531"/>
        <v>1.9229448378516025</v>
      </c>
      <c r="BY121" s="16">
        <f>IFERROR(BY57/BT57*100-100,"")</f>
        <v>-7.2955053111079451</v>
      </c>
      <c r="BZ121" s="16">
        <f t="shared" ref="BZ121:CC121" si="532">IFERROR(BZ57/BU57*100-100,"")</f>
        <v>-3.3612483891982237</v>
      </c>
      <c r="CA121" s="16">
        <f t="shared" si="532"/>
        <v>-11.803530904117693</v>
      </c>
      <c r="CB121" s="16">
        <f t="shared" si="532"/>
        <v>-35.478532478419638</v>
      </c>
      <c r="CC121" s="16">
        <f t="shared" si="532"/>
        <v>-15.375349109123931</v>
      </c>
      <c r="CD121" s="16">
        <f>IFERROR(CD57/BY57*100-100,"")</f>
        <v>15.498573303312597</v>
      </c>
      <c r="CE121" s="16">
        <f t="shared" ref="CE121:CH121" si="533">IFERROR(CE57/BZ57*100-100,"")</f>
        <v>-17.275432554201942</v>
      </c>
      <c r="CF121" s="16">
        <f t="shared" si="533"/>
        <v>39.881203650379405</v>
      </c>
      <c r="CG121" s="16">
        <f t="shared" si="533"/>
        <v>0.19841128017283438</v>
      </c>
      <c r="CH121" s="16">
        <f t="shared" si="533"/>
        <v>7.3656105005784269</v>
      </c>
      <c r="CI121" s="16">
        <f>IFERROR(CI57/CD57*100-100,"")</f>
        <v>-28.890604555439651</v>
      </c>
      <c r="CJ121" s="16">
        <f t="shared" ref="CJ121:CM121" si="534">IFERROR(CJ57/CE57*100-100,"")</f>
        <v>-20.441959939733394</v>
      </c>
      <c r="CK121" s="16">
        <f t="shared" si="534"/>
        <v>-21.690034441968891</v>
      </c>
      <c r="CL121" s="16">
        <f t="shared" si="534"/>
        <v>14.3696805200602</v>
      </c>
      <c r="CM121" s="16">
        <f t="shared" si="534"/>
        <v>-15.959881890733229</v>
      </c>
      <c r="CN121" s="16">
        <f>IFERROR(CN57/CI57*100-100,"")</f>
        <v>-100</v>
      </c>
      <c r="CO121" s="16">
        <f t="shared" ref="CO121:CR121" si="535">IFERROR(CO57/CJ57*100-100,"")</f>
        <v>-100</v>
      </c>
      <c r="CP121" s="16">
        <f t="shared" si="535"/>
        <v>-100</v>
      </c>
      <c r="CQ121" s="16">
        <f t="shared" si="535"/>
        <v>-100</v>
      </c>
      <c r="CR121" s="16">
        <f t="shared" si="535"/>
        <v>-100</v>
      </c>
    </row>
    <row r="122" spans="1:96" s="9" customFormat="1" ht="15" x14ac:dyDescent="0.4">
      <c r="A122" s="25"/>
      <c r="B122" s="42"/>
      <c r="C122" s="42"/>
      <c r="D122" s="42"/>
      <c r="E122" s="42"/>
      <c r="F122" s="42"/>
      <c r="G122" s="22"/>
      <c r="H122" s="22"/>
      <c r="I122" s="22"/>
      <c r="J122" s="22"/>
      <c r="K122" s="24"/>
      <c r="L122" s="22"/>
      <c r="M122" s="22"/>
      <c r="N122" s="22"/>
      <c r="O122" s="22"/>
      <c r="P122" s="24"/>
      <c r="Q122" s="22"/>
      <c r="R122" s="22"/>
      <c r="S122" s="22"/>
      <c r="T122" s="22"/>
      <c r="U122" s="24"/>
      <c r="V122" s="22"/>
      <c r="W122" s="22"/>
      <c r="X122" s="22"/>
      <c r="Y122" s="22"/>
      <c r="Z122" s="24"/>
      <c r="AA122" s="22"/>
      <c r="AB122" s="22"/>
      <c r="AC122" s="22"/>
      <c r="AD122" s="22"/>
      <c r="AE122" s="24"/>
      <c r="AF122" s="22"/>
      <c r="AG122" s="22"/>
      <c r="AH122" s="22"/>
      <c r="AI122" s="22"/>
      <c r="AJ122" s="24"/>
      <c r="AK122" s="22"/>
      <c r="AL122" s="22"/>
      <c r="AM122" s="22"/>
      <c r="AN122" s="22"/>
      <c r="AO122" s="24"/>
      <c r="AP122" s="22"/>
      <c r="AQ122" s="22"/>
      <c r="AR122" s="22"/>
      <c r="AS122" s="22"/>
      <c r="AT122" s="24"/>
      <c r="AU122" s="22"/>
      <c r="AV122" s="22"/>
      <c r="AW122" s="22"/>
      <c r="AX122" s="22"/>
      <c r="AY122" s="24"/>
      <c r="AZ122" s="22"/>
      <c r="BA122" s="22"/>
      <c r="BB122" s="22"/>
      <c r="BC122" s="22"/>
      <c r="BD122" s="24"/>
      <c r="BE122" s="22"/>
      <c r="BF122" s="22"/>
      <c r="BG122" s="22"/>
      <c r="BH122" s="22"/>
      <c r="BI122" s="24"/>
      <c r="BJ122" s="22"/>
      <c r="BK122" s="22"/>
      <c r="BL122" s="22"/>
      <c r="BM122" s="22"/>
      <c r="BN122" s="24"/>
      <c r="BO122" s="22"/>
      <c r="BP122" s="22"/>
      <c r="BQ122" s="22"/>
      <c r="BR122" s="22"/>
      <c r="BS122" s="24"/>
      <c r="BT122" s="22"/>
      <c r="BU122" s="22"/>
      <c r="BV122" s="22"/>
      <c r="BW122" s="22"/>
      <c r="BX122" s="24"/>
      <c r="BY122" s="22"/>
      <c r="BZ122" s="22"/>
      <c r="CA122" s="22"/>
      <c r="CB122" s="22"/>
      <c r="CC122" s="24"/>
      <c r="CD122" s="22"/>
      <c r="CE122" s="22"/>
      <c r="CF122" s="22"/>
      <c r="CG122" s="22"/>
      <c r="CH122" s="24"/>
      <c r="CI122" s="22"/>
      <c r="CJ122" s="22"/>
      <c r="CK122" s="22"/>
      <c r="CL122" s="22"/>
      <c r="CM122" s="24"/>
      <c r="CN122" s="22"/>
      <c r="CO122" s="22"/>
      <c r="CP122" s="22"/>
      <c r="CQ122" s="22"/>
      <c r="CR122" s="24"/>
    </row>
    <row r="123" spans="1:96" s="17" customFormat="1" ht="15" x14ac:dyDescent="0.4">
      <c r="A123" s="15" t="s">
        <v>94</v>
      </c>
      <c r="B123" s="37"/>
      <c r="C123" s="37"/>
      <c r="D123" s="37"/>
      <c r="E123" s="37"/>
      <c r="F123" s="37"/>
      <c r="G123" s="16">
        <f>IFERROR(G59/B59*100-100,"")</f>
        <v>3.1842325115200651</v>
      </c>
      <c r="H123" s="16">
        <f t="shared" ref="H123:K123" si="536">IFERROR(H59/C59*100-100,"")</f>
        <v>0.29889058818727676</v>
      </c>
      <c r="I123" s="16">
        <f t="shared" si="536"/>
        <v>4.7709422345353829</v>
      </c>
      <c r="J123" s="16">
        <f t="shared" si="536"/>
        <v>6.7134300714730699</v>
      </c>
      <c r="K123" s="16">
        <f t="shared" si="536"/>
        <v>3.9352372136085307</v>
      </c>
      <c r="L123" s="16">
        <f>IFERROR(L59/G59*100-100,"")</f>
        <v>-4.3036461946449549</v>
      </c>
      <c r="M123" s="16">
        <f t="shared" ref="M123:P123" si="537">IFERROR(M59/H59*100-100,"")</f>
        <v>1.7636364906988007</v>
      </c>
      <c r="N123" s="16">
        <f t="shared" si="537"/>
        <v>-2.8549342211185973</v>
      </c>
      <c r="O123" s="16">
        <f t="shared" si="537"/>
        <v>25.888747645478929</v>
      </c>
      <c r="P123" s="16">
        <f t="shared" si="537"/>
        <v>6.7267942760678636</v>
      </c>
      <c r="Q123" s="16">
        <f>IFERROR(Q59/L59*100-100,"")</f>
        <v>16.5777950609572</v>
      </c>
      <c r="R123" s="16" t="str">
        <f t="shared" ref="R123:U123" si="538">IFERROR(R59/M59*100-100,"")</f>
        <v/>
      </c>
      <c r="S123" s="16">
        <f t="shared" si="538"/>
        <v>20.849834451511711</v>
      </c>
      <c r="T123" s="16">
        <f t="shared" si="538"/>
        <v>-5.9471521330449235</v>
      </c>
      <c r="U123" s="16" t="str">
        <f t="shared" si="538"/>
        <v/>
      </c>
      <c r="V123" s="16">
        <f>IFERROR(V59/Q59*100-100,"")</f>
        <v>16.514400552515866</v>
      </c>
      <c r="W123" s="16" t="str">
        <f t="shared" ref="W123:Z123" si="539">IFERROR(W59/R59*100-100,"")</f>
        <v/>
      </c>
      <c r="X123" s="16">
        <f t="shared" si="539"/>
        <v>23.961174078201424</v>
      </c>
      <c r="Y123" s="16">
        <f t="shared" si="539"/>
        <v>4.2648471980596696</v>
      </c>
      <c r="Z123" s="16" t="str">
        <f t="shared" si="539"/>
        <v/>
      </c>
      <c r="AA123" s="16">
        <f>IFERROR(AA59/V59*100-100,"")</f>
        <v>17.965478908960037</v>
      </c>
      <c r="AB123" s="16">
        <f t="shared" ref="AB123:AE123" si="540">IFERROR(AB59/W59*100-100,"")</f>
        <v>3.4737982446465736</v>
      </c>
      <c r="AC123" s="16">
        <f t="shared" si="540"/>
        <v>5.4511921260221357</v>
      </c>
      <c r="AD123" s="16">
        <f t="shared" si="540"/>
        <v>8.3020906862393105</v>
      </c>
      <c r="AE123" s="16">
        <f t="shared" si="540"/>
        <v>8.2289100975383178</v>
      </c>
      <c r="AF123" s="16">
        <f>IFERROR(AF59/AA59*100-100,"")</f>
        <v>1.3087686403890473</v>
      </c>
      <c r="AG123" s="16">
        <f t="shared" ref="AG123:AJ123" si="541">IFERROR(AG59/AB59*100-100,"")</f>
        <v>-5.8819375110758187E-2</v>
      </c>
      <c r="AH123" s="16">
        <f t="shared" si="541"/>
        <v>7.1868279373167923</v>
      </c>
      <c r="AI123" s="16">
        <f t="shared" si="541"/>
        <v>10.429916112908913</v>
      </c>
      <c r="AJ123" s="16">
        <f t="shared" si="541"/>
        <v>4.9637594214830187</v>
      </c>
      <c r="AK123" s="16">
        <f>IFERROR(AK59/AF59*100-100,"")</f>
        <v>9.4353917988277942</v>
      </c>
      <c r="AL123" s="16">
        <f t="shared" ref="AL123:AO123" si="542">IFERROR(AL59/AG59*100-100,"")</f>
        <v>7.3139519891625326</v>
      </c>
      <c r="AM123" s="16">
        <f t="shared" si="542"/>
        <v>6.8620204716059732</v>
      </c>
      <c r="AN123" s="16">
        <f t="shared" si="542"/>
        <v>10.101187963578155</v>
      </c>
      <c r="AO123" s="16">
        <f t="shared" si="542"/>
        <v>8.4505103151840615</v>
      </c>
      <c r="AP123" s="16">
        <f>IFERROR(AP59/AK59*100-100,"")</f>
        <v>10.846797431545838</v>
      </c>
      <c r="AQ123" s="16">
        <f t="shared" ref="AQ123:AT123" si="543">IFERROR(AQ59/AL59*100-100,"")</f>
        <v>4.5010633538500571</v>
      </c>
      <c r="AR123" s="16">
        <f t="shared" si="543"/>
        <v>3.9990282427468458</v>
      </c>
      <c r="AS123" s="16">
        <f t="shared" si="543"/>
        <v>0.73221308548569652</v>
      </c>
      <c r="AT123" s="16">
        <f t="shared" si="543"/>
        <v>4.6218905006222997</v>
      </c>
      <c r="AU123" s="16">
        <f>IFERROR(AU59/AP59*100-100,"")</f>
        <v>0.80046173377890284</v>
      </c>
      <c r="AV123" s="16">
        <f t="shared" ref="AV123:AY123" si="544">IFERROR(AV59/AQ59*100-100,"")</f>
        <v>3.1306599225004845</v>
      </c>
      <c r="AW123" s="16">
        <f t="shared" si="544"/>
        <v>6.3049520350007668</v>
      </c>
      <c r="AX123" s="16">
        <f t="shared" si="544"/>
        <v>4.9735495171703263</v>
      </c>
      <c r="AY123" s="16">
        <f t="shared" si="544"/>
        <v>3.9315678008171346</v>
      </c>
      <c r="AZ123" s="16">
        <f>IFERROR(AZ59/AU59*100-100,"")</f>
        <v>2.177169369244254</v>
      </c>
      <c r="BA123" s="16">
        <f t="shared" ref="BA123:BD123" si="545">IFERROR(BA59/AV59*100-100,"")</f>
        <v>3.4120692086221567</v>
      </c>
      <c r="BB123" s="16">
        <f t="shared" si="545"/>
        <v>-0.17382358769955886</v>
      </c>
      <c r="BC123" s="16">
        <f t="shared" si="545"/>
        <v>0.72691586057462132</v>
      </c>
      <c r="BD123" s="16">
        <f t="shared" si="545"/>
        <v>1.4422909274038602</v>
      </c>
      <c r="BE123" s="16">
        <f>IFERROR(BE59/AZ59*100-100,"")</f>
        <v>-4.9673898389230686</v>
      </c>
      <c r="BF123" s="16">
        <f t="shared" ref="BF123:BI123" si="546">IFERROR(BF59/BA59*100-100,"")</f>
        <v>-2.0802488738366236</v>
      </c>
      <c r="BG123" s="16">
        <f t="shared" si="546"/>
        <v>3.815491820914076</v>
      </c>
      <c r="BH123" s="16">
        <f t="shared" si="546"/>
        <v>11.381667329110613</v>
      </c>
      <c r="BI123" s="16">
        <f t="shared" si="546"/>
        <v>2.6038010654095132</v>
      </c>
      <c r="BJ123" s="16">
        <f>IFERROR(BJ59/BE59*100-100,"")</f>
        <v>-10.256091189770913</v>
      </c>
      <c r="BK123" s="16">
        <f t="shared" ref="BK123:BN123" si="547">IFERROR(BK59/BF59*100-100,"")</f>
        <v>-17.889869914663151</v>
      </c>
      <c r="BL123" s="16">
        <f t="shared" si="547"/>
        <v>-12.40679309760236</v>
      </c>
      <c r="BM123" s="16">
        <f t="shared" si="547"/>
        <v>-23.123781255787321</v>
      </c>
      <c r="BN123" s="16">
        <f t="shared" si="547"/>
        <v>-16.516048573119718</v>
      </c>
      <c r="BO123" s="16">
        <f>IFERROR(BO59/BJ59*100-100,"")</f>
        <v>-10.671699918817325</v>
      </c>
      <c r="BP123" s="16">
        <f t="shared" ref="BP123:BS123" si="548">IFERROR(BP59/BK59*100-100,"")</f>
        <v>12.360431445719428</v>
      </c>
      <c r="BQ123" s="16">
        <f t="shared" si="548"/>
        <v>-9.8347406460816558</v>
      </c>
      <c r="BR123" s="16">
        <f t="shared" si="548"/>
        <v>10.868357049653014</v>
      </c>
      <c r="BS123" s="16">
        <f t="shared" si="548"/>
        <v>0.83769329141350113</v>
      </c>
      <c r="BT123" s="16">
        <f>IFERROR(BT59/BO59*100-100,"")</f>
        <v>0.78043441811590242</v>
      </c>
      <c r="BU123" s="16">
        <f t="shared" ref="BU123:BX123" si="549">IFERROR(BU59/BP59*100-100,"")</f>
        <v>-9.9676526832072483</v>
      </c>
      <c r="BV123" s="16">
        <f t="shared" si="549"/>
        <v>-0.28572297109400324</v>
      </c>
      <c r="BW123" s="16">
        <f t="shared" si="549"/>
        <v>-2.0802093115207896</v>
      </c>
      <c r="BX123" s="16">
        <f t="shared" si="549"/>
        <v>-3.0647934829917034</v>
      </c>
      <c r="BY123" s="16">
        <f>IFERROR(BY59/BT59*100-100,"")</f>
        <v>-1.1942876069730488</v>
      </c>
      <c r="BZ123" s="16">
        <f t="shared" ref="BZ123:CC123" si="550">IFERROR(BZ59/BU59*100-100,"")</f>
        <v>2.0667511237546989</v>
      </c>
      <c r="CA123" s="16">
        <f t="shared" si="550"/>
        <v>-4.9529313410841382</v>
      </c>
      <c r="CB123" s="16">
        <f t="shared" si="550"/>
        <v>-7.6172302369463836</v>
      </c>
      <c r="CC123" s="16">
        <f t="shared" si="550"/>
        <v>-3.3938385183998889</v>
      </c>
      <c r="CD123" s="16">
        <f>IFERROR(CD59/BY59*100-100,"")</f>
        <v>4.8239622161356834</v>
      </c>
      <c r="CE123" s="16">
        <f t="shared" ref="CE123:CH123" si="551">IFERROR(CE59/BZ59*100-100,"")</f>
        <v>0.35778271969510911</v>
      </c>
      <c r="CF123" s="16">
        <f t="shared" si="551"/>
        <v>0.20041333184555299</v>
      </c>
      <c r="CG123" s="16">
        <f t="shared" si="551"/>
        <v>1.3553695194501501</v>
      </c>
      <c r="CH123" s="16">
        <f t="shared" si="551"/>
        <v>1.5444784188223508</v>
      </c>
      <c r="CI123" s="16">
        <f>IFERROR(CI59/CD59*100-100,"")</f>
        <v>-0.79259775558354306</v>
      </c>
      <c r="CJ123" s="16">
        <f t="shared" ref="CJ123:CM123" si="552">IFERROR(CJ59/CE59*100-100,"")</f>
        <v>-8.1340622726974345</v>
      </c>
      <c r="CK123" s="16">
        <f t="shared" si="552"/>
        <v>-5.973539726644276</v>
      </c>
      <c r="CL123" s="16">
        <f t="shared" si="552"/>
        <v>-13.49666481700342</v>
      </c>
      <c r="CM123" s="16">
        <f t="shared" si="552"/>
        <v>-7.6484721851858097</v>
      </c>
      <c r="CN123" s="16">
        <f>IFERROR(CN59/CI59*100-100,"")</f>
        <v>-100</v>
      </c>
      <c r="CO123" s="16">
        <f t="shared" ref="CO123:CR123" si="553">IFERROR(CO59/CJ59*100-100,"")</f>
        <v>-100</v>
      </c>
      <c r="CP123" s="16">
        <f t="shared" si="553"/>
        <v>-100</v>
      </c>
      <c r="CQ123" s="16">
        <f t="shared" si="553"/>
        <v>-100</v>
      </c>
      <c r="CR123" s="16">
        <f t="shared" si="553"/>
        <v>-100</v>
      </c>
    </row>
    <row r="124" spans="1:96" s="9" customFormat="1" ht="15" x14ac:dyDescent="0.4">
      <c r="A124" s="43"/>
      <c r="B124" s="44"/>
      <c r="C124" s="44"/>
      <c r="D124" s="44"/>
      <c r="E124" s="44"/>
      <c r="F124" s="44"/>
      <c r="G124" s="45"/>
      <c r="H124" s="45"/>
      <c r="I124" s="45"/>
      <c r="J124" s="45"/>
      <c r="K124" s="46"/>
      <c r="L124" s="45"/>
      <c r="M124" s="45"/>
      <c r="N124" s="45"/>
      <c r="O124" s="45"/>
      <c r="P124" s="46"/>
      <c r="Q124" s="45"/>
      <c r="R124" s="45"/>
      <c r="S124" s="45"/>
      <c r="T124" s="45"/>
      <c r="U124" s="46"/>
      <c r="V124" s="45"/>
      <c r="W124" s="45"/>
      <c r="X124" s="45"/>
      <c r="Y124" s="45"/>
      <c r="Z124" s="46"/>
      <c r="AA124" s="45"/>
      <c r="AB124" s="45"/>
      <c r="AC124" s="45"/>
      <c r="AD124" s="45"/>
      <c r="AE124" s="46"/>
      <c r="AF124" s="45"/>
      <c r="AG124" s="45"/>
      <c r="AH124" s="45"/>
      <c r="AI124" s="45"/>
      <c r="AJ124" s="46"/>
      <c r="AK124" s="45"/>
      <c r="AL124" s="45"/>
      <c r="AM124" s="45"/>
      <c r="AN124" s="45"/>
      <c r="AO124" s="46"/>
      <c r="AP124" s="45"/>
      <c r="AQ124" s="45"/>
      <c r="AR124" s="45"/>
      <c r="AS124" s="45"/>
      <c r="AT124" s="46"/>
      <c r="AU124" s="45"/>
      <c r="AV124" s="45"/>
      <c r="AW124" s="45"/>
      <c r="AX124" s="45"/>
      <c r="AY124" s="46"/>
      <c r="AZ124" s="45"/>
      <c r="BA124" s="45"/>
      <c r="BB124" s="45"/>
      <c r="BC124" s="45"/>
      <c r="BD124" s="46"/>
      <c r="BE124" s="45"/>
      <c r="BF124" s="45"/>
      <c r="BG124" s="45"/>
      <c r="BH124" s="45"/>
      <c r="BI124" s="46"/>
      <c r="BJ124" s="45"/>
      <c r="BK124" s="45"/>
      <c r="BL124" s="45"/>
      <c r="BM124" s="45"/>
      <c r="BN124" s="46"/>
      <c r="BO124" s="45"/>
      <c r="BP124" s="45"/>
      <c r="BQ124" s="45"/>
      <c r="BR124" s="45"/>
      <c r="BS124" s="46"/>
      <c r="BT124" s="45"/>
      <c r="BU124" s="45"/>
      <c r="BV124" s="45"/>
      <c r="BW124" s="45"/>
      <c r="BX124" s="46"/>
      <c r="BY124" s="45"/>
      <c r="BZ124" s="45"/>
      <c r="CA124" s="45"/>
      <c r="CB124" s="45"/>
      <c r="CC124" s="46"/>
      <c r="CD124" s="45"/>
      <c r="CE124" s="45"/>
      <c r="CF124" s="45"/>
      <c r="CG124" s="45"/>
      <c r="CH124" s="46"/>
      <c r="CI124" s="45"/>
      <c r="CJ124" s="45"/>
      <c r="CK124" s="45"/>
      <c r="CL124" s="45"/>
      <c r="CM124" s="46"/>
      <c r="CN124" s="45"/>
      <c r="CO124" s="45"/>
      <c r="CP124" s="45"/>
      <c r="CQ124" s="45"/>
      <c r="CR124" s="46"/>
    </row>
    <row r="125" spans="1:96" s="9" customFormat="1" ht="23.25" customHeight="1" x14ac:dyDescent="0.3">
      <c r="A125" s="47" t="s">
        <v>95</v>
      </c>
      <c r="B125" s="48"/>
      <c r="C125" s="48"/>
      <c r="D125" s="48"/>
      <c r="E125" s="48"/>
      <c r="F125" s="48"/>
      <c r="G125" s="49">
        <f>IFERROR(G61/B61*100-100,"")</f>
        <v>7.4517138547181219</v>
      </c>
      <c r="H125" s="49">
        <f t="shared" ref="H125:K125" si="554">IFERROR(H61/C61*100-100,"")</f>
        <v>6.3462989433531476</v>
      </c>
      <c r="I125" s="49">
        <f t="shared" si="554"/>
        <v>7.143241572901232</v>
      </c>
      <c r="J125" s="49">
        <f t="shared" si="554"/>
        <v>7.4441958132730264</v>
      </c>
      <c r="K125" s="49">
        <f t="shared" si="554"/>
        <v>7.0988926515406234</v>
      </c>
      <c r="L125" s="49">
        <f>IFERROR(L61/G61*100-100,"")</f>
        <v>7.0428467309297389</v>
      </c>
      <c r="M125" s="49">
        <f t="shared" ref="M125:P125" si="555">IFERROR(M61/H61*100-100,"")</f>
        <v>9.0090800265324731</v>
      </c>
      <c r="N125" s="49">
        <f t="shared" si="555"/>
        <v>8.5954728380600613</v>
      </c>
      <c r="O125" s="49">
        <f t="shared" si="555"/>
        <v>6.8414578977481995</v>
      </c>
      <c r="P125" s="49">
        <f t="shared" si="555"/>
        <v>7.8631633100608269</v>
      </c>
      <c r="Q125" s="49">
        <f>IFERROR(Q61/L61*100-100,"")</f>
        <v>7.0254756458752752</v>
      </c>
      <c r="R125" s="49" t="str">
        <f t="shared" ref="R125:U125" si="556">IFERROR(R61/M61*100-100,"")</f>
        <v/>
      </c>
      <c r="S125" s="49">
        <f t="shared" si="556"/>
        <v>7.3418692109752186</v>
      </c>
      <c r="T125" s="49">
        <f t="shared" si="556"/>
        <v>10.177332977119022</v>
      </c>
      <c r="U125" s="49" t="str">
        <f t="shared" si="556"/>
        <v/>
      </c>
      <c r="V125" s="49">
        <f>IFERROR(V61/Q61*100-100,"")</f>
        <v>8.8341768308687278</v>
      </c>
      <c r="W125" s="49" t="str">
        <f t="shared" ref="W125:Z125" si="557">IFERROR(W61/R61*100-100,"")</f>
        <v/>
      </c>
      <c r="X125" s="49">
        <f t="shared" si="557"/>
        <v>6.4599503667039215</v>
      </c>
      <c r="Y125" s="49">
        <f t="shared" si="557"/>
        <v>3.0796590671237993</v>
      </c>
      <c r="Z125" s="49" t="str">
        <f t="shared" si="557"/>
        <v/>
      </c>
      <c r="AA125" s="49">
        <f>IFERROR(AA61/V61*100-100,"")</f>
        <v>2.5943105834689675</v>
      </c>
      <c r="AB125" s="49">
        <f t="shared" ref="AB125:AE125" si="558">IFERROR(AB61/W61*100-100,"")</f>
        <v>2.6375426052401849</v>
      </c>
      <c r="AC125" s="49">
        <f t="shared" si="558"/>
        <v>5.6465369752087184</v>
      </c>
      <c r="AD125" s="49">
        <f t="shared" si="558"/>
        <v>9.5480355784681734</v>
      </c>
      <c r="AE125" s="49">
        <f t="shared" si="558"/>
        <v>5.1497817613969943</v>
      </c>
      <c r="AF125" s="49">
        <f>IFERROR(AF61/AA61*100-100,"")</f>
        <v>8.8954167228493048</v>
      </c>
      <c r="AG125" s="49">
        <f t="shared" ref="AG125:AJ125" si="559">IFERROR(AG61/AB61*100-100,"")</f>
        <v>7.5816771542036747</v>
      </c>
      <c r="AH125" s="49">
        <f t="shared" si="559"/>
        <v>6.3680308143024433</v>
      </c>
      <c r="AI125" s="49">
        <f t="shared" si="559"/>
        <v>3.4066426609846445</v>
      </c>
      <c r="AJ125" s="49">
        <f t="shared" si="559"/>
        <v>6.4751330461222381</v>
      </c>
      <c r="AK125" s="49">
        <f>IFERROR(AK61/AF61*100-100,"")</f>
        <v>4.2236389977340565</v>
      </c>
      <c r="AL125" s="49">
        <f t="shared" ref="AL125:AO125" si="560">IFERROR(AL61/AG61*100-100,"")</f>
        <v>5.8226495770176854</v>
      </c>
      <c r="AM125" s="49">
        <f t="shared" si="560"/>
        <v>6.4222444251947195</v>
      </c>
      <c r="AN125" s="49">
        <f t="shared" si="560"/>
        <v>7.5334802463307113</v>
      </c>
      <c r="AO125" s="49">
        <f t="shared" si="560"/>
        <v>6.0282806203064183</v>
      </c>
      <c r="AP125" s="49">
        <f>IFERROR(AP61/AK61*100-100,"")</f>
        <v>6.0510487115417106</v>
      </c>
      <c r="AQ125" s="49">
        <f t="shared" ref="AQ125:AT125" si="561">IFERROR(AQ61/AL61*100-100,"")</f>
        <v>6.7322630035532711</v>
      </c>
      <c r="AR125" s="49">
        <f t="shared" si="561"/>
        <v>5.6713046730185255</v>
      </c>
      <c r="AS125" s="49">
        <f t="shared" si="561"/>
        <v>5.1722375998856478</v>
      </c>
      <c r="AT125" s="49">
        <f t="shared" si="561"/>
        <v>5.891862478303068</v>
      </c>
      <c r="AU125" s="49">
        <f>IFERROR(AU61/AP61*100-100,"")</f>
        <v>6.5261534138702899</v>
      </c>
      <c r="AV125" s="49">
        <f t="shared" ref="AV125:AY125" si="562">IFERROR(AV61/AQ61*100-100,"")</f>
        <v>5.5017712208547351</v>
      </c>
      <c r="AW125" s="49">
        <f t="shared" si="562"/>
        <v>5.9846231344406817</v>
      </c>
      <c r="AX125" s="49">
        <f t="shared" si="562"/>
        <v>5.617081769113156</v>
      </c>
      <c r="AY125" s="49">
        <f t="shared" si="562"/>
        <v>5.8986098714907342</v>
      </c>
      <c r="AZ125" s="49">
        <f>IFERROR(AZ61/AU61*100-100,"")</f>
        <v>5.4668711467967626</v>
      </c>
      <c r="BA125" s="49">
        <f t="shared" ref="BA125:BD125" si="563">IFERROR(BA61/AV61*100-100,"")</f>
        <v>5.5113520107819056</v>
      </c>
      <c r="BB125" s="49">
        <f t="shared" si="563"/>
        <v>6.7831283345065572</v>
      </c>
      <c r="BC125" s="49">
        <f t="shared" si="563"/>
        <v>6.1663727418781207</v>
      </c>
      <c r="BD125" s="49">
        <f t="shared" si="563"/>
        <v>5.9925059309856579</v>
      </c>
      <c r="BE125" s="49">
        <f>IFERROR(BE61/AZ61*100-100,"")</f>
        <v>6.4833610337002625</v>
      </c>
      <c r="BF125" s="49">
        <f t="shared" ref="BF125:BI125" si="564">IFERROR(BF61/BA61*100-100,"")</f>
        <v>6.8491923953228024</v>
      </c>
      <c r="BG125" s="49">
        <f t="shared" si="564"/>
        <v>5.5171275019482096</v>
      </c>
      <c r="BH125" s="49">
        <f t="shared" si="564"/>
        <v>5.141275236647985</v>
      </c>
      <c r="BI125" s="49">
        <f t="shared" si="564"/>
        <v>5.9777945501680705</v>
      </c>
      <c r="BJ125" s="49">
        <f>IFERROR(BJ61/BE61*100-100,"")</f>
        <v>4.4072999990145973</v>
      </c>
      <c r="BK125" s="49">
        <f t="shared" ref="BK125:BN125" si="565">IFERROR(BK61/BF61*100-100,"")</f>
        <v>-0.12803602004606773</v>
      </c>
      <c r="BL125" s="49">
        <f t="shared" si="565"/>
        <v>-1.2850239780826485</v>
      </c>
      <c r="BM125" s="49">
        <f t="shared" si="565"/>
        <v>-2.8310298255863557</v>
      </c>
      <c r="BN125" s="49">
        <f t="shared" si="565"/>
        <v>-2.9554747626718836E-2</v>
      </c>
      <c r="BO125" s="49">
        <f>IFERROR(BO61/BJ61*100-100,"")</f>
        <v>-0.78584195433818138</v>
      </c>
      <c r="BP125" s="49">
        <f t="shared" ref="BP125:BS125" si="566">IFERROR(BP61/BK61*100-100,"")</f>
        <v>5.160324972152381</v>
      </c>
      <c r="BQ125" s="49">
        <f t="shared" si="566"/>
        <v>3.9490970925162117</v>
      </c>
      <c r="BR125" s="49">
        <f t="shared" si="566"/>
        <v>7.0011417420819697</v>
      </c>
      <c r="BS125" s="49">
        <f t="shared" si="566"/>
        <v>3.8265011509499374</v>
      </c>
      <c r="BT125" s="49">
        <f>IFERROR(BT61/BO61*100-100,"")</f>
        <v>3.980549219270074</v>
      </c>
      <c r="BU125" s="49">
        <f t="shared" ref="BU125:BX125" si="567">IFERROR(BU61/BP61*100-100,"")</f>
        <v>5.4402716748018776</v>
      </c>
      <c r="BV125" s="49">
        <f t="shared" si="567"/>
        <v>6.3692058191729899</v>
      </c>
      <c r="BW125" s="49">
        <f t="shared" si="567"/>
        <v>6.7192843460884006</v>
      </c>
      <c r="BX125" s="49">
        <f t="shared" si="567"/>
        <v>5.6539643603184686</v>
      </c>
      <c r="BY125" s="49">
        <f>IFERROR(BY61/BT61*100-100,"")</f>
        <v>5.5772893273116324</v>
      </c>
      <c r="BZ125" s="49">
        <f t="shared" ref="BZ125:CC125" si="568">IFERROR(BZ61/BU61*100-100,"")</f>
        <v>5.3483760518074206</v>
      </c>
      <c r="CA125" s="49">
        <f t="shared" si="568"/>
        <v>4.1814884883706043</v>
      </c>
      <c r="CB125" s="49">
        <f t="shared" si="568"/>
        <v>2.6837840674584896</v>
      </c>
      <c r="CC125" s="49">
        <f t="shared" si="568"/>
        <v>4.4116622361057125</v>
      </c>
      <c r="CD125" s="49">
        <f>IFERROR(CD61/BY61*100-100,"")</f>
        <v>5.0241348829056705</v>
      </c>
      <c r="CE125" s="49">
        <f t="shared" ref="CE125:CH125" si="569">IFERROR(CE61/BZ61*100-100,"")</f>
        <v>3.373557237855394</v>
      </c>
      <c r="CF125" s="49">
        <f t="shared" si="569"/>
        <v>5.037953487948073</v>
      </c>
      <c r="CG125" s="49">
        <f t="shared" si="569"/>
        <v>5.0525358805438856</v>
      </c>
      <c r="CH125" s="49">
        <f t="shared" si="569"/>
        <v>4.6181963294361452</v>
      </c>
      <c r="CI125" s="49">
        <f>IFERROR(CI61/CD61*100-100,"")</f>
        <v>5.2495683903091219</v>
      </c>
      <c r="CJ125" s="49">
        <f t="shared" ref="CJ125:CM125" si="570">IFERROR(CJ61/CE61*100-100,"")</f>
        <v>3.8084068849514381</v>
      </c>
      <c r="CK125" s="49">
        <f t="shared" si="570"/>
        <v>4.0200102907596857</v>
      </c>
      <c r="CL125" s="49">
        <f t="shared" si="570"/>
        <v>5.3110955851763748</v>
      </c>
      <c r="CM125" s="49">
        <f t="shared" si="570"/>
        <v>4.5948950489985663</v>
      </c>
      <c r="CN125" s="49">
        <f>IFERROR(CN61/CI61*100-100,"")</f>
        <v>-100</v>
      </c>
      <c r="CO125" s="49">
        <f t="shared" ref="CO125:CR125" si="571">IFERROR(CO61/CJ61*100-100,"")</f>
        <v>-100</v>
      </c>
      <c r="CP125" s="49">
        <f t="shared" si="571"/>
        <v>-100</v>
      </c>
      <c r="CQ125" s="49">
        <f t="shared" si="571"/>
        <v>-100</v>
      </c>
      <c r="CR125" s="49">
        <f t="shared" si="571"/>
        <v>-100</v>
      </c>
    </row>
    <row r="126" spans="1:96" s="9" customFormat="1" ht="15" x14ac:dyDescent="0.4">
      <c r="A126" s="28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  <c r="BH126" s="29"/>
      <c r="BI126" s="29"/>
      <c r="BJ126" s="29"/>
      <c r="BK126" s="29"/>
      <c r="BL126" s="29"/>
      <c r="BM126" s="29"/>
      <c r="BN126" s="29"/>
      <c r="BO126" s="29"/>
      <c r="BP126" s="29"/>
      <c r="BQ126" s="29"/>
      <c r="BR126" s="29"/>
      <c r="BS126" s="29"/>
      <c r="BT126" s="29"/>
      <c r="BU126" s="29"/>
      <c r="BV126" s="29"/>
      <c r="BW126" s="29"/>
      <c r="BX126" s="29"/>
      <c r="BY126" s="29"/>
      <c r="BZ126" s="29"/>
      <c r="CA126" s="29"/>
      <c r="CB126" s="29"/>
      <c r="CC126" s="29"/>
      <c r="CD126" s="29"/>
      <c r="CE126" s="29"/>
      <c r="CF126" s="29"/>
      <c r="CG126" s="29"/>
      <c r="CH126" s="29"/>
      <c r="CI126" s="29"/>
      <c r="CJ126" s="29"/>
      <c r="CK126" s="29"/>
      <c r="CL126" s="29"/>
      <c r="CM126" s="29"/>
      <c r="CN126" s="29"/>
      <c r="CO126" s="29"/>
      <c r="CP126" s="29"/>
      <c r="CQ126" s="29"/>
      <c r="CR126" s="29"/>
    </row>
    <row r="127" spans="1:96" s="31" customFormat="1" ht="15" x14ac:dyDescent="0.4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30"/>
      <c r="BV127" s="30"/>
      <c r="BW127" s="30"/>
      <c r="BX127" s="30"/>
      <c r="BY127" s="30"/>
      <c r="BZ127" s="30"/>
      <c r="CA127" s="30"/>
      <c r="CB127" s="30"/>
      <c r="CC127" s="30"/>
      <c r="CD127" s="30"/>
      <c r="CE127" s="30"/>
      <c r="CF127" s="30"/>
      <c r="CG127" s="30"/>
      <c r="CH127" s="30"/>
      <c r="CI127" s="30"/>
      <c r="CJ127" s="30"/>
      <c r="CK127" s="30"/>
      <c r="CL127" s="30"/>
      <c r="CM127" s="30"/>
      <c r="CN127" s="30"/>
      <c r="CO127" s="30"/>
      <c r="CP127" s="30"/>
      <c r="CQ127" s="30"/>
      <c r="CR127" s="30"/>
    </row>
    <row r="128" spans="1:96" s="31" customFormat="1" ht="15" x14ac:dyDescent="0.4">
      <c r="A128" s="32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  <c r="BU128" s="33"/>
      <c r="BV128" s="33"/>
      <c r="BW128" s="33"/>
      <c r="BX128" s="33"/>
      <c r="BY128" s="33"/>
      <c r="BZ128" s="33"/>
      <c r="CA128" s="33"/>
      <c r="CB128" s="33"/>
      <c r="CC128" s="33"/>
      <c r="CD128" s="33"/>
      <c r="CE128" s="33"/>
      <c r="CF128" s="33"/>
      <c r="CG128" s="33"/>
      <c r="CH128" s="33"/>
      <c r="CI128" s="33"/>
      <c r="CJ128" s="33"/>
      <c r="CK128" s="33"/>
      <c r="CL128" s="33"/>
      <c r="CM128" s="33"/>
      <c r="CN128" s="33"/>
      <c r="CO128" s="33"/>
      <c r="CP128" s="33"/>
      <c r="CQ128" s="33"/>
      <c r="CR128" s="33"/>
    </row>
    <row r="129" spans="1:96" ht="20" x14ac:dyDescent="0.4">
      <c r="A129" s="1" t="s">
        <v>99</v>
      </c>
    </row>
    <row r="130" spans="1:96" ht="20.5" thickBot="1" x14ac:dyDescent="0.45">
      <c r="A130" s="1" t="str">
        <f>A98</f>
        <v>Kabupaten/Kota :</v>
      </c>
      <c r="B130" s="34" t="str">
        <f>B98</f>
        <v>Kepuluauan Tanimbar</v>
      </c>
      <c r="L130" s="35"/>
      <c r="V130" s="35"/>
      <c r="AF130" s="35"/>
      <c r="AP130" s="35"/>
      <c r="AZ130" s="35"/>
      <c r="BJ130" s="35"/>
      <c r="BT130" s="35"/>
    </row>
    <row r="131" spans="1:96" s="9" customFormat="1" ht="24" customHeight="1" thickBot="1" x14ac:dyDescent="0.35">
      <c r="A131" s="5" t="s">
        <v>2</v>
      </c>
      <c r="B131" s="6" t="s">
        <v>3</v>
      </c>
      <c r="C131" s="6" t="s">
        <v>4</v>
      </c>
      <c r="D131" s="6" t="s">
        <v>5</v>
      </c>
      <c r="E131" s="6" t="s">
        <v>6</v>
      </c>
      <c r="F131" s="6">
        <v>2008</v>
      </c>
      <c r="G131" s="7" t="s">
        <v>7</v>
      </c>
      <c r="H131" s="7" t="s">
        <v>8</v>
      </c>
      <c r="I131" s="7" t="s">
        <v>9</v>
      </c>
      <c r="J131" s="7" t="s">
        <v>10</v>
      </c>
      <c r="K131" s="7">
        <v>2009</v>
      </c>
      <c r="L131" s="6" t="s">
        <v>11</v>
      </c>
      <c r="M131" s="6" t="s">
        <v>12</v>
      </c>
      <c r="N131" s="6" t="s">
        <v>13</v>
      </c>
      <c r="O131" s="6" t="s">
        <v>14</v>
      </c>
      <c r="P131" s="6">
        <v>2010</v>
      </c>
      <c r="Q131" s="7" t="s">
        <v>15</v>
      </c>
      <c r="R131" s="7" t="s">
        <v>16</v>
      </c>
      <c r="S131" s="7" t="s">
        <v>17</v>
      </c>
      <c r="T131" s="7" t="s">
        <v>18</v>
      </c>
      <c r="U131" s="7">
        <v>2011</v>
      </c>
      <c r="V131" s="6" t="s">
        <v>19</v>
      </c>
      <c r="W131" s="6" t="s">
        <v>20</v>
      </c>
      <c r="X131" s="6" t="s">
        <v>21</v>
      </c>
      <c r="Y131" s="6" t="s">
        <v>22</v>
      </c>
      <c r="Z131" s="6">
        <v>2012</v>
      </c>
      <c r="AA131" s="7" t="s">
        <v>23</v>
      </c>
      <c r="AB131" s="7" t="s">
        <v>24</v>
      </c>
      <c r="AC131" s="7" t="s">
        <v>25</v>
      </c>
      <c r="AD131" s="7" t="s">
        <v>26</v>
      </c>
      <c r="AE131" s="7">
        <v>2013</v>
      </c>
      <c r="AF131" s="6" t="s">
        <v>27</v>
      </c>
      <c r="AG131" s="6" t="s">
        <v>28</v>
      </c>
      <c r="AH131" s="6" t="s">
        <v>29</v>
      </c>
      <c r="AI131" s="6" t="s">
        <v>30</v>
      </c>
      <c r="AJ131" s="6">
        <v>2014</v>
      </c>
      <c r="AK131" s="7" t="s">
        <v>31</v>
      </c>
      <c r="AL131" s="7" t="s">
        <v>32</v>
      </c>
      <c r="AM131" s="7" t="s">
        <v>33</v>
      </c>
      <c r="AN131" s="7" t="s">
        <v>34</v>
      </c>
      <c r="AO131" s="7">
        <v>2015</v>
      </c>
      <c r="AP131" s="6" t="s">
        <v>35</v>
      </c>
      <c r="AQ131" s="6" t="s">
        <v>36</v>
      </c>
      <c r="AR131" s="6" t="s">
        <v>37</v>
      </c>
      <c r="AS131" s="6" t="s">
        <v>38</v>
      </c>
      <c r="AT131" s="6">
        <v>2016</v>
      </c>
      <c r="AU131" s="7" t="s">
        <v>39</v>
      </c>
      <c r="AV131" s="7" t="s">
        <v>40</v>
      </c>
      <c r="AW131" s="7" t="s">
        <v>41</v>
      </c>
      <c r="AX131" s="7" t="s">
        <v>42</v>
      </c>
      <c r="AY131" s="7">
        <v>2017</v>
      </c>
      <c r="AZ131" s="6" t="s">
        <v>43</v>
      </c>
      <c r="BA131" s="6" t="s">
        <v>44</v>
      </c>
      <c r="BB131" s="6" t="s">
        <v>45</v>
      </c>
      <c r="BC131" s="6" t="s">
        <v>46</v>
      </c>
      <c r="BD131" s="6">
        <v>2018</v>
      </c>
      <c r="BE131" s="7" t="s">
        <v>47</v>
      </c>
      <c r="BF131" s="7" t="s">
        <v>48</v>
      </c>
      <c r="BG131" s="7" t="s">
        <v>49</v>
      </c>
      <c r="BH131" s="7" t="s">
        <v>50</v>
      </c>
      <c r="BI131" s="7">
        <v>2019</v>
      </c>
      <c r="BJ131" s="6" t="s">
        <v>51</v>
      </c>
      <c r="BK131" s="6" t="s">
        <v>52</v>
      </c>
      <c r="BL131" s="6" t="s">
        <v>53</v>
      </c>
      <c r="BM131" s="6" t="s">
        <v>54</v>
      </c>
      <c r="BN131" s="6">
        <v>2020</v>
      </c>
      <c r="BO131" s="7" t="s">
        <v>55</v>
      </c>
      <c r="BP131" s="7" t="s">
        <v>56</v>
      </c>
      <c r="BQ131" s="7" t="s">
        <v>57</v>
      </c>
      <c r="BR131" s="7" t="s">
        <v>58</v>
      </c>
      <c r="BS131" s="7">
        <v>2021</v>
      </c>
      <c r="BT131" s="6" t="s">
        <v>59</v>
      </c>
      <c r="BU131" s="6" t="s">
        <v>60</v>
      </c>
      <c r="BV131" s="6" t="s">
        <v>61</v>
      </c>
      <c r="BW131" s="6" t="s">
        <v>62</v>
      </c>
      <c r="BX131" s="6">
        <v>2022</v>
      </c>
      <c r="BY131" s="7" t="s">
        <v>63</v>
      </c>
      <c r="BZ131" s="7" t="s">
        <v>64</v>
      </c>
      <c r="CA131" s="7" t="s">
        <v>65</v>
      </c>
      <c r="CB131" s="7" t="s">
        <v>66</v>
      </c>
      <c r="CC131" s="7">
        <v>2023</v>
      </c>
      <c r="CD131" s="8" t="s">
        <v>67</v>
      </c>
      <c r="CE131" s="8" t="s">
        <v>68</v>
      </c>
      <c r="CF131" s="8" t="s">
        <v>69</v>
      </c>
      <c r="CG131" s="8" t="s">
        <v>70</v>
      </c>
      <c r="CH131" s="8">
        <v>2024</v>
      </c>
      <c r="CI131" s="7" t="s">
        <v>71</v>
      </c>
      <c r="CJ131" s="7" t="s">
        <v>72</v>
      </c>
      <c r="CK131" s="7" t="s">
        <v>73</v>
      </c>
      <c r="CL131" s="7" t="s">
        <v>74</v>
      </c>
      <c r="CM131" s="7">
        <v>2025</v>
      </c>
      <c r="CN131" s="8" t="s">
        <v>75</v>
      </c>
      <c r="CO131" s="8" t="s">
        <v>76</v>
      </c>
      <c r="CP131" s="8" t="s">
        <v>77</v>
      </c>
      <c r="CQ131" s="8" t="s">
        <v>78</v>
      </c>
      <c r="CR131" s="8">
        <v>2026</v>
      </c>
    </row>
    <row r="132" spans="1:96" s="9" customFormat="1" ht="13.5" thickBot="1" x14ac:dyDescent="0.35">
      <c r="A132" s="10">
        <v>-1</v>
      </c>
      <c r="B132" s="11">
        <f>Table3361019181011121333435363738393103113123[[#This Row],[Komponen Pengeluaran]]-1</f>
        <v>-2</v>
      </c>
      <c r="C132" s="11">
        <f>B132-1</f>
        <v>-3</v>
      </c>
      <c r="D132" s="11">
        <f t="shared" ref="D132:BO132" si="572">C132-1</f>
        <v>-4</v>
      </c>
      <c r="E132" s="11">
        <f t="shared" si="572"/>
        <v>-5</v>
      </c>
      <c r="F132" s="11">
        <f t="shared" si="572"/>
        <v>-6</v>
      </c>
      <c r="G132" s="11">
        <f t="shared" si="572"/>
        <v>-7</v>
      </c>
      <c r="H132" s="11">
        <f t="shared" si="572"/>
        <v>-8</v>
      </c>
      <c r="I132" s="11">
        <f t="shared" si="572"/>
        <v>-9</v>
      </c>
      <c r="J132" s="11">
        <f t="shared" si="572"/>
        <v>-10</v>
      </c>
      <c r="K132" s="11">
        <f t="shared" si="572"/>
        <v>-11</v>
      </c>
      <c r="L132" s="11">
        <f t="shared" si="572"/>
        <v>-12</v>
      </c>
      <c r="M132" s="11">
        <f t="shared" si="572"/>
        <v>-13</v>
      </c>
      <c r="N132" s="11">
        <f t="shared" si="572"/>
        <v>-14</v>
      </c>
      <c r="O132" s="11">
        <f t="shared" si="572"/>
        <v>-15</v>
      </c>
      <c r="P132" s="11">
        <f t="shared" si="572"/>
        <v>-16</v>
      </c>
      <c r="Q132" s="11">
        <f t="shared" si="572"/>
        <v>-17</v>
      </c>
      <c r="R132" s="11">
        <f t="shared" si="572"/>
        <v>-18</v>
      </c>
      <c r="S132" s="11">
        <f t="shared" si="572"/>
        <v>-19</v>
      </c>
      <c r="T132" s="11">
        <f t="shared" si="572"/>
        <v>-20</v>
      </c>
      <c r="U132" s="11">
        <f t="shared" si="572"/>
        <v>-21</v>
      </c>
      <c r="V132" s="11">
        <f t="shared" si="572"/>
        <v>-22</v>
      </c>
      <c r="W132" s="11">
        <f t="shared" si="572"/>
        <v>-23</v>
      </c>
      <c r="X132" s="11">
        <f t="shared" si="572"/>
        <v>-24</v>
      </c>
      <c r="Y132" s="11">
        <f t="shared" si="572"/>
        <v>-25</v>
      </c>
      <c r="Z132" s="11">
        <f t="shared" si="572"/>
        <v>-26</v>
      </c>
      <c r="AA132" s="11">
        <f t="shared" si="572"/>
        <v>-27</v>
      </c>
      <c r="AB132" s="11">
        <f t="shared" si="572"/>
        <v>-28</v>
      </c>
      <c r="AC132" s="11">
        <f t="shared" si="572"/>
        <v>-29</v>
      </c>
      <c r="AD132" s="11">
        <f t="shared" si="572"/>
        <v>-30</v>
      </c>
      <c r="AE132" s="11">
        <f t="shared" si="572"/>
        <v>-31</v>
      </c>
      <c r="AF132" s="11">
        <f t="shared" si="572"/>
        <v>-32</v>
      </c>
      <c r="AG132" s="11">
        <f t="shared" si="572"/>
        <v>-33</v>
      </c>
      <c r="AH132" s="11">
        <f t="shared" si="572"/>
        <v>-34</v>
      </c>
      <c r="AI132" s="11">
        <f t="shared" si="572"/>
        <v>-35</v>
      </c>
      <c r="AJ132" s="11">
        <f t="shared" si="572"/>
        <v>-36</v>
      </c>
      <c r="AK132" s="11">
        <f t="shared" si="572"/>
        <v>-37</v>
      </c>
      <c r="AL132" s="11">
        <f t="shared" si="572"/>
        <v>-38</v>
      </c>
      <c r="AM132" s="11">
        <f t="shared" si="572"/>
        <v>-39</v>
      </c>
      <c r="AN132" s="11">
        <f t="shared" si="572"/>
        <v>-40</v>
      </c>
      <c r="AO132" s="11">
        <f t="shared" si="572"/>
        <v>-41</v>
      </c>
      <c r="AP132" s="11">
        <f t="shared" si="572"/>
        <v>-42</v>
      </c>
      <c r="AQ132" s="11">
        <f t="shared" si="572"/>
        <v>-43</v>
      </c>
      <c r="AR132" s="11">
        <f t="shared" si="572"/>
        <v>-44</v>
      </c>
      <c r="AS132" s="11">
        <f t="shared" si="572"/>
        <v>-45</v>
      </c>
      <c r="AT132" s="11">
        <f t="shared" si="572"/>
        <v>-46</v>
      </c>
      <c r="AU132" s="11">
        <f t="shared" si="572"/>
        <v>-47</v>
      </c>
      <c r="AV132" s="11">
        <f t="shared" si="572"/>
        <v>-48</v>
      </c>
      <c r="AW132" s="11">
        <f t="shared" si="572"/>
        <v>-49</v>
      </c>
      <c r="AX132" s="11">
        <f t="shared" si="572"/>
        <v>-50</v>
      </c>
      <c r="AY132" s="11">
        <f t="shared" si="572"/>
        <v>-51</v>
      </c>
      <c r="AZ132" s="11">
        <f t="shared" si="572"/>
        <v>-52</v>
      </c>
      <c r="BA132" s="11">
        <f t="shared" si="572"/>
        <v>-53</v>
      </c>
      <c r="BB132" s="11">
        <f t="shared" si="572"/>
        <v>-54</v>
      </c>
      <c r="BC132" s="11">
        <f t="shared" si="572"/>
        <v>-55</v>
      </c>
      <c r="BD132" s="11">
        <f t="shared" si="572"/>
        <v>-56</v>
      </c>
      <c r="BE132" s="11">
        <f t="shared" si="572"/>
        <v>-57</v>
      </c>
      <c r="BF132" s="11">
        <f t="shared" si="572"/>
        <v>-58</v>
      </c>
      <c r="BG132" s="11">
        <f t="shared" si="572"/>
        <v>-59</v>
      </c>
      <c r="BH132" s="11">
        <f t="shared" si="572"/>
        <v>-60</v>
      </c>
      <c r="BI132" s="11">
        <f t="shared" si="572"/>
        <v>-61</v>
      </c>
      <c r="BJ132" s="11">
        <f t="shared" si="572"/>
        <v>-62</v>
      </c>
      <c r="BK132" s="11">
        <f t="shared" si="572"/>
        <v>-63</v>
      </c>
      <c r="BL132" s="11">
        <f t="shared" si="572"/>
        <v>-64</v>
      </c>
      <c r="BM132" s="11">
        <f t="shared" si="572"/>
        <v>-65</v>
      </c>
      <c r="BN132" s="11">
        <f t="shared" si="572"/>
        <v>-66</v>
      </c>
      <c r="BO132" s="11">
        <f t="shared" si="572"/>
        <v>-67</v>
      </c>
      <c r="BP132" s="11">
        <f t="shared" ref="BP132:CR132" si="573">BO132-1</f>
        <v>-68</v>
      </c>
      <c r="BQ132" s="11">
        <f t="shared" si="573"/>
        <v>-69</v>
      </c>
      <c r="BR132" s="11">
        <f t="shared" si="573"/>
        <v>-70</v>
      </c>
      <c r="BS132" s="11">
        <f t="shared" si="573"/>
        <v>-71</v>
      </c>
      <c r="BT132" s="11">
        <f t="shared" si="573"/>
        <v>-72</v>
      </c>
      <c r="BU132" s="11">
        <f t="shared" si="573"/>
        <v>-73</v>
      </c>
      <c r="BV132" s="11">
        <f t="shared" si="573"/>
        <v>-74</v>
      </c>
      <c r="BW132" s="11">
        <f t="shared" si="573"/>
        <v>-75</v>
      </c>
      <c r="BX132" s="11">
        <f t="shared" si="573"/>
        <v>-76</v>
      </c>
      <c r="BY132" s="11">
        <f t="shared" si="573"/>
        <v>-77</v>
      </c>
      <c r="BZ132" s="11">
        <f t="shared" si="573"/>
        <v>-78</v>
      </c>
      <c r="CA132" s="11">
        <f t="shared" si="573"/>
        <v>-79</v>
      </c>
      <c r="CB132" s="11">
        <f t="shared" si="573"/>
        <v>-80</v>
      </c>
      <c r="CC132" s="11">
        <f t="shared" si="573"/>
        <v>-81</v>
      </c>
      <c r="CD132" s="11">
        <f t="shared" si="573"/>
        <v>-82</v>
      </c>
      <c r="CE132" s="11">
        <f t="shared" si="573"/>
        <v>-83</v>
      </c>
      <c r="CF132" s="11">
        <f t="shared" si="573"/>
        <v>-84</v>
      </c>
      <c r="CG132" s="11">
        <f t="shared" si="573"/>
        <v>-85</v>
      </c>
      <c r="CH132" s="11">
        <f t="shared" si="573"/>
        <v>-86</v>
      </c>
      <c r="CI132" s="11">
        <f t="shared" si="573"/>
        <v>-87</v>
      </c>
      <c r="CJ132" s="11">
        <f t="shared" si="573"/>
        <v>-88</v>
      </c>
      <c r="CK132" s="11">
        <f t="shared" si="573"/>
        <v>-89</v>
      </c>
      <c r="CL132" s="11">
        <f t="shared" si="573"/>
        <v>-90</v>
      </c>
      <c r="CM132" s="11">
        <f t="shared" si="573"/>
        <v>-91</v>
      </c>
      <c r="CN132" s="11">
        <f t="shared" si="573"/>
        <v>-92</v>
      </c>
      <c r="CO132" s="11">
        <f t="shared" si="573"/>
        <v>-93</v>
      </c>
      <c r="CP132" s="11">
        <f t="shared" si="573"/>
        <v>-94</v>
      </c>
      <c r="CQ132" s="11">
        <f t="shared" si="573"/>
        <v>-95</v>
      </c>
      <c r="CR132" s="11">
        <f t="shared" si="573"/>
        <v>-96</v>
      </c>
    </row>
    <row r="133" spans="1:96" s="9" customFormat="1" ht="16.5" thickTop="1" x14ac:dyDescent="0.4">
      <c r="A133" s="12"/>
      <c r="B133" s="36"/>
      <c r="C133" s="36"/>
      <c r="D133" s="36"/>
      <c r="E133" s="36"/>
      <c r="F133" s="36"/>
      <c r="G133" s="13"/>
      <c r="H133" s="13"/>
      <c r="I133" s="13"/>
      <c r="J133" s="13"/>
      <c r="K133" s="14"/>
      <c r="L133" s="13"/>
      <c r="M133" s="13"/>
      <c r="N133" s="13"/>
      <c r="O133" s="13"/>
      <c r="P133" s="14"/>
      <c r="Q133" s="13"/>
      <c r="R133" s="13"/>
      <c r="S133" s="13"/>
      <c r="T133" s="13"/>
      <c r="U133" s="14"/>
      <c r="V133" s="13"/>
      <c r="W133" s="13"/>
      <c r="X133" s="13"/>
      <c r="Y133" s="13"/>
      <c r="Z133" s="14"/>
      <c r="AA133" s="13"/>
      <c r="AB133" s="13"/>
      <c r="AC133" s="13"/>
      <c r="AD133" s="13"/>
      <c r="AE133" s="14"/>
      <c r="AF133" s="13"/>
      <c r="AG133" s="13"/>
      <c r="AH133" s="13"/>
      <c r="AI133" s="13"/>
      <c r="AJ133" s="14"/>
      <c r="AK133" s="13"/>
      <c r="AL133" s="13"/>
      <c r="AM133" s="13"/>
      <c r="AN133" s="13"/>
      <c r="AO133" s="14"/>
      <c r="AP133" s="13"/>
      <c r="AQ133" s="13"/>
      <c r="AR133" s="13"/>
      <c r="AS133" s="13"/>
      <c r="AT133" s="14"/>
      <c r="AU133" s="13"/>
      <c r="AV133" s="13"/>
      <c r="AW133" s="13"/>
      <c r="AX133" s="13"/>
      <c r="AY133" s="14"/>
      <c r="AZ133" s="13"/>
      <c r="BA133" s="13"/>
      <c r="BB133" s="13"/>
      <c r="BC133" s="13"/>
      <c r="BD133" s="14"/>
      <c r="BE133" s="13"/>
      <c r="BF133" s="13"/>
      <c r="BG133" s="13"/>
      <c r="BH133" s="13"/>
      <c r="BI133" s="14"/>
      <c r="BJ133" s="13"/>
      <c r="BK133" s="13"/>
      <c r="BL133" s="13"/>
      <c r="BM133" s="13"/>
      <c r="BN133" s="14"/>
      <c r="BO133" s="13"/>
      <c r="BP133" s="13"/>
      <c r="BQ133" s="13"/>
      <c r="BR133" s="13"/>
      <c r="BS133" s="14"/>
      <c r="BT133" s="13"/>
      <c r="BU133" s="13"/>
      <c r="BV133" s="13"/>
      <c r="BW133" s="13"/>
      <c r="BX133" s="14"/>
      <c r="BY133" s="13"/>
      <c r="BZ133" s="13"/>
      <c r="CA133" s="13"/>
      <c r="CB133" s="13"/>
      <c r="CC133" s="14"/>
      <c r="CD133" s="13"/>
      <c r="CE133" s="13"/>
      <c r="CF133" s="13"/>
      <c r="CG133" s="13"/>
      <c r="CH133" s="14"/>
      <c r="CI133" s="13"/>
      <c r="CJ133" s="13"/>
      <c r="CK133" s="13"/>
      <c r="CL133" s="13"/>
      <c r="CM133" s="14"/>
      <c r="CN133" s="13"/>
      <c r="CO133" s="13"/>
      <c r="CP133" s="13"/>
      <c r="CQ133" s="13"/>
      <c r="CR133" s="14"/>
    </row>
    <row r="134" spans="1:96" s="17" customFormat="1" ht="15" x14ac:dyDescent="0.4">
      <c r="A134" s="15" t="s">
        <v>79</v>
      </c>
      <c r="B134" s="37"/>
      <c r="C134" s="37"/>
      <c r="D134" s="37"/>
      <c r="E134" s="37"/>
      <c r="F134" s="37"/>
      <c r="G134" s="16">
        <f>IFERROR(G38/B38*100-100,"")</f>
        <v>5.7477814316729194</v>
      </c>
      <c r="H134" s="16">
        <f>IFERROR(SUM(G38:H38)/SUM(B38:C38)*100-100,"")</f>
        <v>6.2129597848190343</v>
      </c>
      <c r="I134" s="16">
        <f>IFERROR(SUM(G38:I38)/SUM(B38:D38)*100-100,"")</f>
        <v>7.0292671660517669</v>
      </c>
      <c r="J134" s="16">
        <f>IFERROR(SUM(G38:J38)/SUM(B38:E38)*100-100,"")</f>
        <v>7.5953055159416749</v>
      </c>
      <c r="K134" s="16">
        <f>IFERROR(K38/F38*100-100,"")</f>
        <v>7.5953055159416749</v>
      </c>
      <c r="L134" s="16">
        <f>IFERROR(L38/G38*100-100,"")</f>
        <v>7.0394325542248595</v>
      </c>
      <c r="M134" s="16">
        <f>IFERROR(SUM(L38:M38)/SUM(G38:H38)*100-100,"")</f>
        <v>6.8354513735667979</v>
      </c>
      <c r="N134" s="16">
        <f>IFERROR(SUM(L38:N38)/SUM(G38:I38)*100-100,"")</f>
        <v>6.5000130872764146</v>
      </c>
      <c r="O134" s="16">
        <f>IFERROR(SUM(L38:O38)/SUM(G38:J38)*100-100,"")</f>
        <v>6.6795026093941345</v>
      </c>
      <c r="P134" s="16">
        <f>IFERROR(P38/K38*100-100,"")</f>
        <v>6.6795026093941345</v>
      </c>
      <c r="Q134" s="16">
        <f>IFERROR(Q38/L38*100-100,"")</f>
        <v>3.4819223405223596</v>
      </c>
      <c r="R134" s="16" t="str">
        <f>IFERROR(SUM(Q38:R38)/SUM(L38:M38)*100-100,"")</f>
        <v/>
      </c>
      <c r="S134" s="16" t="str">
        <f>IFERROR(SUM(Q38:S38)/SUM(L38:N38)*100-100,"")</f>
        <v/>
      </c>
      <c r="T134" s="16" t="str">
        <f>IFERROR(SUM(Q38:T38)/SUM(L38:O38)*100-100,"")</f>
        <v/>
      </c>
      <c r="U134" s="16" t="str">
        <f>IFERROR(U38/P38*100-100,"")</f>
        <v/>
      </c>
      <c r="V134" s="16">
        <f>IFERROR(V38/Q38*100-100,"")</f>
        <v>3.6944325953804196</v>
      </c>
      <c r="W134" s="16" t="str">
        <f>IFERROR(SUM(V38:W38)/SUM(Q38:R38)*100-100,"")</f>
        <v/>
      </c>
      <c r="X134" s="16" t="str">
        <f>IFERROR(SUM(V38:X38)/SUM(Q38:S38)*100-100,"")</f>
        <v/>
      </c>
      <c r="Y134" s="16" t="str">
        <f>IFERROR(SUM(V38:Y38)/SUM(Q38:T38)*100-100,"")</f>
        <v/>
      </c>
      <c r="Z134" s="16" t="str">
        <f>IFERROR(Z38/U38*100-100,"")</f>
        <v/>
      </c>
      <c r="AA134" s="16">
        <f>IFERROR(AA38/V38*100-100,"")</f>
        <v>5.7072597060719517</v>
      </c>
      <c r="AB134" s="16">
        <f>IFERROR(SUM(AA38:AB38)/SUM(V38:W38)*100-100,"")</f>
        <v>5.4151092845365412</v>
      </c>
      <c r="AC134" s="16">
        <f>IFERROR(SUM(AA38:AC38)/SUM(V38:X38)*100-100,"")</f>
        <v>5.2109973114898338</v>
      </c>
      <c r="AD134" s="16">
        <f>IFERROR(SUM(AA38:AD38)/SUM(V38:Y38)*100-100,"")</f>
        <v>5.6712708266658041</v>
      </c>
      <c r="AE134" s="16">
        <f>IFERROR(AE38/Z38*100-100,"")</f>
        <v>5.6712708266658041</v>
      </c>
      <c r="AF134" s="16">
        <f>IFERROR(AF38/AA38*100-100,"")</f>
        <v>7.290912136982854</v>
      </c>
      <c r="AG134" s="16">
        <f>IFERROR(SUM(AF38:AG38)/SUM(AA38:AB38)*100-100,"")</f>
        <v>7.249614725566218</v>
      </c>
      <c r="AH134" s="16">
        <f>IFERROR(SUM(AF38:AH38)/SUM(AA38:AC38)*100-100,"")</f>
        <v>6.9090251005514034</v>
      </c>
      <c r="AI134" s="16">
        <f>IFERROR(SUM(AF38:AI38)/SUM(AA38:AD38)*100-100,"")</f>
        <v>7.1978862128214303</v>
      </c>
      <c r="AJ134" s="16">
        <f>IFERROR(AJ38/AE38*100-100,"")</f>
        <v>7.1978862128214303</v>
      </c>
      <c r="AK134" s="16">
        <f>IFERROR(AK38/AF38*100-100,"")</f>
        <v>8.7322160735254784</v>
      </c>
      <c r="AL134" s="16">
        <f>IFERROR(SUM(AK38:AL38)/SUM(AF38:AG38)*100-100,"")</f>
        <v>8.9033831011549722</v>
      </c>
      <c r="AM134" s="16">
        <f>IFERROR(SUM(AK38:AM38)/SUM(AF38:AH38)*100-100,"")</f>
        <v>8.7050038984945814</v>
      </c>
      <c r="AN134" s="16">
        <f>IFERROR(SUM(AK38:AN38)/SUM(AF38:AI38)*100-100,"")</f>
        <v>8.8092566185490284</v>
      </c>
      <c r="AO134" s="16">
        <f>IFERROR(AO38/AJ38*100-100,"")</f>
        <v>8.8092566185490284</v>
      </c>
      <c r="AP134" s="16">
        <f>IFERROR(AP38/AK38*100-100,"")</f>
        <v>8.5823419804312664</v>
      </c>
      <c r="AQ134" s="16">
        <f>IFERROR(SUM(AP38:AQ38)/SUM(AK38:AL38)*100-100,"")</f>
        <v>8.1314677946114955</v>
      </c>
      <c r="AR134" s="16">
        <f>IFERROR(SUM(AP38:AR38)/SUM(AK38:AM38)*100-100,"")</f>
        <v>7.0094991021175446</v>
      </c>
      <c r="AS134" s="16">
        <f>IFERROR(SUM(AP38:AS38)/SUM(AK38:AN38)*100-100,"")</f>
        <v>5.5738399978486228</v>
      </c>
      <c r="AT134" s="16">
        <f>IFERROR(AT38/AO38*100-100,"")</f>
        <v>5.5738399978486228</v>
      </c>
      <c r="AU134" s="16">
        <f>IFERROR(AU38/AP38*100-100,"")</f>
        <v>3.8669781347524008</v>
      </c>
      <c r="AV134" s="16">
        <f>IFERROR(SUM(AU38:AV38)/SUM(AP38:AQ38)*100-100,"")</f>
        <v>4.2674075496303345</v>
      </c>
      <c r="AW134" s="16">
        <f>IFERROR(SUM(AU38:AW38)/SUM(AP38:AR38)*100-100,"")</f>
        <v>5.1584967480172708</v>
      </c>
      <c r="AX134" s="16">
        <f>IFERROR(SUM(AU38:AX38)/SUM(AP38:AS38)*100-100,"")</f>
        <v>5.7568116132955112</v>
      </c>
      <c r="AY134" s="16">
        <f>IFERROR(AY38/AT38*100-100,"")</f>
        <v>5.7568116132955112</v>
      </c>
      <c r="AZ134" s="16">
        <f>IFERROR(AZ38/AU38*100-100,"")</f>
        <v>4.5258337290165969</v>
      </c>
      <c r="BA134" s="16">
        <f>IFERROR(SUM(AZ38:BA38)/SUM(AU38:AV38)*100-100,"")</f>
        <v>4.6621413233135485</v>
      </c>
      <c r="BB134" s="16">
        <f>IFERROR(SUM(AZ38:BB38)/SUM(AU38:AW38)*100-100,"")</f>
        <v>4.8413127291814533</v>
      </c>
      <c r="BC134" s="16">
        <f>IFERROR(SUM(AZ38:BC38)/SUM(AU38:AX38)*100-100,"")</f>
        <v>5.3429939306337531</v>
      </c>
      <c r="BD134" s="16">
        <f>IFERROR(BD38/AY38*100-100,"")</f>
        <v>5.3429939306337531</v>
      </c>
      <c r="BE134" s="16">
        <f>IFERROR(BE38/AZ38*100-100,"")</f>
        <v>7.6480307182265932</v>
      </c>
      <c r="BF134" s="16">
        <f>IFERROR(SUM(BE38:BF38)/SUM(AZ38:BA38)*100-100,"")</f>
        <v>7.9092943945594101</v>
      </c>
      <c r="BG134" s="16">
        <f>IFERROR(SUM(BE38:BG38)/SUM(AZ38:BB38)*100-100,"")</f>
        <v>7.8171645205451483</v>
      </c>
      <c r="BH134" s="16">
        <f>IFERROR(SUM(BE38:BH38)/SUM(AZ38:BC38)*100-100,"")</f>
        <v>6.4418627182471653</v>
      </c>
      <c r="BI134" s="16">
        <f>IFERROR(BI38/BD38*100-100,"")</f>
        <v>6.4418627182471653</v>
      </c>
      <c r="BJ134" s="16">
        <f>IFERROR(BJ38/BE38*100-100,"")</f>
        <v>6.7477579968062429</v>
      </c>
      <c r="BK134" s="16">
        <f>IFERROR(SUM(BJ38:BK38)/SUM(BE38:BF38)*100-100,"")</f>
        <v>3.6653907483561028</v>
      </c>
      <c r="BL134" s="16">
        <f>IFERROR(SUM(BJ38:BL38)/SUM(BE38:BG38)*100-100,"")</f>
        <v>1.6582076093923064</v>
      </c>
      <c r="BM134" s="16">
        <f>IFERROR(SUM(BJ38:BM38)/SUM(BE38:BH38)*100-100,"")</f>
        <v>0.65619443178439951</v>
      </c>
      <c r="BN134" s="16">
        <f>IFERROR(BN38/BI38*100-100,"")</f>
        <v>0.65619443178439951</v>
      </c>
      <c r="BO134" s="16">
        <f>IFERROR(BO38/BJ38*100-100,"")</f>
        <v>-1.138032746418034</v>
      </c>
      <c r="BP134" s="16">
        <f>IFERROR(SUM(BO38:BP38)/SUM(BJ38:BK38)*100-100,"")</f>
        <v>-0.16614237362117024</v>
      </c>
      <c r="BQ134" s="16">
        <f>IFERROR(SUM(BO38:BQ38)/SUM(BJ38:BL38)*100-100,"")</f>
        <v>-6.3569157120795694E-2</v>
      </c>
      <c r="BR134" s="16">
        <f>IFERROR(SUM(BO38:BR38)/SUM(BJ38:BM38)*100-100,"")</f>
        <v>0.85195756799778621</v>
      </c>
      <c r="BS134" s="16">
        <f>IFERROR(BS38/BN38*100-100,"")</f>
        <v>0.85195756799778621</v>
      </c>
      <c r="BT134" s="16">
        <f>IFERROR(BT38/BO38*100-100,"")</f>
        <v>4.1636692295921307</v>
      </c>
      <c r="BU134" s="16">
        <f>IFERROR(SUM(BT38:BU38)/SUM(BO38:BP38)*100-100,"")</f>
        <v>4.7938516367479878</v>
      </c>
      <c r="BV134" s="16">
        <f>IFERROR(SUM(BT38:BV38)/SUM(BO38:BQ38)*100-100,"")</f>
        <v>5.265648419860895</v>
      </c>
      <c r="BW134" s="16">
        <f>IFERROR(SUM(BT38:BW38)/SUM(BO38:BR38)*100-100,"")</f>
        <v>4.8764947096071154</v>
      </c>
      <c r="BX134" s="16">
        <f>IFERROR(BX38/BS38*100-100,"")</f>
        <v>4.8764947096071154</v>
      </c>
      <c r="BY134" s="16">
        <f>IFERROR(BY38/BT38*100-100,"")</f>
        <v>2.9571946475523276</v>
      </c>
      <c r="BZ134" s="16">
        <f>IFERROR(SUM(BY38:BZ38)/SUM(BT38:BU38)*100-100,"")</f>
        <v>2.718130511064814</v>
      </c>
      <c r="CA134" s="16">
        <f>IFERROR(SUM(BY38:CA38)/SUM(BT38:BV38)*100-100,"")</f>
        <v>2.4967671118169932</v>
      </c>
      <c r="CB134" s="16">
        <f>IFERROR(SUM(BY38:CB38)/SUM(BT38:BW38)*100-100,"")</f>
        <v>2.4688897527159099</v>
      </c>
      <c r="CC134" s="16">
        <f>IFERROR(CC38/BX38*100-100,"")</f>
        <v>2.4688897527159099</v>
      </c>
      <c r="CD134" s="16">
        <f>IFERROR(CD38/BY38*100-100,"")</f>
        <v>4.5870352060501318</v>
      </c>
      <c r="CE134" s="16">
        <f>IFERROR(SUM(CD38:CE38)/SUM(BY38:BZ38)*100-100,"")</f>
        <v>4.047333005645342</v>
      </c>
      <c r="CF134" s="16">
        <f>IFERROR(SUM(CD38:CF38)/SUM(BY38:CA38)*100-100,"")</f>
        <v>3.6960363979316782</v>
      </c>
      <c r="CG134" s="16">
        <f>IFERROR(SUM(CD38:CG38)/SUM(BY38:CB38)*100-100,"")</f>
        <v>3.8037889304888779</v>
      </c>
      <c r="CH134" s="16">
        <f>IFERROR(CH38/CC38*100-100,"")</f>
        <v>3.8037889304888779</v>
      </c>
      <c r="CI134" s="16">
        <f>IFERROR(CI38/CD38*100-100,"")</f>
        <v>3.7018375273669193</v>
      </c>
      <c r="CJ134" s="16">
        <f>IFERROR(SUM(CI38:CJ38)/SUM(CD38:CE38)*100-100,"")</f>
        <v>3.7136666980012194</v>
      </c>
      <c r="CK134" s="16">
        <f>IFERROR(SUM(CI38:CK38)/SUM(CD38:CF38)*100-100,"")</f>
        <v>3.7225763630711839</v>
      </c>
      <c r="CL134" s="16">
        <f>IFERROR(SUM(CI38:CL38)/SUM(CD38:CG38)*100-100,"")</f>
        <v>3.7965455183498875</v>
      </c>
      <c r="CM134" s="16">
        <f>IFERROR(CM38/CH38*100-100,"")</f>
        <v>3.7965455183498875</v>
      </c>
      <c r="CN134" s="16">
        <f>IFERROR(CN38/CI38*100-100,"")</f>
        <v>-100</v>
      </c>
      <c r="CO134" s="16">
        <f>IFERROR(SUM(CN38:CO38)/SUM(CI38:CJ38)*100-100,"")</f>
        <v>-100</v>
      </c>
      <c r="CP134" s="16">
        <f>IFERROR(SUM(CN38:CP38)/SUM(CI38:CK38)*100-100,"")</f>
        <v>-100</v>
      </c>
      <c r="CQ134" s="16">
        <f>IFERROR(SUM(CN38:CQ38)/SUM(CI38:CL38)*100-100,"")</f>
        <v>-100</v>
      </c>
      <c r="CR134" s="16">
        <f>IFERROR(CR38/CM38*100-100,"")</f>
        <v>-100</v>
      </c>
    </row>
    <row r="135" spans="1:96" s="9" customFormat="1" ht="15" x14ac:dyDescent="0.4">
      <c r="A135" s="18" t="s">
        <v>80</v>
      </c>
      <c r="B135" s="38"/>
      <c r="C135" s="38"/>
      <c r="D135" s="38"/>
      <c r="E135" s="38"/>
      <c r="F135" s="38"/>
      <c r="G135" s="39">
        <f>IFERROR(G39/B39*100-100,"")</f>
        <v>4.427043742432943</v>
      </c>
      <c r="H135" s="39">
        <f>IFERROR(SUM(G39:H39)/SUM(B39:C39)*100-100,"")</f>
        <v>5.240622094214757</v>
      </c>
      <c r="I135" s="39">
        <f>IFERROR(SUM(G39:I39)/SUM(B39:D39)*100-100,"")</f>
        <v>6.3570666500323796</v>
      </c>
      <c r="J135" s="39">
        <f>IFERROR(SUM(G39:J39)/SUM(B39:E39)*100-100,"")</f>
        <v>7.3775482311147584</v>
      </c>
      <c r="K135" s="40">
        <f>IFERROR(K39/F39*100-100,"")</f>
        <v>7.3775482311147584</v>
      </c>
      <c r="L135" s="39">
        <f>IFERROR(L39/G39*100-100,"")</f>
        <v>6.5307002133211824</v>
      </c>
      <c r="M135" s="39">
        <f>IFERROR(SUM(L39:M39)/SUM(G39:H39)*100-100,"")</f>
        <v>6.6368098196897876</v>
      </c>
      <c r="N135" s="39">
        <f>IFERROR(SUM(L39:N39)/SUM(G39:I39)*100-100,"")</f>
        <v>6.6185163448106294</v>
      </c>
      <c r="O135" s="39">
        <f>IFERROR(SUM(L39:O39)/SUM(G39:J39)*100-100,"")</f>
        <v>6.9629934199783463</v>
      </c>
      <c r="P135" s="40">
        <f>IFERROR(P39/K39*100-100,"")</f>
        <v>6.9629934199783463</v>
      </c>
      <c r="Q135" s="39">
        <f>IFERROR(Q39/L39*100-100,"")</f>
        <v>4.3581321924069556</v>
      </c>
      <c r="R135" s="39" t="str">
        <f>IFERROR(SUM(Q39:R39)/SUM(L39:M39)*100-100,"")</f>
        <v/>
      </c>
      <c r="S135" s="39" t="str">
        <f>IFERROR(SUM(Q39:S39)/SUM(L39:N39)*100-100,"")</f>
        <v/>
      </c>
      <c r="T135" s="39" t="str">
        <f>IFERROR(SUM(Q39:T39)/SUM(L39:O39)*100-100,"")</f>
        <v/>
      </c>
      <c r="U135" s="40" t="str">
        <f>IFERROR(U39/P39*100-100,"")</f>
        <v/>
      </c>
      <c r="V135" s="39">
        <f>IFERROR(V39/Q39*100-100,"")</f>
        <v>3.5664186523126915</v>
      </c>
      <c r="W135" s="39" t="str">
        <f>IFERROR(SUM(V39:W39)/SUM(Q39:R39)*100-100,"")</f>
        <v/>
      </c>
      <c r="X135" s="39" t="str">
        <f>IFERROR(SUM(V39:X39)/SUM(Q39:S39)*100-100,"")</f>
        <v/>
      </c>
      <c r="Y135" s="39" t="str">
        <f>IFERROR(SUM(V39:Y39)/SUM(Q39:T39)*100-100,"")</f>
        <v/>
      </c>
      <c r="Z135" s="40" t="str">
        <f>IFERROR(Z39/U39*100-100,"")</f>
        <v/>
      </c>
      <c r="AA135" s="39">
        <f>IFERROR(AA39/V39*100-100,"")</f>
        <v>5.3600600438942649</v>
      </c>
      <c r="AB135" s="39">
        <f>IFERROR(SUM(AA39:AB39)/SUM(V39:W39)*100-100,"")</f>
        <v>5.2524015024038988</v>
      </c>
      <c r="AC135" s="39">
        <f>IFERROR(SUM(AA39:AC39)/SUM(V39:X39)*100-100,"")</f>
        <v>5.2770797911793892</v>
      </c>
      <c r="AD135" s="39">
        <f>IFERROR(SUM(AA39:AD39)/SUM(V39:Y39)*100-100,"")</f>
        <v>6.0109641785178241</v>
      </c>
      <c r="AE135" s="40">
        <f>IFERROR(AE39/Z39*100-100,"")</f>
        <v>6.0109641785178241</v>
      </c>
      <c r="AF135" s="39">
        <f>IFERROR(AF39/AA39*100-100,"")</f>
        <v>8.3903534002719198</v>
      </c>
      <c r="AG135" s="39">
        <f>IFERROR(SUM(AF39:AG39)/SUM(AA39:AB39)*100-100,"")</f>
        <v>8.0166752431943991</v>
      </c>
      <c r="AH135" s="39">
        <f>IFERROR(SUM(AF39:AH39)/SUM(AA39:AC39)*100-100,"")</f>
        <v>7.5058886861766325</v>
      </c>
      <c r="AI135" s="39">
        <f>IFERROR(SUM(AF39:AI39)/SUM(AA39:AD39)*100-100,"")</f>
        <v>7.8608740013816742</v>
      </c>
      <c r="AJ135" s="40">
        <f>IFERROR(AJ39/AE39*100-100,"")</f>
        <v>7.8608740013816742</v>
      </c>
      <c r="AK135" s="39">
        <f>IFERROR(AK39/AF39*100-100,"")</f>
        <v>9.3421128608597286</v>
      </c>
      <c r="AL135" s="39">
        <f>IFERROR(SUM(AK39:AL39)/SUM(AF39:AG39)*100-100,"")</f>
        <v>9.4782019157275528</v>
      </c>
      <c r="AM135" s="39">
        <f>IFERROR(SUM(AK39:AM39)/SUM(AF39:AH39)*100-100,"")</f>
        <v>9.3825720070966838</v>
      </c>
      <c r="AN135" s="39">
        <f>IFERROR(SUM(AK39:AN39)/SUM(AF39:AI39)*100-100,"")</f>
        <v>9.7364860628581766</v>
      </c>
      <c r="AO135" s="40">
        <f>IFERROR(AO39/AJ39*100-100,"")</f>
        <v>9.7364860628581766</v>
      </c>
      <c r="AP135" s="39">
        <f>IFERROR(AP39/AK39*100-100,"")</f>
        <v>9.2189127555266026</v>
      </c>
      <c r="AQ135" s="39">
        <f>IFERROR(SUM(AP39:AQ39)/SUM(AK39:AL39)*100-100,"")</f>
        <v>8.8198023872475062</v>
      </c>
      <c r="AR135" s="39">
        <f>IFERROR(SUM(AP39:AR39)/SUM(AK39:AM39)*100-100,"")</f>
        <v>7.6332635165299791</v>
      </c>
      <c r="AS135" s="39">
        <f>IFERROR(SUM(AP39:AS39)/SUM(AK39:AN39)*100-100,"")</f>
        <v>5.8535282468786107</v>
      </c>
      <c r="AT135" s="40">
        <f>IFERROR(AT39/AO39*100-100,"")</f>
        <v>5.8535282468786107</v>
      </c>
      <c r="AU135" s="39">
        <f>IFERROR(AU39/AP39*100-100,"")</f>
        <v>3.2908872949163737</v>
      </c>
      <c r="AV135" s="39">
        <f>IFERROR(SUM(AU39:AV39)/SUM(AP39:AQ39)*100-100,"")</f>
        <v>3.6045749331805439</v>
      </c>
      <c r="AW135" s="39">
        <f>IFERROR(SUM(AU39:AW39)/SUM(AP39:AR39)*100-100,"")</f>
        <v>4.8536600318162044</v>
      </c>
      <c r="AX135" s="39">
        <f>IFERROR(SUM(AU39:AX39)/SUM(AP39:AS39)*100-100,"")</f>
        <v>6.0225105381659887</v>
      </c>
      <c r="AY135" s="40">
        <f>IFERROR(AY39/AT39*100-100,"")</f>
        <v>6.0225105381659887</v>
      </c>
      <c r="AZ135" s="39">
        <f>IFERROR(AZ39/AU39*100-100,"")</f>
        <v>5.6421565976300485</v>
      </c>
      <c r="BA135" s="39">
        <f>IFERROR(SUM(AZ39:BA39)/SUM(AU39:AV39)*100-100,"")</f>
        <v>5.7041211714216331</v>
      </c>
      <c r="BB135" s="39">
        <f>IFERROR(SUM(AZ39:BB39)/SUM(AU39:AW39)*100-100,"")</f>
        <v>5.7614965191248331</v>
      </c>
      <c r="BC135" s="39">
        <f>IFERROR(SUM(AZ39:BC39)/SUM(AU39:AX39)*100-100,"")</f>
        <v>6.2257544538097278</v>
      </c>
      <c r="BD135" s="40">
        <f>IFERROR(BD39/AY39*100-100,"")</f>
        <v>6.2257544538097278</v>
      </c>
      <c r="BE135" s="39">
        <f>IFERROR(BE39/AZ39*100-100,"")</f>
        <v>8.3426235990153259</v>
      </c>
      <c r="BF135" s="39">
        <f>IFERROR(SUM(BE39:BF39)/SUM(AZ39:BA39)*100-100,"")</f>
        <v>8.4902205397910535</v>
      </c>
      <c r="BG135" s="39">
        <f>IFERROR(SUM(BE39:BG39)/SUM(AZ39:BB39)*100-100,"")</f>
        <v>8.2551737264023615</v>
      </c>
      <c r="BH135" s="39">
        <f>IFERROR(SUM(BE39:BH39)/SUM(AZ39:BC39)*100-100,"")</f>
        <v>6.3714426276530958</v>
      </c>
      <c r="BI135" s="40">
        <f>IFERROR(BI39/BD39*100-100,"")</f>
        <v>6.3714426276530958</v>
      </c>
      <c r="BJ135" s="39">
        <f>IFERROR(BJ39/BE39*100-100,"")</f>
        <v>7.5518433554839817</v>
      </c>
      <c r="BK135" s="39">
        <f>IFERROR(SUM(BJ39:BK39)/SUM(BE39:BF39)*100-100,"")</f>
        <v>5.2621784087108665</v>
      </c>
      <c r="BL135" s="39">
        <f>IFERROR(SUM(BJ39:BL39)/SUM(BE39:BG39)*100-100,"")</f>
        <v>3.4052830724858438</v>
      </c>
      <c r="BM135" s="39">
        <f>IFERROR(SUM(BJ39:BM39)/SUM(BE39:BH39)*100-100,"")</f>
        <v>2.4871386661794617</v>
      </c>
      <c r="BN135" s="40">
        <f>IFERROR(BN39/BI39*100-100,"")</f>
        <v>2.4871386661794617</v>
      </c>
      <c r="BO135" s="39">
        <f>IFERROR(BO39/BJ39*100-100,"")</f>
        <v>0.57722914291527161</v>
      </c>
      <c r="BP135" s="39">
        <f>IFERROR(SUM(BO39:BP39)/SUM(BJ39:BK39)*100-100,"")</f>
        <v>2.1697689655340469E-2</v>
      </c>
      <c r="BQ135" s="39">
        <f>IFERROR(SUM(BO39:BQ39)/SUM(BJ39:BL39)*100-100,"")</f>
        <v>-0.4990319847364475</v>
      </c>
      <c r="BR135" s="39">
        <f>IFERROR(SUM(BO39:BR39)/SUM(BJ39:BM39)*100-100,"")</f>
        <v>0.61075207652083918</v>
      </c>
      <c r="BS135" s="40">
        <f>IFERROR(BS39/BN39*100-100,"")</f>
        <v>0.61075207652083918</v>
      </c>
      <c r="BT135" s="39">
        <f>IFERROR(BT39/BO39*100-100,"")</f>
        <v>4.1234614543218271</v>
      </c>
      <c r="BU135" s="39">
        <f>IFERROR(SUM(BT39:BU39)/SUM(BO39:BP39)*100-100,"")</f>
        <v>5.0823161671141577</v>
      </c>
      <c r="BV135" s="39">
        <f>IFERROR(SUM(BT39:BV39)/SUM(BO39:BQ39)*100-100,"")</f>
        <v>5.5121805319563038</v>
      </c>
      <c r="BW135" s="39">
        <f>IFERROR(SUM(BT39:BW39)/SUM(BO39:BR39)*100-100,"")</f>
        <v>4.8383643645700829</v>
      </c>
      <c r="BX135" s="40">
        <f>IFERROR(BX39/BS39*100-100,"")</f>
        <v>4.8383643645700829</v>
      </c>
      <c r="BY135" s="39">
        <f>IFERROR(BY39/BT39*100-100,"")</f>
        <v>1.9693501671737721</v>
      </c>
      <c r="BZ135" s="39">
        <f>IFERROR(SUM(BY39:BZ39)/SUM(BT39:BU39)*100-100,"")</f>
        <v>2.2677180733244171</v>
      </c>
      <c r="CA135" s="39">
        <f>IFERROR(SUM(BY39:CA39)/SUM(BT39:BV39)*100-100,"")</f>
        <v>2.337015013040201</v>
      </c>
      <c r="CB135" s="39">
        <f>IFERROR(SUM(BY39:CB39)/SUM(BT39:BW39)*100-100,"")</f>
        <v>2.4535994908411567</v>
      </c>
      <c r="CC135" s="40">
        <f>IFERROR(CC39/BX39*100-100,"")</f>
        <v>2.4535994908411567</v>
      </c>
      <c r="CD135" s="39">
        <f>IFERROR(CD39/BY39*100-100,"")</f>
        <v>4.9662662370766952</v>
      </c>
      <c r="CE135" s="39">
        <f>IFERROR(SUM(CD39:CE39)/SUM(BY39:BZ39)*100-100,"")</f>
        <v>4.3377197451957699</v>
      </c>
      <c r="CF135" s="39">
        <f>IFERROR(SUM(CD39:CF39)/SUM(BY39:CA39)*100-100,"")</f>
        <v>4.0520818194832486</v>
      </c>
      <c r="CG135" s="39">
        <f>IFERROR(SUM(CD39:CG39)/SUM(BY39:CB39)*100-100,"")</f>
        <v>4.238218646884178</v>
      </c>
      <c r="CH135" s="40">
        <f>IFERROR(CH39/CC39*100-100,"")</f>
        <v>4.238218646884178</v>
      </c>
      <c r="CI135" s="39">
        <f>IFERROR(CI39/CD39*100-100,"")</f>
        <v>4.5603336209339318</v>
      </c>
      <c r="CJ135" s="39">
        <f>IFERROR(SUM(CI39:CJ39)/SUM(CD39:CE39)*100-100,"")</f>
        <v>4.3349073542270133</v>
      </c>
      <c r="CK135" s="39">
        <f>IFERROR(SUM(CI39:CK39)/SUM(CD39:CF39)*100-100,"")</f>
        <v>4.3040000982921498</v>
      </c>
      <c r="CL135" s="39">
        <f>IFERROR(SUM(CI39:CL39)/SUM(CD39:CG39)*100-100,"")</f>
        <v>4.3405876941153423</v>
      </c>
      <c r="CM135" s="40">
        <f>IFERROR(CM39/CH39*100-100,"")</f>
        <v>4.3405876941153423</v>
      </c>
      <c r="CN135" s="39">
        <f>IFERROR(CN39/CI39*100-100,"")</f>
        <v>-100</v>
      </c>
      <c r="CO135" s="39">
        <f>IFERROR(SUM(CN39:CO39)/SUM(CI39:CJ39)*100-100,"")</f>
        <v>-100</v>
      </c>
      <c r="CP135" s="39">
        <f>IFERROR(SUM(CN39:CP39)/SUM(CI39:CK39)*100-100,"")</f>
        <v>-100</v>
      </c>
      <c r="CQ135" s="39">
        <f>IFERROR(SUM(CN39:CQ39)/SUM(CI39:CL39)*100-100,"")</f>
        <v>-100</v>
      </c>
      <c r="CR135" s="40">
        <f>IFERROR(CR39/CM39*100-100,"")</f>
        <v>-100</v>
      </c>
    </row>
    <row r="136" spans="1:96" s="9" customFormat="1" ht="15" x14ac:dyDescent="0.4">
      <c r="A136" s="18" t="s">
        <v>81</v>
      </c>
      <c r="B136" s="41"/>
      <c r="C136" s="41"/>
      <c r="D136" s="41"/>
      <c r="E136" s="41"/>
      <c r="F136" s="41"/>
      <c r="G136" s="39">
        <f t="shared" ref="G136:G141" si="574">IFERROR(G40/B40*100-100,"")</f>
        <v>55.997153274552574</v>
      </c>
      <c r="H136" s="39">
        <f t="shared" ref="H136:H141" si="575">IFERROR(SUM(G40:H40)/SUM(B40:C40)*100-100,"")</f>
        <v>58.850012106765831</v>
      </c>
      <c r="I136" s="39">
        <f t="shared" ref="I136:I141" si="576">IFERROR(SUM(G40:I40)/SUM(B40:D40)*100-100,"")</f>
        <v>60.539124501256168</v>
      </c>
      <c r="J136" s="39">
        <f t="shared" ref="J136:J141" si="577">IFERROR(SUM(G40:J40)/SUM(B40:E40)*100-100,"")</f>
        <v>58.281321215588264</v>
      </c>
      <c r="K136" s="40">
        <f t="shared" ref="K136:L141" si="578">IFERROR(K40/F40*100-100,"")</f>
        <v>58.281321215588264</v>
      </c>
      <c r="L136" s="39">
        <f t="shared" si="578"/>
        <v>25.935648464537081</v>
      </c>
      <c r="M136" s="39">
        <f t="shared" ref="M136:M141" si="579">IFERROR(SUM(L40:M40)/SUM(G40:H40)*100-100,"")</f>
        <v>16.858981755095755</v>
      </c>
      <c r="N136" s="39">
        <f t="shared" ref="N136:N141" si="580">IFERROR(SUM(L40:N40)/SUM(G40:I40)*100-100,"")</f>
        <v>9.1222074214315541</v>
      </c>
      <c r="O136" s="39">
        <f t="shared" ref="O136:O141" si="581">IFERROR(SUM(L40:O40)/SUM(G40:J40)*100-100,"")</f>
        <v>3.8195458936250049</v>
      </c>
      <c r="P136" s="40">
        <f t="shared" ref="P136:Q141" si="582">IFERROR(P40/K40*100-100,"")</f>
        <v>3.8195458936250049</v>
      </c>
      <c r="Q136" s="39">
        <f t="shared" si="582"/>
        <v>-5.507404082870238</v>
      </c>
      <c r="R136" s="39" t="str">
        <f t="shared" ref="R136:R141" si="583">IFERROR(SUM(Q40:R40)/SUM(L40:M40)*100-100,"")</f>
        <v/>
      </c>
      <c r="S136" s="39" t="str">
        <f t="shared" ref="S136:S141" si="584">IFERROR(SUM(Q40:S40)/SUM(L40:N40)*100-100,"")</f>
        <v/>
      </c>
      <c r="T136" s="39" t="str">
        <f t="shared" ref="T136:T141" si="585">IFERROR(SUM(Q40:T40)/SUM(L40:O40)*100-100,"")</f>
        <v/>
      </c>
      <c r="U136" s="40" t="str">
        <f t="shared" ref="U136:V141" si="586">IFERROR(U40/P40*100-100,"")</f>
        <v/>
      </c>
      <c r="V136" s="39">
        <f t="shared" si="586"/>
        <v>7.3716318087321895</v>
      </c>
      <c r="W136" s="39" t="str">
        <f t="shared" ref="W136:W141" si="587">IFERROR(SUM(V40:W40)/SUM(Q40:R40)*100-100,"")</f>
        <v/>
      </c>
      <c r="X136" s="39" t="str">
        <f t="shared" ref="X136:X141" si="588">IFERROR(SUM(V40:X40)/SUM(Q40:S40)*100-100,"")</f>
        <v/>
      </c>
      <c r="Y136" s="39" t="str">
        <f t="shared" ref="Y136:Y141" si="589">IFERROR(SUM(V40:Y40)/SUM(Q40:T40)*100-100,"")</f>
        <v/>
      </c>
      <c r="Z136" s="40" t="str">
        <f t="shared" ref="Z136:AA141" si="590">IFERROR(Z40/U40*100-100,"")</f>
        <v/>
      </c>
      <c r="AA136" s="39">
        <f t="shared" si="590"/>
        <v>8.4134669134282092</v>
      </c>
      <c r="AB136" s="39">
        <f t="shared" ref="AB136:AB141" si="591">IFERROR(SUM(AA40:AB40)/SUM(V40:W40)*100-100,"")</f>
        <v>7.183579214179403</v>
      </c>
      <c r="AC136" s="39">
        <f t="shared" ref="AC136:AC141" si="592">IFERROR(SUM(AA40:AC40)/SUM(V40:X40)*100-100,"")</f>
        <v>5.3143991744398988</v>
      </c>
      <c r="AD136" s="39">
        <f t="shared" ref="AD136:AD141" si="593">IFERROR(SUM(AA40:AD40)/SUM(V40:Y40)*100-100,"")</f>
        <v>4.0008357052648336</v>
      </c>
      <c r="AE136" s="40">
        <f t="shared" ref="AE136:AF141" si="594">IFERROR(AE40/Z40*100-100,"")</f>
        <v>4.0008357052648336</v>
      </c>
      <c r="AF136" s="39">
        <f t="shared" si="594"/>
        <v>2.6097697076815365</v>
      </c>
      <c r="AG136" s="39">
        <f t="shared" ref="AG136:AG141" si="595">IFERROR(SUM(AF40:AG40)/SUM(AA40:AB40)*100-100,"")</f>
        <v>3.9086731087453188</v>
      </c>
      <c r="AH136" s="39">
        <f t="shared" ref="AH136:AH141" si="596">IFERROR(SUM(AF40:AH40)/SUM(AA40:AC40)*100-100,"")</f>
        <v>4.7144467042755593</v>
      </c>
      <c r="AI136" s="39">
        <f t="shared" ref="AI136:AI141" si="597">IFERROR(SUM(AF40:AI40)/SUM(AA40:AD40)*100-100,"")</f>
        <v>5.4858858799808417</v>
      </c>
      <c r="AJ136" s="40">
        <f t="shared" ref="AJ136:AK141" si="598">IFERROR(AJ40/AE40*100-100,"")</f>
        <v>5.4858858799808417</v>
      </c>
      <c r="AK136" s="39">
        <f t="shared" si="598"/>
        <v>4.8854677490552518</v>
      </c>
      <c r="AL136" s="39">
        <f t="shared" ref="AL136:AL141" si="599">IFERROR(SUM(AK40:AL40)/SUM(AF40:AG40)*100-100,"")</f>
        <v>5.3415654647978528</v>
      </c>
      <c r="AM136" s="39">
        <f t="shared" ref="AM136:AM141" si="600">IFERROR(SUM(AK40:AM40)/SUM(AF40:AH40)*100-100,"")</f>
        <v>5.7469996899709201</v>
      </c>
      <c r="AN136" s="39">
        <f t="shared" ref="AN136:AN141" si="601">IFERROR(SUM(AK40:AN40)/SUM(AF40:AI40)*100-100,"")</f>
        <v>5.9832163380124683</v>
      </c>
      <c r="AO136" s="40">
        <f t="shared" ref="AO136:AP141" si="602">IFERROR(AO40/AJ40*100-100,"")</f>
        <v>5.9832163380124683</v>
      </c>
      <c r="AP136" s="39">
        <f t="shared" si="602"/>
        <v>11.415830468485069</v>
      </c>
      <c r="AQ136" s="39">
        <f t="shared" ref="AQ136:AQ141" si="603">IFERROR(SUM(AP40:AQ40)/SUM(AK40:AL40)*100-100,"")</f>
        <v>9.4706553106490077</v>
      </c>
      <c r="AR136" s="39">
        <f t="shared" ref="AR136:AR141" si="604">IFERROR(SUM(AP40:AR40)/SUM(AK40:AM40)*100-100,"")</f>
        <v>7.6824799290819357</v>
      </c>
      <c r="AS136" s="39">
        <f t="shared" ref="AS136:AS141" si="605">IFERROR(SUM(AP40:AS40)/SUM(AK40:AN40)*100-100,"")</f>
        <v>6.4542349815184679</v>
      </c>
      <c r="AT136" s="40">
        <f t="shared" ref="AT136:AU141" si="606">IFERROR(AT40/AO40*100-100,"")</f>
        <v>6.4542349815184679</v>
      </c>
      <c r="AU136" s="39">
        <f t="shared" si="606"/>
        <v>3.7728744899317093</v>
      </c>
      <c r="AV136" s="39">
        <f t="shared" ref="AV136:AV141" si="607">IFERROR(SUM(AU40:AV40)/SUM(AP40:AQ40)*100-100,"")</f>
        <v>4.0776870140631729</v>
      </c>
      <c r="AW136" s="39">
        <f t="shared" ref="AW136:AW141" si="608">IFERROR(SUM(AU40:AW40)/SUM(AP40:AR40)*100-100,"")</f>
        <v>3.9166697794571093</v>
      </c>
      <c r="AX136" s="39">
        <f t="shared" ref="AX136:AX141" si="609">IFERROR(SUM(AU40:AX40)/SUM(AP40:AS40)*100-100,"")</f>
        <v>3.2837084430982912</v>
      </c>
      <c r="AY136" s="40">
        <f t="shared" ref="AY136:AZ141" si="610">IFERROR(AY40/AT40*100-100,"")</f>
        <v>3.2837084430982912</v>
      </c>
      <c r="AZ136" s="39">
        <f t="shared" si="610"/>
        <v>5.4478941811892128</v>
      </c>
      <c r="BA136" s="39">
        <f t="shared" ref="BA136:BA141" si="611">IFERROR(SUM(AZ40:BA40)/SUM(AU40:AV40)*100-100,"")</f>
        <v>5.8005681654388326</v>
      </c>
      <c r="BB136" s="39">
        <f t="shared" ref="BB136:BB141" si="612">IFERROR(SUM(AZ40:BB40)/SUM(AU40:AW40)*100-100,"")</f>
        <v>5.7212846228398035</v>
      </c>
      <c r="BC136" s="39">
        <f t="shared" ref="BC136:BC141" si="613">IFERROR(SUM(AZ40:BC40)/SUM(AU40:AX40)*100-100,"")</f>
        <v>6.0466576481460947</v>
      </c>
      <c r="BD136" s="40">
        <f t="shared" ref="BD136:BE141" si="614">IFERROR(BD40/AY40*100-100,"")</f>
        <v>6.0466576481460947</v>
      </c>
      <c r="BE136" s="39">
        <f t="shared" si="614"/>
        <v>5.7512253606937946</v>
      </c>
      <c r="BF136" s="39">
        <f t="shared" ref="BF136:BF141" si="615">IFERROR(SUM(BE40:BF40)/SUM(AZ40:BA40)*100-100,"")</f>
        <v>7.8037147396981652</v>
      </c>
      <c r="BG136" s="39">
        <f t="shared" ref="BG136:BG141" si="616">IFERROR(SUM(BE40:BG40)/SUM(AZ40:BB40)*100-100,"")</f>
        <v>7.633078573960276</v>
      </c>
      <c r="BH136" s="39">
        <f t="shared" ref="BH136:BH141" si="617">IFERROR(SUM(BE40:BH40)/SUM(AZ40:BC40)*100-100,"")</f>
        <v>7.1876371499212155</v>
      </c>
      <c r="BI136" s="40">
        <f t="shared" ref="BI136:BJ141" si="618">IFERROR(BI40/BD40*100-100,"")</f>
        <v>7.1876371499212155</v>
      </c>
      <c r="BJ136" s="39">
        <f t="shared" si="618"/>
        <v>3.4002251933515879</v>
      </c>
      <c r="BK136" s="39">
        <f t="shared" ref="BK136:BK141" si="619">IFERROR(SUM(BJ40:BK40)/SUM(BE40:BF40)*100-100,"")</f>
        <v>-8.9950201782330197</v>
      </c>
      <c r="BL136" s="39">
        <f t="shared" ref="BL136:BL141" si="620">IFERROR(SUM(BJ40:BL40)/SUM(BE40:BG40)*100-100,"")</f>
        <v>-15.280873328493826</v>
      </c>
      <c r="BM136" s="39">
        <f t="shared" ref="BM136:BM141" si="621">IFERROR(SUM(BJ40:BM40)/SUM(BE40:BH40)*100-100,"")</f>
        <v>-19.388869927942608</v>
      </c>
      <c r="BN136" s="40">
        <f t="shared" ref="BN136:BO141" si="622">IFERROR(BN40/BI40*100-100,"")</f>
        <v>-19.388869927942608</v>
      </c>
      <c r="BO136" s="39">
        <f t="shared" si="622"/>
        <v>-28.859153804353582</v>
      </c>
      <c r="BP136" s="39">
        <f t="shared" ref="BP136:BP141" si="623">IFERROR(SUM(BO40:BP40)/SUM(BJ40:BK40)*100-100,"")</f>
        <v>-18.638648429012676</v>
      </c>
      <c r="BQ136" s="39">
        <f t="shared" ref="BQ136:BQ141" si="624">IFERROR(SUM(BO40:BQ40)/SUM(BJ40:BL40)*100-100,"")</f>
        <v>-13.237780268095349</v>
      </c>
      <c r="BR136" s="39">
        <f t="shared" ref="BR136:BR141" si="625">IFERROR(SUM(BO40:BR40)/SUM(BJ40:BM40)*100-100,"")</f>
        <v>-9.8156554384051731</v>
      </c>
      <c r="BS136" s="40">
        <f t="shared" ref="BS136:BT141" si="626">IFERROR(BS40/BN40*100-100,"")</f>
        <v>-9.8156554384051731</v>
      </c>
      <c r="BT136" s="39">
        <f t="shared" si="626"/>
        <v>0.84227982323197637</v>
      </c>
      <c r="BU136" s="39">
        <f t="shared" ref="BU136:BU141" si="627">IFERROR(SUM(BT40:BU40)/SUM(BO40:BP40)*100-100,"")</f>
        <v>1.1043253515672404</v>
      </c>
      <c r="BV136" s="39">
        <f t="shared" ref="BV136:BV141" si="628">IFERROR(SUM(BT40:BV40)/SUM(BO40:BQ40)*100-100,"")</f>
        <v>2.3275083082628498</v>
      </c>
      <c r="BW136" s="39">
        <f t="shared" ref="BW136:BW141" si="629">IFERROR(SUM(BT40:BW40)/SUM(BO40:BR40)*100-100,"")</f>
        <v>3.0263463456867044</v>
      </c>
      <c r="BX136" s="40">
        <f t="shared" ref="BX136:BY141" si="630">IFERROR(BX40/BS40*100-100,"")</f>
        <v>3.0263463456867044</v>
      </c>
      <c r="BY136" s="39">
        <f t="shared" si="630"/>
        <v>9.017912687090444</v>
      </c>
      <c r="BZ136" s="39">
        <f t="shared" ref="BZ136:BZ141" si="631">IFERROR(SUM(BY40:BZ40)/SUM(BT40:BU40)*100-100,"")</f>
        <v>4.8416704835164666</v>
      </c>
      <c r="CA136" s="39">
        <f t="shared" ref="CA136:CA141" si="632">IFERROR(SUM(BY40:CA40)/SUM(BT40:BV40)*100-100,"")</f>
        <v>3.3918113736384186</v>
      </c>
      <c r="CB136" s="39">
        <f t="shared" ref="CB136:CB141" si="633">IFERROR(SUM(BY40:CB40)/SUM(BT40:BW40)*100-100,"")</f>
        <v>2.5911496376975123</v>
      </c>
      <c r="CC136" s="40">
        <f t="shared" ref="CC136:CD141" si="634">IFERROR(CC40/BX40*100-100,"")</f>
        <v>2.5911496376975123</v>
      </c>
      <c r="CD136" s="39">
        <f t="shared" si="634"/>
        <v>4.9313412790427122</v>
      </c>
      <c r="CE136" s="39">
        <f t="shared" ref="CE136:CE141" si="635">IFERROR(SUM(CD40:CE40)/SUM(BY40:BZ40)*100-100,"")</f>
        <v>4.305122164631527</v>
      </c>
      <c r="CF136" s="39">
        <f t="shared" ref="CF136:CF141" si="636">IFERROR(SUM(CD40:CF40)/SUM(BY40:CA40)*100-100,"")</f>
        <v>3.9030478572399119</v>
      </c>
      <c r="CG136" s="39">
        <f t="shared" ref="CG136:CG141" si="637">IFERROR(SUM(CD40:CG40)/SUM(BY40:CB40)*100-100,"")</f>
        <v>4.0413885566053835</v>
      </c>
      <c r="CH136" s="40">
        <f t="shared" ref="CH136:CI141" si="638">IFERROR(CH40/CC40*100-100,"")</f>
        <v>4.0413885566053835</v>
      </c>
      <c r="CI136" s="39">
        <f t="shared" si="638"/>
        <v>3.4029200567381253</v>
      </c>
      <c r="CJ136" s="39">
        <f t="shared" ref="CJ136:CJ141" si="639">IFERROR(SUM(CI40:CJ40)/SUM(CD40:CE40)*100-100,"")</f>
        <v>3.4110043504493035</v>
      </c>
      <c r="CK136" s="39">
        <f t="shared" ref="CK136:CK141" si="640">IFERROR(SUM(CI40:CK40)/SUM(CD40:CF40)*100-100,"")</f>
        <v>3.2096320776682035</v>
      </c>
      <c r="CL136" s="39">
        <f t="shared" ref="CL136:CL141" si="641">IFERROR(SUM(CI40:CL40)/SUM(CD40:CG40)*100-100,"")</f>
        <v>3.7934754973955904</v>
      </c>
      <c r="CM136" s="40">
        <f t="shared" ref="CM136:CN141" si="642">IFERROR(CM40/CH40*100-100,"")</f>
        <v>3.7934754973955904</v>
      </c>
      <c r="CN136" s="39">
        <f t="shared" si="642"/>
        <v>-100</v>
      </c>
      <c r="CO136" s="39">
        <f t="shared" ref="CO136:CO141" si="643">IFERROR(SUM(CN40:CO40)/SUM(CI40:CJ40)*100-100,"")</f>
        <v>-100</v>
      </c>
      <c r="CP136" s="39">
        <f t="shared" ref="CP136:CP141" si="644">IFERROR(SUM(CN40:CP40)/SUM(CI40:CK40)*100-100,"")</f>
        <v>-100</v>
      </c>
      <c r="CQ136" s="39">
        <f t="shared" ref="CQ136:CQ141" si="645">IFERROR(SUM(CN40:CQ40)/SUM(CI40:CL40)*100-100,"")</f>
        <v>-100</v>
      </c>
      <c r="CR136" s="40">
        <f t="shared" ref="CR136:CR141" si="646">IFERROR(CR40/CM40*100-100,"")</f>
        <v>-100</v>
      </c>
    </row>
    <row r="137" spans="1:96" s="9" customFormat="1" ht="15" x14ac:dyDescent="0.4">
      <c r="A137" s="18" t="s">
        <v>82</v>
      </c>
      <c r="B137" s="38"/>
      <c r="C137" s="38"/>
      <c r="D137" s="38"/>
      <c r="E137" s="38"/>
      <c r="F137" s="38"/>
      <c r="G137" s="39">
        <f t="shared" si="574"/>
        <v>8.499373578918636</v>
      </c>
      <c r="H137" s="39">
        <f t="shared" si="575"/>
        <v>6.3047153902200819</v>
      </c>
      <c r="I137" s="39">
        <f t="shared" si="576"/>
        <v>5.5326727696854761</v>
      </c>
      <c r="J137" s="39">
        <f t="shared" si="577"/>
        <v>2.8214384733926039</v>
      </c>
      <c r="K137" s="40">
        <f t="shared" si="578"/>
        <v>2.8214384733926039</v>
      </c>
      <c r="L137" s="39">
        <f t="shared" si="578"/>
        <v>-0.1511987540126114</v>
      </c>
      <c r="M137" s="39">
        <f t="shared" si="579"/>
        <v>-1.0811408634913988</v>
      </c>
      <c r="N137" s="39">
        <f t="shared" si="580"/>
        <v>-1.2455453156117926</v>
      </c>
      <c r="O137" s="39">
        <f t="shared" si="581"/>
        <v>0.49705027905746135</v>
      </c>
      <c r="P137" s="40">
        <f t="shared" si="582"/>
        <v>0.49705027905746135</v>
      </c>
      <c r="Q137" s="39">
        <f t="shared" si="582"/>
        <v>0.95433428506200357</v>
      </c>
      <c r="R137" s="39" t="str">
        <f t="shared" si="583"/>
        <v/>
      </c>
      <c r="S137" s="39" t="str">
        <f t="shared" si="584"/>
        <v/>
      </c>
      <c r="T137" s="39" t="str">
        <f t="shared" si="585"/>
        <v/>
      </c>
      <c r="U137" s="40" t="str">
        <f t="shared" si="586"/>
        <v/>
      </c>
      <c r="V137" s="39">
        <f t="shared" si="586"/>
        <v>7.6321343797399237</v>
      </c>
      <c r="W137" s="39" t="str">
        <f t="shared" si="587"/>
        <v/>
      </c>
      <c r="X137" s="39" t="str">
        <f t="shared" si="588"/>
        <v/>
      </c>
      <c r="Y137" s="39" t="str">
        <f t="shared" si="589"/>
        <v/>
      </c>
      <c r="Z137" s="40" t="str">
        <f t="shared" si="590"/>
        <v/>
      </c>
      <c r="AA137" s="39">
        <f t="shared" si="590"/>
        <v>5.4033113834340156</v>
      </c>
      <c r="AB137" s="39">
        <f t="shared" si="591"/>
        <v>6.825424633243756</v>
      </c>
      <c r="AC137" s="39">
        <f t="shared" si="592"/>
        <v>6.6954060146448029</v>
      </c>
      <c r="AD137" s="39">
        <f t="shared" si="593"/>
        <v>6.1807462040760726</v>
      </c>
      <c r="AE137" s="40">
        <f t="shared" si="594"/>
        <v>6.1807462040760726</v>
      </c>
      <c r="AF137" s="39">
        <f t="shared" si="594"/>
        <v>2.775266133165033</v>
      </c>
      <c r="AG137" s="39">
        <f t="shared" si="595"/>
        <v>3.2470421394128692</v>
      </c>
      <c r="AH137" s="39">
        <f t="shared" si="596"/>
        <v>4.1488768005598473</v>
      </c>
      <c r="AI137" s="39">
        <f t="shared" si="597"/>
        <v>5.0330948395525894</v>
      </c>
      <c r="AJ137" s="40">
        <f t="shared" si="598"/>
        <v>5.0330948395525894</v>
      </c>
      <c r="AK137" s="39">
        <f t="shared" si="598"/>
        <v>9.5265718133056225</v>
      </c>
      <c r="AL137" s="39">
        <f t="shared" si="599"/>
        <v>9.503134122204159</v>
      </c>
      <c r="AM137" s="39">
        <f t="shared" si="600"/>
        <v>8.2004648584779574</v>
      </c>
      <c r="AN137" s="39">
        <f t="shared" si="601"/>
        <v>7.3148851462555342</v>
      </c>
      <c r="AO137" s="40">
        <f t="shared" si="602"/>
        <v>7.3148851462555342</v>
      </c>
      <c r="AP137" s="39">
        <f t="shared" si="602"/>
        <v>6.3981741392317417</v>
      </c>
      <c r="AQ137" s="39">
        <f t="shared" si="603"/>
        <v>5.3641449900008809</v>
      </c>
      <c r="AR137" s="39">
        <f t="shared" si="604"/>
        <v>4.5699084086480752</v>
      </c>
      <c r="AS137" s="39">
        <f t="shared" si="605"/>
        <v>4.0902248132690318</v>
      </c>
      <c r="AT137" s="40">
        <f t="shared" si="606"/>
        <v>4.0902248132690318</v>
      </c>
      <c r="AU137" s="39">
        <f t="shared" si="606"/>
        <v>3.4937849571375068</v>
      </c>
      <c r="AV137" s="39">
        <f t="shared" si="607"/>
        <v>3.4235920316419737</v>
      </c>
      <c r="AW137" s="39">
        <f t="shared" si="608"/>
        <v>3.3878963270752536</v>
      </c>
      <c r="AX137" s="39">
        <f t="shared" si="609"/>
        <v>2.7964001627236001</v>
      </c>
      <c r="AY137" s="40">
        <f t="shared" si="610"/>
        <v>2.7964001627236001</v>
      </c>
      <c r="AZ137" s="39">
        <f t="shared" si="610"/>
        <v>-0.4322417547805486</v>
      </c>
      <c r="BA137" s="39">
        <f t="shared" si="611"/>
        <v>-3.1640655712990906E-2</v>
      </c>
      <c r="BB137" s="39">
        <f t="shared" si="612"/>
        <v>-2.3035341762877692E-2</v>
      </c>
      <c r="BC137" s="39">
        <f t="shared" si="613"/>
        <v>0.13843356271019047</v>
      </c>
      <c r="BD137" s="40">
        <f t="shared" si="614"/>
        <v>0.13843356271019047</v>
      </c>
      <c r="BE137" s="39">
        <f t="shared" si="614"/>
        <v>3.1508254278410419</v>
      </c>
      <c r="BF137" s="39">
        <f t="shared" si="615"/>
        <v>3.6728563653727377</v>
      </c>
      <c r="BG137" s="39">
        <f t="shared" si="616"/>
        <v>4.0987489207026755</v>
      </c>
      <c r="BH137" s="39">
        <f t="shared" si="617"/>
        <v>3.930778445738099</v>
      </c>
      <c r="BI137" s="40">
        <f t="shared" si="618"/>
        <v>3.930778445738099</v>
      </c>
      <c r="BJ137" s="39">
        <f t="shared" si="618"/>
        <v>4.6461401147150951</v>
      </c>
      <c r="BK137" s="39">
        <f t="shared" si="619"/>
        <v>1.8804535605318762</v>
      </c>
      <c r="BL137" s="39">
        <f t="shared" si="620"/>
        <v>-2.7515284455859046E-2</v>
      </c>
      <c r="BM137" s="39">
        <f t="shared" si="621"/>
        <v>-0.17546569755751307</v>
      </c>
      <c r="BN137" s="40">
        <f t="shared" si="622"/>
        <v>-0.17546569755751307</v>
      </c>
      <c r="BO137" s="39">
        <f t="shared" si="622"/>
        <v>2.6228894421869882</v>
      </c>
      <c r="BP137" s="39">
        <f t="shared" si="623"/>
        <v>4.0091965814429216</v>
      </c>
      <c r="BQ137" s="39">
        <f t="shared" si="624"/>
        <v>4.6753077236449485</v>
      </c>
      <c r="BR137" s="39">
        <f t="shared" si="625"/>
        <v>3.8342718347079199</v>
      </c>
      <c r="BS137" s="40">
        <f t="shared" si="626"/>
        <v>3.8342718347079199</v>
      </c>
      <c r="BT137" s="39">
        <f t="shared" si="626"/>
        <v>-1.3121269600668342</v>
      </c>
      <c r="BU137" s="39">
        <f t="shared" si="627"/>
        <v>-6.7960893408240963E-2</v>
      </c>
      <c r="BV137" s="39">
        <f t="shared" si="628"/>
        <v>1.8640823205959833</v>
      </c>
      <c r="BW137" s="39">
        <f t="shared" si="629"/>
        <v>3.1084645650000198</v>
      </c>
      <c r="BX137" s="40">
        <f t="shared" si="630"/>
        <v>3.1084645650000198</v>
      </c>
      <c r="BY137" s="39">
        <f t="shared" si="630"/>
        <v>6.1726521838240842</v>
      </c>
      <c r="BZ137" s="39">
        <f t="shared" si="631"/>
        <v>4.5414227577790456</v>
      </c>
      <c r="CA137" s="39">
        <f t="shared" si="632"/>
        <v>3.0457484922746403</v>
      </c>
      <c r="CB137" s="39">
        <f t="shared" si="633"/>
        <v>2.3111026013526583</v>
      </c>
      <c r="CC137" s="40">
        <f t="shared" si="634"/>
        <v>2.3111026013526583</v>
      </c>
      <c r="CD137" s="39">
        <f t="shared" si="634"/>
        <v>2.7695470193694405</v>
      </c>
      <c r="CE137" s="39">
        <f t="shared" si="635"/>
        <v>2.1325550070491488</v>
      </c>
      <c r="CF137" s="39">
        <f t="shared" si="636"/>
        <v>1.4199181269284793</v>
      </c>
      <c r="CG137" s="39">
        <f t="shared" si="637"/>
        <v>1.0683970608266691</v>
      </c>
      <c r="CH137" s="40">
        <f t="shared" si="638"/>
        <v>1.0683970608266691</v>
      </c>
      <c r="CI137" s="39">
        <f t="shared" si="638"/>
        <v>-1.0600025675693274</v>
      </c>
      <c r="CJ137" s="39">
        <f t="shared" si="639"/>
        <v>-0.34702178430188724</v>
      </c>
      <c r="CK137" s="39">
        <f t="shared" si="640"/>
        <v>0.4157882173896752</v>
      </c>
      <c r="CL137" s="39">
        <f t="shared" si="641"/>
        <v>0.81654519756966693</v>
      </c>
      <c r="CM137" s="40">
        <f t="shared" si="642"/>
        <v>0.81654519756966693</v>
      </c>
      <c r="CN137" s="39">
        <f t="shared" si="642"/>
        <v>-100</v>
      </c>
      <c r="CO137" s="39">
        <f t="shared" si="643"/>
        <v>-100</v>
      </c>
      <c r="CP137" s="39">
        <f t="shared" si="644"/>
        <v>-100</v>
      </c>
      <c r="CQ137" s="39">
        <f t="shared" si="645"/>
        <v>-100</v>
      </c>
      <c r="CR137" s="40">
        <f t="shared" si="646"/>
        <v>-100</v>
      </c>
    </row>
    <row r="138" spans="1:96" s="9" customFormat="1" ht="15" x14ac:dyDescent="0.4">
      <c r="A138" s="18" t="s">
        <v>83</v>
      </c>
      <c r="B138" s="41"/>
      <c r="C138" s="41"/>
      <c r="D138" s="41"/>
      <c r="E138" s="41"/>
      <c r="F138" s="41"/>
      <c r="G138" s="39">
        <f t="shared" si="574"/>
        <v>4.3656709799669784</v>
      </c>
      <c r="H138" s="39">
        <f t="shared" si="575"/>
        <v>4.2214696137831424</v>
      </c>
      <c r="I138" s="39">
        <f t="shared" si="576"/>
        <v>3.6528044706688974</v>
      </c>
      <c r="J138" s="39">
        <f t="shared" si="577"/>
        <v>3.8119927241650373</v>
      </c>
      <c r="K138" s="40">
        <f t="shared" si="578"/>
        <v>3.8119927241650373</v>
      </c>
      <c r="L138" s="39">
        <f t="shared" si="578"/>
        <v>9.2625873103112042</v>
      </c>
      <c r="M138" s="39">
        <f t="shared" si="579"/>
        <v>5.2224169048560753</v>
      </c>
      <c r="N138" s="39">
        <f t="shared" si="580"/>
        <v>3.3247530322483954</v>
      </c>
      <c r="O138" s="39">
        <f t="shared" si="581"/>
        <v>2.9970979421715072</v>
      </c>
      <c r="P138" s="40">
        <f t="shared" si="582"/>
        <v>2.9970979421715072</v>
      </c>
      <c r="Q138" s="39">
        <f t="shared" si="582"/>
        <v>0.16717360253460356</v>
      </c>
      <c r="R138" s="39" t="str">
        <f t="shared" si="583"/>
        <v/>
      </c>
      <c r="S138" s="39" t="str">
        <f t="shared" si="584"/>
        <v/>
      </c>
      <c r="T138" s="39" t="str">
        <f t="shared" si="585"/>
        <v/>
      </c>
      <c r="U138" s="40" t="str">
        <f t="shared" si="586"/>
        <v/>
      </c>
      <c r="V138" s="39">
        <f t="shared" si="586"/>
        <v>3.6341980190726559</v>
      </c>
      <c r="W138" s="39" t="str">
        <f t="shared" si="587"/>
        <v/>
      </c>
      <c r="X138" s="39" t="str">
        <f t="shared" si="588"/>
        <v/>
      </c>
      <c r="Y138" s="39" t="str">
        <f t="shared" si="589"/>
        <v/>
      </c>
      <c r="Z138" s="40" t="str">
        <f t="shared" si="590"/>
        <v/>
      </c>
      <c r="AA138" s="39">
        <f t="shared" si="590"/>
        <v>8.811343095874463</v>
      </c>
      <c r="AB138" s="39">
        <f t="shared" si="591"/>
        <v>6.0852932619279443</v>
      </c>
      <c r="AC138" s="39">
        <f t="shared" si="592"/>
        <v>4.816722372322161</v>
      </c>
      <c r="AD138" s="39">
        <f t="shared" si="593"/>
        <v>4.5755844504758301</v>
      </c>
      <c r="AE138" s="40">
        <f t="shared" si="594"/>
        <v>4.5755844504758301</v>
      </c>
      <c r="AF138" s="39">
        <f t="shared" si="594"/>
        <v>8.8042730513161729</v>
      </c>
      <c r="AG138" s="39">
        <f t="shared" si="595"/>
        <v>8.4815080173729314</v>
      </c>
      <c r="AH138" s="39">
        <f t="shared" si="596"/>
        <v>7.2324222950780808</v>
      </c>
      <c r="AI138" s="39">
        <f t="shared" si="597"/>
        <v>7.0777534190502109</v>
      </c>
      <c r="AJ138" s="40">
        <f t="shared" si="598"/>
        <v>7.0777534190502109</v>
      </c>
      <c r="AK138" s="39">
        <f t="shared" si="598"/>
        <v>7.248805108771549</v>
      </c>
      <c r="AL138" s="39">
        <f t="shared" si="599"/>
        <v>8.3407467858179984</v>
      </c>
      <c r="AM138" s="39">
        <f t="shared" si="600"/>
        <v>8.7705768104968485</v>
      </c>
      <c r="AN138" s="39">
        <f t="shared" si="601"/>
        <v>8.8581548738883527</v>
      </c>
      <c r="AO138" s="40">
        <f t="shared" si="602"/>
        <v>8.8581548738883527</v>
      </c>
      <c r="AP138" s="39">
        <f t="shared" si="602"/>
        <v>7.7010476792836329</v>
      </c>
      <c r="AQ138" s="39">
        <f t="shared" si="603"/>
        <v>6.3245610773659422</v>
      </c>
      <c r="AR138" s="39">
        <f t="shared" si="604"/>
        <v>5.0484164445056052</v>
      </c>
      <c r="AS138" s="39">
        <f t="shared" si="605"/>
        <v>4.1363462118358001</v>
      </c>
      <c r="AT138" s="40">
        <f t="shared" si="606"/>
        <v>4.1363462118358001</v>
      </c>
      <c r="AU138" s="39">
        <f t="shared" si="606"/>
        <v>4.0635897807310641</v>
      </c>
      <c r="AV138" s="39">
        <f t="shared" si="607"/>
        <v>5.8306565344477832</v>
      </c>
      <c r="AW138" s="39">
        <f t="shared" si="608"/>
        <v>6.4015811051610427</v>
      </c>
      <c r="AX138" s="39">
        <f t="shared" si="609"/>
        <v>6.0491144724637707</v>
      </c>
      <c r="AY138" s="40">
        <f t="shared" si="610"/>
        <v>6.0491144724637707</v>
      </c>
      <c r="AZ138" s="39">
        <f t="shared" si="610"/>
        <v>1.8133035887443896</v>
      </c>
      <c r="BA138" s="39">
        <f t="shared" si="611"/>
        <v>1.6300493610696805</v>
      </c>
      <c r="BB138" s="39">
        <f t="shared" si="612"/>
        <v>2.2449034637945289</v>
      </c>
      <c r="BC138" s="39">
        <f t="shared" si="613"/>
        <v>3.1997278784309628</v>
      </c>
      <c r="BD138" s="40">
        <f t="shared" si="614"/>
        <v>3.1997278784309628</v>
      </c>
      <c r="BE138" s="39">
        <f t="shared" si="614"/>
        <v>6.4482130971788649</v>
      </c>
      <c r="BF138" s="39">
        <f t="shared" si="615"/>
        <v>7.376297969972839</v>
      </c>
      <c r="BG138" s="39">
        <f t="shared" si="616"/>
        <v>8.1375438678742853</v>
      </c>
      <c r="BH138" s="39">
        <f t="shared" si="617"/>
        <v>8.2987571372679696</v>
      </c>
      <c r="BI138" s="40">
        <f t="shared" si="618"/>
        <v>8.2987571372679696</v>
      </c>
      <c r="BJ138" s="39">
        <f t="shared" si="618"/>
        <v>9.6489941212917927</v>
      </c>
      <c r="BK138" s="39">
        <f t="shared" si="619"/>
        <v>7.894459238442721</v>
      </c>
      <c r="BL138" s="39">
        <f t="shared" si="620"/>
        <v>7.3378854662933009</v>
      </c>
      <c r="BM138" s="39">
        <f t="shared" si="621"/>
        <v>7.056725474354721</v>
      </c>
      <c r="BN138" s="40">
        <f t="shared" si="622"/>
        <v>7.056725474354721</v>
      </c>
      <c r="BO138" s="39">
        <f t="shared" si="622"/>
        <v>-0.38686874016619299</v>
      </c>
      <c r="BP138" s="39">
        <f t="shared" si="623"/>
        <v>-0.21062911833007547</v>
      </c>
      <c r="BQ138" s="39">
        <f t="shared" si="624"/>
        <v>1.1676239549887271</v>
      </c>
      <c r="BR138" s="39">
        <f t="shared" si="625"/>
        <v>0.80577500865138063</v>
      </c>
      <c r="BS138" s="40">
        <f t="shared" si="626"/>
        <v>0.80577500865138063</v>
      </c>
      <c r="BT138" s="39">
        <f t="shared" si="626"/>
        <v>9.3092422619905193</v>
      </c>
      <c r="BU138" s="39">
        <f t="shared" si="627"/>
        <v>7.9408968318138449</v>
      </c>
      <c r="BV138" s="39">
        <f t="shared" si="628"/>
        <v>6.2294462589095048</v>
      </c>
      <c r="BW138" s="39">
        <f t="shared" si="629"/>
        <v>5.824987649999855</v>
      </c>
      <c r="BX138" s="40">
        <f t="shared" si="630"/>
        <v>5.824987649999855</v>
      </c>
      <c r="BY138" s="39">
        <f t="shared" si="630"/>
        <v>3.2066254654763924</v>
      </c>
      <c r="BZ138" s="39">
        <f t="shared" si="631"/>
        <v>3.0636453426755992</v>
      </c>
      <c r="CA138" s="39">
        <f t="shared" si="632"/>
        <v>2.1241891563183515</v>
      </c>
      <c r="CB138" s="39">
        <f t="shared" si="633"/>
        <v>1.8669481071616616</v>
      </c>
      <c r="CC138" s="40">
        <f t="shared" si="634"/>
        <v>1.8669481071616616</v>
      </c>
      <c r="CD138" s="39">
        <f t="shared" si="634"/>
        <v>5.0942795813166981</v>
      </c>
      <c r="CE138" s="39">
        <f t="shared" si="635"/>
        <v>4.9479919746480618</v>
      </c>
      <c r="CF138" s="39">
        <f t="shared" si="636"/>
        <v>4.021562294067067</v>
      </c>
      <c r="CG138" s="39">
        <f t="shared" si="637"/>
        <v>3.8298138049423898</v>
      </c>
      <c r="CH138" s="40">
        <f t="shared" si="638"/>
        <v>3.8298138049423898</v>
      </c>
      <c r="CI138" s="39">
        <f t="shared" si="638"/>
        <v>2.4544729950893895</v>
      </c>
      <c r="CJ138" s="39">
        <f t="shared" si="639"/>
        <v>3.6221875578136888</v>
      </c>
      <c r="CK138" s="39">
        <f t="shared" si="640"/>
        <v>3.5780609164251445</v>
      </c>
      <c r="CL138" s="39">
        <f t="shared" si="641"/>
        <v>3.443526240388465</v>
      </c>
      <c r="CM138" s="40">
        <f t="shared" si="642"/>
        <v>3.443526240388465</v>
      </c>
      <c r="CN138" s="39">
        <f t="shared" si="642"/>
        <v>-100</v>
      </c>
      <c r="CO138" s="39">
        <f t="shared" si="643"/>
        <v>-100</v>
      </c>
      <c r="CP138" s="39">
        <f t="shared" si="644"/>
        <v>-100</v>
      </c>
      <c r="CQ138" s="39">
        <f t="shared" si="645"/>
        <v>-100</v>
      </c>
      <c r="CR138" s="40">
        <f t="shared" si="646"/>
        <v>-100</v>
      </c>
    </row>
    <row r="139" spans="1:96" s="9" customFormat="1" ht="15" x14ac:dyDescent="0.4">
      <c r="A139" s="18" t="s">
        <v>84</v>
      </c>
      <c r="B139" s="38"/>
      <c r="C139" s="38"/>
      <c r="D139" s="38"/>
      <c r="E139" s="38"/>
      <c r="F139" s="38"/>
      <c r="G139" s="39">
        <f t="shared" si="574"/>
        <v>2.6417142518751433</v>
      </c>
      <c r="H139" s="39">
        <f t="shared" si="575"/>
        <v>3.0626817243963416</v>
      </c>
      <c r="I139" s="39">
        <f t="shared" si="576"/>
        <v>3.2127469827782704</v>
      </c>
      <c r="J139" s="39">
        <f t="shared" si="577"/>
        <v>3.5833966703862075</v>
      </c>
      <c r="K139" s="40">
        <f t="shared" si="578"/>
        <v>3.5833966703862075</v>
      </c>
      <c r="L139" s="39">
        <f t="shared" si="578"/>
        <v>12.494192217764947</v>
      </c>
      <c r="M139" s="39">
        <f t="shared" si="579"/>
        <v>20.950736170997672</v>
      </c>
      <c r="N139" s="39">
        <f t="shared" si="580"/>
        <v>24.88351553457764</v>
      </c>
      <c r="O139" s="39">
        <f t="shared" si="581"/>
        <v>26.790274117554304</v>
      </c>
      <c r="P139" s="40">
        <f t="shared" si="582"/>
        <v>26.790274117554304</v>
      </c>
      <c r="Q139" s="39">
        <f t="shared" si="582"/>
        <v>9.0222324818510629</v>
      </c>
      <c r="R139" s="39" t="str">
        <f t="shared" si="583"/>
        <v/>
      </c>
      <c r="S139" s="39" t="str">
        <f t="shared" si="584"/>
        <v/>
      </c>
      <c r="T139" s="39" t="str">
        <f t="shared" si="585"/>
        <v/>
      </c>
      <c r="U139" s="40" t="str">
        <f t="shared" si="586"/>
        <v/>
      </c>
      <c r="V139" s="39">
        <f t="shared" si="586"/>
        <v>-10.195874651039034</v>
      </c>
      <c r="W139" s="39" t="str">
        <f t="shared" si="587"/>
        <v/>
      </c>
      <c r="X139" s="39" t="str">
        <f t="shared" si="588"/>
        <v/>
      </c>
      <c r="Y139" s="39" t="str">
        <f t="shared" si="589"/>
        <v/>
      </c>
      <c r="Z139" s="40" t="str">
        <f t="shared" si="590"/>
        <v/>
      </c>
      <c r="AA139" s="39">
        <f t="shared" si="590"/>
        <v>6.555006068068451</v>
      </c>
      <c r="AB139" s="39">
        <f t="shared" si="591"/>
        <v>6.8125656566669903</v>
      </c>
      <c r="AC139" s="39">
        <f t="shared" si="592"/>
        <v>5.3304309519498645</v>
      </c>
      <c r="AD139" s="39">
        <f t="shared" si="593"/>
        <v>4.5242470049438879</v>
      </c>
      <c r="AE139" s="40">
        <f t="shared" si="594"/>
        <v>4.5242470049438879</v>
      </c>
      <c r="AF139" s="39">
        <f t="shared" si="594"/>
        <v>6.2055208268291295</v>
      </c>
      <c r="AG139" s="39">
        <f t="shared" si="595"/>
        <v>7.7989944581890569</v>
      </c>
      <c r="AH139" s="39">
        <f t="shared" si="596"/>
        <v>7.8605888358816998</v>
      </c>
      <c r="AI139" s="39">
        <f t="shared" si="597"/>
        <v>7.3056339888346145</v>
      </c>
      <c r="AJ139" s="40">
        <f t="shared" si="598"/>
        <v>7.3056339888346145</v>
      </c>
      <c r="AK139" s="39">
        <f t="shared" si="598"/>
        <v>9.8979838254416848</v>
      </c>
      <c r="AL139" s="39">
        <f t="shared" si="599"/>
        <v>8.9574212702153204</v>
      </c>
      <c r="AM139" s="39">
        <f t="shared" si="600"/>
        <v>8.3337514692243104</v>
      </c>
      <c r="AN139" s="39">
        <f t="shared" si="601"/>
        <v>7.4771653781906053</v>
      </c>
      <c r="AO139" s="40">
        <f t="shared" si="602"/>
        <v>7.4771653781906053</v>
      </c>
      <c r="AP139" s="39">
        <f t="shared" si="602"/>
        <v>4.5699190557064924</v>
      </c>
      <c r="AQ139" s="39">
        <f t="shared" si="603"/>
        <v>5.6636213771852368</v>
      </c>
      <c r="AR139" s="39">
        <f t="shared" si="604"/>
        <v>5.5936315524651121</v>
      </c>
      <c r="AS139" s="39">
        <f t="shared" si="605"/>
        <v>5.3260156668577565</v>
      </c>
      <c r="AT139" s="40">
        <f t="shared" si="606"/>
        <v>5.3260156668577565</v>
      </c>
      <c r="AU139" s="39">
        <f t="shared" si="606"/>
        <v>6.8095272735781265</v>
      </c>
      <c r="AV139" s="39">
        <f t="shared" si="607"/>
        <v>7.2349593302052995</v>
      </c>
      <c r="AW139" s="39">
        <f t="shared" si="608"/>
        <v>6.9505335741934005</v>
      </c>
      <c r="AX139" s="39">
        <f t="shared" si="609"/>
        <v>6.1515387332973432</v>
      </c>
      <c r="AY139" s="40">
        <f t="shared" si="610"/>
        <v>6.1515387332973432</v>
      </c>
      <c r="AZ139" s="39">
        <f t="shared" si="610"/>
        <v>3.7862722946670999</v>
      </c>
      <c r="BA139" s="39">
        <f t="shared" si="611"/>
        <v>4.1084571977765449</v>
      </c>
      <c r="BB139" s="39">
        <f t="shared" si="612"/>
        <v>4.3010291073210141</v>
      </c>
      <c r="BC139" s="39">
        <f t="shared" si="613"/>
        <v>4.5319833124473519</v>
      </c>
      <c r="BD139" s="40">
        <f t="shared" si="614"/>
        <v>4.5319833124473519</v>
      </c>
      <c r="BE139" s="39">
        <f t="shared" si="614"/>
        <v>7.2565776776887958</v>
      </c>
      <c r="BF139" s="39">
        <f t="shared" si="615"/>
        <v>7.9304466015251762</v>
      </c>
      <c r="BG139" s="39">
        <f t="shared" si="616"/>
        <v>8.5728619574844345</v>
      </c>
      <c r="BH139" s="39">
        <f t="shared" si="617"/>
        <v>8.6469389893749877</v>
      </c>
      <c r="BI139" s="40">
        <f t="shared" si="618"/>
        <v>8.6469389893749877</v>
      </c>
      <c r="BJ139" s="39">
        <f t="shared" si="618"/>
        <v>6.3431845853036748</v>
      </c>
      <c r="BK139" s="39">
        <f t="shared" si="619"/>
        <v>-1.8662291759988108</v>
      </c>
      <c r="BL139" s="39">
        <f t="shared" si="620"/>
        <v>-3.5753303658210456</v>
      </c>
      <c r="BM139" s="39">
        <f t="shared" si="621"/>
        <v>-4.8303087542370093</v>
      </c>
      <c r="BN139" s="40">
        <f t="shared" si="622"/>
        <v>-4.8303087542370093</v>
      </c>
      <c r="BO139" s="39">
        <f t="shared" si="622"/>
        <v>-3.7966000573274385</v>
      </c>
      <c r="BP139" s="39">
        <f t="shared" si="623"/>
        <v>3.5765977939823443</v>
      </c>
      <c r="BQ139" s="39">
        <f t="shared" si="624"/>
        <v>3.9355446405598116</v>
      </c>
      <c r="BR139" s="39">
        <f t="shared" si="625"/>
        <v>4.9423978332033158</v>
      </c>
      <c r="BS139" s="40">
        <f t="shared" si="626"/>
        <v>4.9423978332033158</v>
      </c>
      <c r="BT139" s="39">
        <f t="shared" si="626"/>
        <v>6.3720146366458295</v>
      </c>
      <c r="BU139" s="39">
        <f t="shared" si="627"/>
        <v>6.7825540178880601</v>
      </c>
      <c r="BV139" s="39">
        <f t="shared" si="628"/>
        <v>7.3927671304283962</v>
      </c>
      <c r="BW139" s="39">
        <f t="shared" si="629"/>
        <v>6.6806818634807712</v>
      </c>
      <c r="BX139" s="40">
        <f t="shared" si="630"/>
        <v>6.6806818634807712</v>
      </c>
      <c r="BY139" s="39">
        <f t="shared" si="630"/>
        <v>4.1256484762573535</v>
      </c>
      <c r="BZ139" s="39">
        <f t="shared" si="631"/>
        <v>2.5641270172100548</v>
      </c>
      <c r="CA139" s="39">
        <f t="shared" si="632"/>
        <v>1.8273468038837706</v>
      </c>
      <c r="CB139" s="39">
        <f t="shared" si="633"/>
        <v>1.5558819726707185</v>
      </c>
      <c r="CC139" s="40">
        <f t="shared" si="634"/>
        <v>1.5558819726707185</v>
      </c>
      <c r="CD139" s="39">
        <f t="shared" si="634"/>
        <v>2.4113004960155848</v>
      </c>
      <c r="CE139" s="39">
        <f t="shared" si="635"/>
        <v>2.5423909074184508</v>
      </c>
      <c r="CF139" s="39">
        <f t="shared" si="636"/>
        <v>2.4684788930835282</v>
      </c>
      <c r="CG139" s="39">
        <f t="shared" si="637"/>
        <v>2.684703531329319</v>
      </c>
      <c r="CH139" s="40">
        <f t="shared" si="638"/>
        <v>2.684703531329319</v>
      </c>
      <c r="CI139" s="39">
        <f t="shared" si="638"/>
        <v>1.1717528046478094</v>
      </c>
      <c r="CJ139" s="39">
        <f t="shared" si="639"/>
        <v>1.5838108970688296</v>
      </c>
      <c r="CK139" s="39">
        <f t="shared" si="640"/>
        <v>1.6920559324523623</v>
      </c>
      <c r="CL139" s="39">
        <f t="shared" si="641"/>
        <v>2.0309733001137715</v>
      </c>
      <c r="CM139" s="40">
        <f t="shared" si="642"/>
        <v>2.0309733001137715</v>
      </c>
      <c r="CN139" s="39">
        <f t="shared" si="642"/>
        <v>-100</v>
      </c>
      <c r="CO139" s="39">
        <f t="shared" si="643"/>
        <v>-100</v>
      </c>
      <c r="CP139" s="39">
        <f t="shared" si="644"/>
        <v>-100</v>
      </c>
      <c r="CQ139" s="39">
        <f t="shared" si="645"/>
        <v>-100</v>
      </c>
      <c r="CR139" s="40">
        <f t="shared" si="646"/>
        <v>-100</v>
      </c>
    </row>
    <row r="140" spans="1:96" s="9" customFormat="1" ht="15" x14ac:dyDescent="0.4">
      <c r="A140" s="18" t="s">
        <v>85</v>
      </c>
      <c r="B140" s="41"/>
      <c r="C140" s="41"/>
      <c r="D140" s="41"/>
      <c r="E140" s="41"/>
      <c r="F140" s="41"/>
      <c r="G140" s="39">
        <f t="shared" si="574"/>
        <v>2.4128178517039913</v>
      </c>
      <c r="H140" s="39">
        <f t="shared" si="575"/>
        <v>1.004215431892419</v>
      </c>
      <c r="I140" s="39">
        <f t="shared" si="576"/>
        <v>1.2476027144896875</v>
      </c>
      <c r="J140" s="39">
        <f t="shared" si="577"/>
        <v>1.7557850525569734</v>
      </c>
      <c r="K140" s="40">
        <f t="shared" si="578"/>
        <v>1.7557850525569734</v>
      </c>
      <c r="L140" s="39">
        <f t="shared" si="578"/>
        <v>4.3747861007000495</v>
      </c>
      <c r="M140" s="39">
        <f t="shared" si="579"/>
        <v>4.4298351085999172</v>
      </c>
      <c r="N140" s="39">
        <f t="shared" si="580"/>
        <v>3.9279631225153082</v>
      </c>
      <c r="O140" s="39">
        <f t="shared" si="581"/>
        <v>2.8302597849919664</v>
      </c>
      <c r="P140" s="40">
        <f t="shared" si="582"/>
        <v>2.8302597849919664</v>
      </c>
      <c r="Q140" s="39">
        <f t="shared" si="582"/>
        <v>-1.1447040191091133</v>
      </c>
      <c r="R140" s="39" t="str">
        <f t="shared" si="583"/>
        <v/>
      </c>
      <c r="S140" s="39" t="str">
        <f t="shared" si="584"/>
        <v/>
      </c>
      <c r="T140" s="39" t="str">
        <f t="shared" si="585"/>
        <v/>
      </c>
      <c r="U140" s="40" t="str">
        <f t="shared" si="586"/>
        <v/>
      </c>
      <c r="V140" s="39">
        <f t="shared" si="586"/>
        <v>9.912245674707961</v>
      </c>
      <c r="W140" s="39" t="str">
        <f t="shared" si="587"/>
        <v/>
      </c>
      <c r="X140" s="39" t="str">
        <f t="shared" si="588"/>
        <v/>
      </c>
      <c r="Y140" s="39" t="str">
        <f t="shared" si="589"/>
        <v/>
      </c>
      <c r="Z140" s="40" t="str">
        <f t="shared" si="590"/>
        <v/>
      </c>
      <c r="AA140" s="39">
        <f t="shared" si="590"/>
        <v>4.6456584505815641</v>
      </c>
      <c r="AB140" s="39">
        <f t="shared" si="591"/>
        <v>3.3400185623330145</v>
      </c>
      <c r="AC140" s="39">
        <f t="shared" si="592"/>
        <v>4.6165739089629767</v>
      </c>
      <c r="AD140" s="39">
        <f t="shared" si="593"/>
        <v>6.5434441215474806</v>
      </c>
      <c r="AE140" s="40">
        <f t="shared" si="594"/>
        <v>6.5434441215474806</v>
      </c>
      <c r="AF140" s="39">
        <f t="shared" si="594"/>
        <v>4.8799721892138734</v>
      </c>
      <c r="AG140" s="39">
        <f t="shared" si="595"/>
        <v>5.4832045403203011</v>
      </c>
      <c r="AH140" s="39">
        <f t="shared" si="596"/>
        <v>5.6003146610736962</v>
      </c>
      <c r="AI140" s="39">
        <f t="shared" si="597"/>
        <v>5.4072255891199745</v>
      </c>
      <c r="AJ140" s="40">
        <f t="shared" si="598"/>
        <v>5.4072255891199745</v>
      </c>
      <c r="AK140" s="39">
        <f t="shared" si="598"/>
        <v>7.5740743698011954</v>
      </c>
      <c r="AL140" s="39">
        <f t="shared" si="599"/>
        <v>6.6077538738162502</v>
      </c>
      <c r="AM140" s="39">
        <f t="shared" si="600"/>
        <v>5.176923570897074</v>
      </c>
      <c r="AN140" s="39">
        <f t="shared" si="601"/>
        <v>4.4151275503931942</v>
      </c>
      <c r="AO140" s="40">
        <f t="shared" si="602"/>
        <v>4.4151275503931942</v>
      </c>
      <c r="AP140" s="39">
        <f t="shared" si="602"/>
        <v>6.9483892240432681</v>
      </c>
      <c r="AQ140" s="39">
        <f t="shared" si="603"/>
        <v>7.2619417208053676</v>
      </c>
      <c r="AR140" s="39">
        <f t="shared" si="604"/>
        <v>5.7166351813879857</v>
      </c>
      <c r="AS140" s="39">
        <f t="shared" si="605"/>
        <v>5.054551622100405</v>
      </c>
      <c r="AT140" s="40">
        <f t="shared" si="606"/>
        <v>5.054551622100405</v>
      </c>
      <c r="AU140" s="39">
        <f t="shared" si="606"/>
        <v>7.9471369057845465</v>
      </c>
      <c r="AV140" s="39">
        <f t="shared" si="607"/>
        <v>8.2689038751481831</v>
      </c>
      <c r="AW140" s="39">
        <f t="shared" si="608"/>
        <v>8.4824181429263774</v>
      </c>
      <c r="AX140" s="39">
        <f t="shared" si="609"/>
        <v>7.1049000025715543</v>
      </c>
      <c r="AY140" s="40">
        <f t="shared" si="610"/>
        <v>7.1049000025715543</v>
      </c>
      <c r="AZ140" s="39">
        <f t="shared" si="610"/>
        <v>1.3330865664173785</v>
      </c>
      <c r="BA140" s="39">
        <f t="shared" si="611"/>
        <v>2.2358845974789858</v>
      </c>
      <c r="BB140" s="39">
        <f t="shared" si="612"/>
        <v>3.7514753184851912</v>
      </c>
      <c r="BC140" s="39">
        <f t="shared" si="613"/>
        <v>5.160953510072062</v>
      </c>
      <c r="BD140" s="40">
        <f t="shared" si="614"/>
        <v>5.160953510072062</v>
      </c>
      <c r="BE140" s="39">
        <f t="shared" si="614"/>
        <v>9.4968948251706848</v>
      </c>
      <c r="BF140" s="39">
        <f t="shared" si="615"/>
        <v>8.8295786678713029</v>
      </c>
      <c r="BG140" s="39">
        <f t="shared" si="616"/>
        <v>8.4337317138690082</v>
      </c>
      <c r="BH140" s="39">
        <f t="shared" si="617"/>
        <v>7.6950400860544903</v>
      </c>
      <c r="BI140" s="40">
        <f t="shared" si="618"/>
        <v>7.6950400860544903</v>
      </c>
      <c r="BJ140" s="39">
        <f t="shared" si="618"/>
        <v>1.1420067004822272</v>
      </c>
      <c r="BK140" s="39">
        <f t="shared" si="619"/>
        <v>-2.8393512348271202</v>
      </c>
      <c r="BL140" s="39">
        <f t="shared" si="620"/>
        <v>-6.6879291578367912</v>
      </c>
      <c r="BM140" s="39">
        <f t="shared" si="621"/>
        <v>-8.4368466486741056</v>
      </c>
      <c r="BN140" s="40">
        <f t="shared" si="622"/>
        <v>-8.4368466486741056</v>
      </c>
      <c r="BO140" s="39">
        <f t="shared" si="622"/>
        <v>-7.1986720403320419</v>
      </c>
      <c r="BP140" s="39">
        <f t="shared" si="623"/>
        <v>0.13104248615039182</v>
      </c>
      <c r="BQ140" s="39">
        <f t="shared" si="624"/>
        <v>2.100792976027563</v>
      </c>
      <c r="BR140" s="39">
        <f t="shared" si="625"/>
        <v>2.9238824599826927</v>
      </c>
      <c r="BS140" s="40">
        <f t="shared" si="626"/>
        <v>2.9238824599826927</v>
      </c>
      <c r="BT140" s="39">
        <f t="shared" si="626"/>
        <v>6.5224126037496859</v>
      </c>
      <c r="BU140" s="39">
        <f t="shared" si="627"/>
        <v>4.2115899972963859</v>
      </c>
      <c r="BV140" s="39">
        <f t="shared" si="628"/>
        <v>5.3120945927388448</v>
      </c>
      <c r="BW140" s="39">
        <f t="shared" si="629"/>
        <v>5.9620766171281332</v>
      </c>
      <c r="BX140" s="40">
        <f t="shared" si="630"/>
        <v>5.9620766171281332</v>
      </c>
      <c r="BY140" s="39">
        <f t="shared" si="630"/>
        <v>6.3492030319793429</v>
      </c>
      <c r="BZ140" s="39">
        <f t="shared" si="631"/>
        <v>4.2072485307744785</v>
      </c>
      <c r="CA140" s="39">
        <f t="shared" si="632"/>
        <v>3.9240729431842425</v>
      </c>
      <c r="CB140" s="39">
        <f t="shared" si="633"/>
        <v>3.8993039437732762</v>
      </c>
      <c r="CC140" s="40">
        <f t="shared" si="634"/>
        <v>3.8993039437732762</v>
      </c>
      <c r="CD140" s="39">
        <f t="shared" si="634"/>
        <v>3.4152354874505306</v>
      </c>
      <c r="CE140" s="39">
        <f t="shared" si="635"/>
        <v>3.0686559700308038</v>
      </c>
      <c r="CF140" s="39">
        <f t="shared" si="636"/>
        <v>2.7708217779911308</v>
      </c>
      <c r="CG140" s="39">
        <f t="shared" si="637"/>
        <v>2.5427148525670731</v>
      </c>
      <c r="CH140" s="40">
        <f t="shared" si="638"/>
        <v>2.5427148525670731</v>
      </c>
      <c r="CI140" s="39">
        <f t="shared" si="638"/>
        <v>2.2720447707118723</v>
      </c>
      <c r="CJ140" s="39">
        <f t="shared" si="639"/>
        <v>2.3038868475063339</v>
      </c>
      <c r="CK140" s="39">
        <f t="shared" si="640"/>
        <v>2.0989750120526338</v>
      </c>
      <c r="CL140" s="39">
        <f t="shared" si="641"/>
        <v>2.0157281007325594</v>
      </c>
      <c r="CM140" s="40">
        <f t="shared" si="642"/>
        <v>2.0157281007325594</v>
      </c>
      <c r="CN140" s="39">
        <f t="shared" si="642"/>
        <v>-100</v>
      </c>
      <c r="CO140" s="39">
        <f t="shared" si="643"/>
        <v>-100</v>
      </c>
      <c r="CP140" s="39">
        <f t="shared" si="644"/>
        <v>-100</v>
      </c>
      <c r="CQ140" s="39">
        <f t="shared" si="645"/>
        <v>-100</v>
      </c>
      <c r="CR140" s="40">
        <f t="shared" si="646"/>
        <v>-100</v>
      </c>
    </row>
    <row r="141" spans="1:96" s="9" customFormat="1" ht="15" x14ac:dyDescent="0.4">
      <c r="A141" s="18" t="s">
        <v>86</v>
      </c>
      <c r="B141" s="38"/>
      <c r="C141" s="38"/>
      <c r="D141" s="38"/>
      <c r="E141" s="38"/>
      <c r="F141" s="38"/>
      <c r="G141" s="39">
        <f t="shared" si="574"/>
        <v>0.64478560712866795</v>
      </c>
      <c r="H141" s="39">
        <f t="shared" si="575"/>
        <v>1.3470127554148945</v>
      </c>
      <c r="I141" s="39">
        <f t="shared" si="576"/>
        <v>2.2979723924249811</v>
      </c>
      <c r="J141" s="39">
        <f t="shared" si="577"/>
        <v>2.8016073374410411</v>
      </c>
      <c r="K141" s="40">
        <f t="shared" si="578"/>
        <v>2.8016073374410411</v>
      </c>
      <c r="L141" s="39">
        <f t="shared" si="578"/>
        <v>3.8896596697915982</v>
      </c>
      <c r="M141" s="39">
        <f t="shared" si="579"/>
        <v>3.5300635520405308</v>
      </c>
      <c r="N141" s="39">
        <f t="shared" si="580"/>
        <v>2.6629718645966562</v>
      </c>
      <c r="O141" s="39">
        <f t="shared" si="581"/>
        <v>3.1908338738520143</v>
      </c>
      <c r="P141" s="40">
        <f t="shared" si="582"/>
        <v>3.1908338738520143</v>
      </c>
      <c r="Q141" s="39">
        <f t="shared" si="582"/>
        <v>10.099352592825454</v>
      </c>
      <c r="R141" s="39" t="str">
        <f t="shared" si="583"/>
        <v/>
      </c>
      <c r="S141" s="39" t="str">
        <f t="shared" si="584"/>
        <v/>
      </c>
      <c r="T141" s="39" t="str">
        <f t="shared" si="585"/>
        <v/>
      </c>
      <c r="U141" s="40" t="str">
        <f t="shared" si="586"/>
        <v/>
      </c>
      <c r="V141" s="39">
        <f t="shared" si="586"/>
        <v>8.6497090673720294</v>
      </c>
      <c r="W141" s="39" t="str">
        <f t="shared" si="587"/>
        <v/>
      </c>
      <c r="X141" s="39" t="str">
        <f t="shared" si="588"/>
        <v/>
      </c>
      <c r="Y141" s="39" t="str">
        <f t="shared" si="589"/>
        <v/>
      </c>
      <c r="Z141" s="40" t="str">
        <f t="shared" si="590"/>
        <v/>
      </c>
      <c r="AA141" s="39">
        <f t="shared" si="590"/>
        <v>3.9657633242116077</v>
      </c>
      <c r="AB141" s="39">
        <f t="shared" si="591"/>
        <v>2.9879902878247435</v>
      </c>
      <c r="AC141" s="39">
        <f t="shared" si="592"/>
        <v>1.6318429810303599</v>
      </c>
      <c r="AD141" s="39">
        <f t="shared" si="593"/>
        <v>2.0523198290400586</v>
      </c>
      <c r="AE141" s="40">
        <f t="shared" si="594"/>
        <v>2.0523198290400586</v>
      </c>
      <c r="AF141" s="39">
        <f t="shared" si="594"/>
        <v>3.4900650201610262</v>
      </c>
      <c r="AG141" s="39">
        <f t="shared" si="595"/>
        <v>4.0996716008885272</v>
      </c>
      <c r="AH141" s="39">
        <f t="shared" si="596"/>
        <v>3.3277771440570376</v>
      </c>
      <c r="AI141" s="39">
        <f t="shared" si="597"/>
        <v>3.2463742179289312</v>
      </c>
      <c r="AJ141" s="40">
        <f t="shared" si="598"/>
        <v>3.2463742179289312</v>
      </c>
      <c r="AK141" s="39">
        <f t="shared" si="598"/>
        <v>1.6184246950648173</v>
      </c>
      <c r="AL141" s="39">
        <f t="shared" si="599"/>
        <v>4.2988359371338731</v>
      </c>
      <c r="AM141" s="39">
        <f t="shared" si="600"/>
        <v>5.1286569095802008</v>
      </c>
      <c r="AN141" s="39">
        <f t="shared" si="601"/>
        <v>5.0453180323015658</v>
      </c>
      <c r="AO141" s="40">
        <f t="shared" si="602"/>
        <v>5.0453180323015658</v>
      </c>
      <c r="AP141" s="39">
        <f t="shared" si="602"/>
        <v>7.2816037811252556</v>
      </c>
      <c r="AQ141" s="39">
        <f t="shared" si="603"/>
        <v>7.120301414316188</v>
      </c>
      <c r="AR141" s="39">
        <f t="shared" si="604"/>
        <v>6.9415147875800898</v>
      </c>
      <c r="AS141" s="39">
        <f t="shared" si="605"/>
        <v>6.2841543902244013</v>
      </c>
      <c r="AT141" s="40">
        <f t="shared" si="606"/>
        <v>6.2841543902244013</v>
      </c>
      <c r="AU141" s="39">
        <f t="shared" si="606"/>
        <v>5.9961141969955918</v>
      </c>
      <c r="AV141" s="39">
        <f t="shared" si="607"/>
        <v>6.7714175939230756</v>
      </c>
      <c r="AW141" s="39">
        <f t="shared" si="608"/>
        <v>6.8088419280814492</v>
      </c>
      <c r="AX141" s="39">
        <f t="shared" si="609"/>
        <v>6.6121804580844952</v>
      </c>
      <c r="AY141" s="40">
        <f t="shared" si="610"/>
        <v>6.6121804580844952</v>
      </c>
      <c r="AZ141" s="39">
        <f t="shared" si="610"/>
        <v>2.7676288428777838</v>
      </c>
      <c r="BA141" s="39">
        <f t="shared" si="611"/>
        <v>2.5402492314298968</v>
      </c>
      <c r="BB141" s="39">
        <f t="shared" si="612"/>
        <v>2.558081371869946</v>
      </c>
      <c r="BC141" s="39">
        <f t="shared" si="613"/>
        <v>2.4028374933068477</v>
      </c>
      <c r="BD141" s="40">
        <f t="shared" si="614"/>
        <v>2.4028374933068477</v>
      </c>
      <c r="BE141" s="39">
        <f t="shared" si="614"/>
        <v>4.2642472056679566</v>
      </c>
      <c r="BF141" s="39">
        <f t="shared" si="615"/>
        <v>3.2619300509103937</v>
      </c>
      <c r="BG141" s="39">
        <f t="shared" si="616"/>
        <v>2.5312597308594178</v>
      </c>
      <c r="BH141" s="39">
        <f t="shared" si="617"/>
        <v>2.021630479399434</v>
      </c>
      <c r="BI141" s="40">
        <f t="shared" si="618"/>
        <v>2.021630479399434</v>
      </c>
      <c r="BJ141" s="39">
        <f t="shared" si="618"/>
        <v>0.4423901691466483</v>
      </c>
      <c r="BK141" s="39">
        <f t="shared" si="619"/>
        <v>-1.9174244195273218</v>
      </c>
      <c r="BL141" s="39">
        <f t="shared" si="620"/>
        <v>-2.5413280144175587</v>
      </c>
      <c r="BM141" s="39">
        <f t="shared" si="621"/>
        <v>-2.7092149463946242</v>
      </c>
      <c r="BN141" s="40">
        <f t="shared" si="622"/>
        <v>-2.7092149463946242</v>
      </c>
      <c r="BO141" s="39">
        <f t="shared" si="622"/>
        <v>0.20171982092576002</v>
      </c>
      <c r="BP141" s="39">
        <f t="shared" si="623"/>
        <v>3.1226167434781331</v>
      </c>
      <c r="BQ141" s="39">
        <f t="shared" si="624"/>
        <v>2.9766976131901259</v>
      </c>
      <c r="BR141" s="39">
        <f t="shared" si="625"/>
        <v>2.5936553902257344</v>
      </c>
      <c r="BS141" s="40">
        <f t="shared" si="626"/>
        <v>2.5936553902257344</v>
      </c>
      <c r="BT141" s="39">
        <f t="shared" si="626"/>
        <v>0.52524977307439258</v>
      </c>
      <c r="BU141" s="39">
        <f t="shared" si="627"/>
        <v>2.2638776904956046</v>
      </c>
      <c r="BV141" s="39">
        <f t="shared" si="628"/>
        <v>3.7098968332315536</v>
      </c>
      <c r="BW141" s="39">
        <f t="shared" si="629"/>
        <v>4.3221189838934748</v>
      </c>
      <c r="BX141" s="40">
        <f t="shared" si="630"/>
        <v>4.3221189838934748</v>
      </c>
      <c r="BY141" s="39">
        <f t="shared" si="630"/>
        <v>6.9702220342044257</v>
      </c>
      <c r="BZ141" s="39">
        <f t="shared" si="631"/>
        <v>4.9043739541104543</v>
      </c>
      <c r="CA141" s="39">
        <f t="shared" si="632"/>
        <v>4.251019652361407</v>
      </c>
      <c r="CB141" s="39">
        <f t="shared" si="633"/>
        <v>4.0067340590692879</v>
      </c>
      <c r="CC141" s="40">
        <f t="shared" si="634"/>
        <v>4.0067340590692879</v>
      </c>
      <c r="CD141" s="39">
        <f t="shared" si="634"/>
        <v>3.4149312342625109</v>
      </c>
      <c r="CE141" s="39">
        <f t="shared" si="635"/>
        <v>2.8132675923002068</v>
      </c>
      <c r="CF141" s="39">
        <f t="shared" si="636"/>
        <v>2.6291115082297125</v>
      </c>
      <c r="CG141" s="39">
        <f t="shared" si="637"/>
        <v>2.9891279654244158</v>
      </c>
      <c r="CH141" s="40">
        <f t="shared" si="638"/>
        <v>2.9891279654244158</v>
      </c>
      <c r="CI141" s="39">
        <f t="shared" si="638"/>
        <v>3.3340576872759726</v>
      </c>
      <c r="CJ141" s="39">
        <f t="shared" si="639"/>
        <v>4.0215631566925936</v>
      </c>
      <c r="CK141" s="39">
        <f t="shared" si="640"/>
        <v>3.8668562547139658</v>
      </c>
      <c r="CL141" s="39">
        <f t="shared" si="641"/>
        <v>3.8993651917461563</v>
      </c>
      <c r="CM141" s="40">
        <f t="shared" si="642"/>
        <v>3.8993651917461563</v>
      </c>
      <c r="CN141" s="39">
        <f t="shared" si="642"/>
        <v>-100</v>
      </c>
      <c r="CO141" s="39">
        <f t="shared" si="643"/>
        <v>-100</v>
      </c>
      <c r="CP141" s="39">
        <f t="shared" si="644"/>
        <v>-100</v>
      </c>
      <c r="CQ141" s="39">
        <f t="shared" si="645"/>
        <v>-100</v>
      </c>
      <c r="CR141" s="40">
        <f t="shared" si="646"/>
        <v>-100</v>
      </c>
    </row>
    <row r="142" spans="1:96" s="9" customFormat="1" ht="15" x14ac:dyDescent="0.4">
      <c r="A142" s="18"/>
      <c r="B142" s="42"/>
      <c r="C142" s="42"/>
      <c r="D142" s="42"/>
      <c r="E142" s="42"/>
      <c r="F142" s="42"/>
      <c r="G142" s="22"/>
      <c r="H142" s="22"/>
      <c r="I142" s="23"/>
      <c r="J142" s="22"/>
      <c r="K142" s="24"/>
      <c r="L142" s="22"/>
      <c r="M142" s="22"/>
      <c r="N142" s="23"/>
      <c r="O142" s="22"/>
      <c r="P142" s="24"/>
      <c r="Q142" s="22"/>
      <c r="R142" s="22"/>
      <c r="S142" s="23"/>
      <c r="T142" s="22"/>
      <c r="U142" s="24"/>
      <c r="V142" s="22"/>
      <c r="W142" s="22"/>
      <c r="X142" s="23"/>
      <c r="Y142" s="22"/>
      <c r="Z142" s="24"/>
      <c r="AA142" s="22"/>
      <c r="AB142" s="22"/>
      <c r="AC142" s="23"/>
      <c r="AD142" s="22"/>
      <c r="AE142" s="24"/>
      <c r="AF142" s="22"/>
      <c r="AG142" s="22"/>
      <c r="AH142" s="23"/>
      <c r="AI142" s="22"/>
      <c r="AJ142" s="24"/>
      <c r="AK142" s="22"/>
      <c r="AL142" s="22"/>
      <c r="AM142" s="23"/>
      <c r="AN142" s="22"/>
      <c r="AO142" s="24"/>
      <c r="AP142" s="22"/>
      <c r="AQ142" s="22"/>
      <c r="AR142" s="23"/>
      <c r="AS142" s="22"/>
      <c r="AT142" s="24"/>
      <c r="AU142" s="22"/>
      <c r="AV142" s="22"/>
      <c r="AW142" s="23"/>
      <c r="AX142" s="22"/>
      <c r="AY142" s="24"/>
      <c r="AZ142" s="22"/>
      <c r="BA142" s="22"/>
      <c r="BB142" s="23"/>
      <c r="BC142" s="22"/>
      <c r="BD142" s="24"/>
      <c r="BE142" s="22"/>
      <c r="BF142" s="22"/>
      <c r="BG142" s="23"/>
      <c r="BH142" s="22"/>
      <c r="BI142" s="24"/>
      <c r="BJ142" s="22"/>
      <c r="BK142" s="22"/>
      <c r="BL142" s="23"/>
      <c r="BM142" s="22"/>
      <c r="BN142" s="24"/>
      <c r="BO142" s="22"/>
      <c r="BP142" s="22"/>
      <c r="BQ142" s="23"/>
      <c r="BR142" s="22"/>
      <c r="BS142" s="24"/>
      <c r="BT142" s="22"/>
      <c r="BU142" s="22"/>
      <c r="BV142" s="23"/>
      <c r="BW142" s="22"/>
      <c r="BX142" s="24"/>
      <c r="BY142" s="22"/>
      <c r="BZ142" s="22"/>
      <c r="CA142" s="23"/>
      <c r="CB142" s="22"/>
      <c r="CC142" s="24"/>
      <c r="CD142" s="22"/>
      <c r="CE142" s="22"/>
      <c r="CF142" s="23"/>
      <c r="CG142" s="22"/>
      <c r="CH142" s="24"/>
      <c r="CI142" s="22"/>
      <c r="CJ142" s="22"/>
      <c r="CK142" s="23"/>
      <c r="CL142" s="22"/>
      <c r="CM142" s="24"/>
      <c r="CN142" s="22"/>
      <c r="CO142" s="22"/>
      <c r="CP142" s="23"/>
      <c r="CQ142" s="22"/>
      <c r="CR142" s="24"/>
    </row>
    <row r="143" spans="1:96" s="17" customFormat="1" ht="15" x14ac:dyDescent="0.4">
      <c r="A143" s="15" t="s">
        <v>87</v>
      </c>
      <c r="B143" s="37"/>
      <c r="C143" s="37"/>
      <c r="D143" s="37"/>
      <c r="E143" s="37"/>
      <c r="F143" s="37"/>
      <c r="G143" s="16">
        <f>IFERROR(G47/B47*100-100,"")</f>
        <v>0.29534810317619531</v>
      </c>
      <c r="H143" s="16">
        <f>IFERROR(SUM(G47:H47)/SUM(B47:C47)*100-100,"")</f>
        <v>2.3741787145813902</v>
      </c>
      <c r="I143" s="16">
        <f>IFERROR(SUM(G47:I47)/SUM(B47:D47)*100-100,"")</f>
        <v>0.25730763473168849</v>
      </c>
      <c r="J143" s="16">
        <f>IFERROR(SUM(G47:J47)/SUM(B47:E47)*100-100,"")</f>
        <v>-7.2192113278958914E-2</v>
      </c>
      <c r="K143" s="16">
        <f>IFERROR(K47/F47*100-100,"")</f>
        <v>-7.2192113278958914E-2</v>
      </c>
      <c r="L143" s="16">
        <f>IFERROR(L47/G47*100-100,"")</f>
        <v>8.3129298028828345</v>
      </c>
      <c r="M143" s="16">
        <f>IFERROR(SUM(L47:M47)/SUM(G47:H47)*100-100,"")</f>
        <v>5.7340004963281075</v>
      </c>
      <c r="N143" s="16">
        <f>IFERROR(SUM(L47:N47)/SUM(G47:I47)*100-100,"")</f>
        <v>8.4153900414024747</v>
      </c>
      <c r="O143" s="16">
        <f>IFERROR(SUM(L47:O47)/SUM(G47:J47)*100-100,"")</f>
        <v>7.6247959333774844</v>
      </c>
      <c r="P143" s="16">
        <f>IFERROR(P47/K47*100-100,"")</f>
        <v>7.6247959333774844</v>
      </c>
      <c r="Q143" s="16">
        <f>IFERROR(Q47/L47*100-100,"")</f>
        <v>3.6771992198729038</v>
      </c>
      <c r="R143" s="16" t="str">
        <f>IFERROR(SUM(Q47:R47)/SUM(L47:M47)*100-100,"")</f>
        <v/>
      </c>
      <c r="S143" s="16" t="str">
        <f>IFERROR(SUM(Q47:S47)/SUM(L47:N47)*100-100,"")</f>
        <v/>
      </c>
      <c r="T143" s="16" t="str">
        <f>IFERROR(SUM(Q47:T47)/SUM(L47:O47)*100-100,"")</f>
        <v/>
      </c>
      <c r="U143" s="16" t="str">
        <f>IFERROR(U47/P47*100-100,"")</f>
        <v/>
      </c>
      <c r="V143" s="16">
        <f>IFERROR(V47/Q47*100-100,"")</f>
        <v>7.077320075635086</v>
      </c>
      <c r="W143" s="16" t="str">
        <f>IFERROR(SUM(V47:W47)/SUM(Q47:R47)*100-100,"")</f>
        <v/>
      </c>
      <c r="X143" s="16" t="str">
        <f>IFERROR(SUM(V47:X47)/SUM(Q47:S47)*100-100,"")</f>
        <v/>
      </c>
      <c r="Y143" s="16" t="str">
        <f>IFERROR(SUM(V47:Y47)/SUM(Q47:T47)*100-100,"")</f>
        <v/>
      </c>
      <c r="Z143" s="16" t="str">
        <f>IFERROR(Z47/U47*100-100,"")</f>
        <v/>
      </c>
      <c r="AA143" s="16">
        <f>IFERROR(AA47/V47*100-100,"")</f>
        <v>6.4491252958596164</v>
      </c>
      <c r="AB143" s="16">
        <f>IFERROR(SUM(AA47:AB47)/SUM(V47:W47)*100-100,"")</f>
        <v>5.7295368025118876</v>
      </c>
      <c r="AC143" s="16">
        <f>IFERROR(SUM(AA47:AC47)/SUM(V47:X47)*100-100,"")</f>
        <v>6.048997531452855</v>
      </c>
      <c r="AD143" s="16">
        <f>IFERROR(SUM(AA47:AD47)/SUM(V47:Y47)*100-100,"")</f>
        <v>6.374312779743434</v>
      </c>
      <c r="AE143" s="16">
        <f>IFERROR(AE47/Z47*100-100,"")</f>
        <v>6.374312779743434</v>
      </c>
      <c r="AF143" s="16">
        <f>IFERROR(AF47/AA47*100-100,"")</f>
        <v>14.04486807106808</v>
      </c>
      <c r="AG143" s="16">
        <f>IFERROR(SUM(AF47:AG47)/SUM(AA47:AB47)*100-100,"")</f>
        <v>10.622702051932635</v>
      </c>
      <c r="AH143" s="16">
        <f>IFERROR(SUM(AF47:AH47)/SUM(AA47:AC47)*100-100,"")</f>
        <v>8.2242039521564436</v>
      </c>
      <c r="AI143" s="16">
        <f>IFERROR(SUM(AF47:AI47)/SUM(AA47:AD47)*100-100,"")</f>
        <v>7.3316631776643391</v>
      </c>
      <c r="AJ143" s="16">
        <f>IFERROR(AJ47/AE47*100-100,"")</f>
        <v>7.3316631776643391</v>
      </c>
      <c r="AK143" s="16">
        <f>IFERROR(AK47/AF47*100-100,"")</f>
        <v>-6.1460018493828272</v>
      </c>
      <c r="AL143" s="16">
        <f>IFERROR(SUM(AK47:AL47)/SUM(AF47:AG47)*100-100,"")</f>
        <v>-2.2555872803136765</v>
      </c>
      <c r="AM143" s="16">
        <f>IFERROR(SUM(AK47:AM47)/SUM(AF47:AH47)*100-100,"")</f>
        <v>0.48947594722284293</v>
      </c>
      <c r="AN143" s="16">
        <f>IFERROR(SUM(AK47:AN47)/SUM(AF47:AI47)*100-100,"")</f>
        <v>3.2756218709522784</v>
      </c>
      <c r="AO143" s="16">
        <f>IFERROR(AO47/AJ47*100-100,"")</f>
        <v>3.2756218709522784</v>
      </c>
      <c r="AP143" s="16">
        <f>IFERROR(AP47/AK47*100-100,"")</f>
        <v>4.56448044552873</v>
      </c>
      <c r="AQ143" s="16">
        <f>IFERROR(SUM(AP47:AQ47)/SUM(AK47:AL47)*100-100,"")</f>
        <v>5.0472560359376359</v>
      </c>
      <c r="AR143" s="16">
        <f>IFERROR(SUM(AP47:AR47)/SUM(AK47:AM47)*100-100,"")</f>
        <v>5.9627979257088128</v>
      </c>
      <c r="AS143" s="16">
        <f>IFERROR(SUM(AP47:AS47)/SUM(AK47:AN47)*100-100,"")</f>
        <v>6.2382909356355896</v>
      </c>
      <c r="AT143" s="16">
        <f>IFERROR(AT47/AO47*100-100,"")</f>
        <v>6.2382909356355896</v>
      </c>
      <c r="AU143" s="16">
        <f>IFERROR(AU47/AP47*100-100,"")</f>
        <v>10.081371729697921</v>
      </c>
      <c r="AV143" s="16">
        <f>IFERROR(SUM(AU47:AV47)/SUM(AP47:AQ47)*100-100,"")</f>
        <v>9.1983944199336207</v>
      </c>
      <c r="AW143" s="16">
        <f>IFERROR(SUM(AU47:AW47)/SUM(AP47:AR47)*100-100,"")</f>
        <v>7.4619438454950995</v>
      </c>
      <c r="AX143" s="16">
        <f>IFERROR(SUM(AU47:AX47)/SUM(AP47:AS47)*100-100,"")</f>
        <v>5.7542142419415967</v>
      </c>
      <c r="AY143" s="16">
        <f>IFERROR(AY47/AT47*100-100,"")</f>
        <v>5.7542142419415967</v>
      </c>
      <c r="AZ143" s="16">
        <f>IFERROR(AZ47/AU47*100-100,"")</f>
        <v>6.0295760425721312</v>
      </c>
      <c r="BA143" s="16">
        <f>IFERROR(SUM(AZ47:BA47)/SUM(AU47:AV47)*100-100,"")</f>
        <v>6.3868634491236946</v>
      </c>
      <c r="BB143" s="16">
        <f>IFERROR(SUM(AZ47:BB47)/SUM(AU47:AW47)*100-100,"")</f>
        <v>6.7051172178133953</v>
      </c>
      <c r="BC143" s="16">
        <f>IFERROR(SUM(AZ47:BC47)/SUM(AU47:AX47)*100-100,"")</f>
        <v>6.2678114343972311</v>
      </c>
      <c r="BD143" s="16">
        <f>IFERROR(BD47/AY47*100-100,"")</f>
        <v>6.2678114343972311</v>
      </c>
      <c r="BE143" s="16">
        <f>IFERROR(BE47/AZ47*100-100,"")</f>
        <v>7.8165770093876006</v>
      </c>
      <c r="BF143" s="16">
        <f>IFERROR(SUM(BE47:BF47)/SUM(AZ47:BA47)*100-100,"")</f>
        <v>7.4929199138290556</v>
      </c>
      <c r="BG143" s="16">
        <f>IFERROR(SUM(BE47:BG47)/SUM(AZ47:BB47)*100-100,"")</f>
        <v>7.5849958221008649</v>
      </c>
      <c r="BH143" s="16">
        <f>IFERROR(SUM(BE47:BH47)/SUM(AZ47:BC47)*100-100,"")</f>
        <v>7.7899562383423557</v>
      </c>
      <c r="BI143" s="16">
        <f>IFERROR(BI47/BD47*100-100,"")</f>
        <v>7.7899562383423557</v>
      </c>
      <c r="BJ143" s="16">
        <f>IFERROR(BJ47/BE47*100-100,"")</f>
        <v>6.7628453181338273</v>
      </c>
      <c r="BK143" s="16">
        <f>IFERROR(SUM(BJ47:BK47)/SUM(BE47:BF47)*100-100,"")</f>
        <v>2.888505529770157</v>
      </c>
      <c r="BL143" s="16">
        <f>IFERROR(SUM(BJ47:BL47)/SUM(BE47:BG47)*100-100,"")</f>
        <v>1.020248019242203</v>
      </c>
      <c r="BM143" s="16">
        <f>IFERROR(SUM(BJ47:BM47)/SUM(BE47:BH47)*100-100,"")</f>
        <v>-0.23517137435582924</v>
      </c>
      <c r="BN143" s="16">
        <f>IFERROR(BN47/BI47*100-100,"")</f>
        <v>-0.23517137435582924</v>
      </c>
      <c r="BO143" s="16">
        <f>IFERROR(BO47/BJ47*100-100,"")</f>
        <v>-3.6343300899117281</v>
      </c>
      <c r="BP143" s="16">
        <f>IFERROR(SUM(BO47:BP47)/SUM(BJ47:BK47)*100-100,"")</f>
        <v>-0.33094108388385735</v>
      </c>
      <c r="BQ143" s="16">
        <f>IFERROR(SUM(BO47:BQ47)/SUM(BJ47:BL47)*100-100,"")</f>
        <v>-3.8318894884099564E-2</v>
      </c>
      <c r="BR143" s="16">
        <f>IFERROR(SUM(BO47:BR47)/SUM(BJ47:BM47)*100-100,"")</f>
        <v>1.021558598895993</v>
      </c>
      <c r="BS143" s="16">
        <f>IFERROR(BS47/BN47*100-100,"")</f>
        <v>1.021558598895993</v>
      </c>
      <c r="BT143" s="16">
        <f>IFERROR(BT47/BO47*100-100,"")</f>
        <v>4.8152366759495209</v>
      </c>
      <c r="BU143" s="16">
        <f>IFERROR(SUM(BT47:BU47)/SUM(BO47:BP47)*100-100,"")</f>
        <v>5.7540428480904637</v>
      </c>
      <c r="BV143" s="16">
        <f>IFERROR(SUM(BT47:BV47)/SUM(BO47:BQ47)*100-100,"")</f>
        <v>6.983868840129432</v>
      </c>
      <c r="BW143" s="16">
        <f>IFERROR(SUM(BT47:BW47)/SUM(BO47:BR47)*100-100,"")</f>
        <v>7.326017567897523</v>
      </c>
      <c r="BX143" s="16">
        <f>IFERROR(BX47/BS47*100-100,"")</f>
        <v>7.326017567897523</v>
      </c>
      <c r="BY143" s="16">
        <f>IFERROR(BY47/BT47*100-100,"")</f>
        <v>5.7320760936706563</v>
      </c>
      <c r="BZ143" s="16">
        <f>IFERROR(SUM(BY47:BZ47)/SUM(BT47:BU47)*100-100,"")</f>
        <v>5.4556990793033151</v>
      </c>
      <c r="CA143" s="16">
        <f>IFERROR(SUM(BY47:CA47)/SUM(BT47:BV47)*100-100,"")</f>
        <v>5.5334644672367261</v>
      </c>
      <c r="CB143" s="16">
        <f>IFERROR(SUM(BY47:CB47)/SUM(BT47:BW47)*100-100,"")</f>
        <v>6.2141271489468721</v>
      </c>
      <c r="CC143" s="16">
        <f>IFERROR(CC47/BX47*100-100,"")</f>
        <v>6.2141271489468721</v>
      </c>
      <c r="CD143" s="16">
        <f>IFERROR(CD47/BY47*100-100,"")</f>
        <v>20.465991971419257</v>
      </c>
      <c r="CE143" s="16">
        <f>IFERROR(SUM(CD47:CE47)/SUM(BY47:BZ47)*100-100,"")</f>
        <v>14.73080280926105</v>
      </c>
      <c r="CF143" s="16">
        <f>IFERROR(SUM(CD47:CF47)/SUM(BY47:CA47)*100-100,"")</f>
        <v>13.493062950694295</v>
      </c>
      <c r="CG143" s="16">
        <f>IFERROR(SUM(CD47:CG47)/SUM(BY47:CB47)*100-100,"")</f>
        <v>13.596412925653837</v>
      </c>
      <c r="CH143" s="16">
        <f>IFERROR(CH47/CC47*100-100,"")</f>
        <v>13.596412925653837</v>
      </c>
      <c r="CI143" s="16">
        <f>IFERROR(CI47/CD47*100-100,"")</f>
        <v>6.3222484977319908</v>
      </c>
      <c r="CJ143" s="16">
        <f>IFERROR(SUM(CI47:CJ47)/SUM(CD47:CE47)*100-100,"")</f>
        <v>7.6645781533371036</v>
      </c>
      <c r="CK143" s="16">
        <f>IFERROR(SUM(CI47:CK47)/SUM(CD47:CF47)*100-100,"")</f>
        <v>5.9365697453999928</v>
      </c>
      <c r="CL143" s="16">
        <f>IFERROR(SUM(CI47:CL47)/SUM(CD47:CG47)*100-100,"")</f>
        <v>3.8420898528096643</v>
      </c>
      <c r="CM143" s="16">
        <f>IFERROR(CM47/CH47*100-100,"")</f>
        <v>3.8420898528096643</v>
      </c>
      <c r="CN143" s="16">
        <f>IFERROR(CN47/CI47*100-100,"")</f>
        <v>-100</v>
      </c>
      <c r="CO143" s="16">
        <f>IFERROR(SUM(CN47:CO47)/SUM(CI47:CJ47)*100-100,"")</f>
        <v>-100</v>
      </c>
      <c r="CP143" s="16">
        <f>IFERROR(SUM(CN47:CP47)/SUM(CI47:CK47)*100-100,"")</f>
        <v>-100</v>
      </c>
      <c r="CQ143" s="16">
        <f>IFERROR(SUM(CN47:CQ47)/SUM(CI47:CL47)*100-100,"")</f>
        <v>-100</v>
      </c>
      <c r="CR143" s="16">
        <f>IFERROR(CR47/CM47*100-100,"")</f>
        <v>-100</v>
      </c>
    </row>
    <row r="144" spans="1:96" s="9" customFormat="1" ht="15" x14ac:dyDescent="0.4">
      <c r="A144" s="25"/>
      <c r="B144" s="42"/>
      <c r="C144" s="42"/>
      <c r="D144" s="42"/>
      <c r="E144" s="42"/>
      <c r="F144" s="42"/>
      <c r="G144" s="22"/>
      <c r="H144" s="22"/>
      <c r="I144" s="22"/>
      <c r="J144" s="22"/>
      <c r="K144" s="24"/>
      <c r="L144" s="22"/>
      <c r="M144" s="22"/>
      <c r="N144" s="22"/>
      <c r="O144" s="22"/>
      <c r="P144" s="24"/>
      <c r="Q144" s="22"/>
      <c r="R144" s="22"/>
      <c r="S144" s="22"/>
      <c r="T144" s="22"/>
      <c r="U144" s="24"/>
      <c r="V144" s="22"/>
      <c r="W144" s="22"/>
      <c r="X144" s="22"/>
      <c r="Y144" s="22"/>
      <c r="Z144" s="24"/>
      <c r="AA144" s="22"/>
      <c r="AB144" s="22"/>
      <c r="AC144" s="22"/>
      <c r="AD144" s="22"/>
      <c r="AE144" s="24"/>
      <c r="AF144" s="22"/>
      <c r="AG144" s="22"/>
      <c r="AH144" s="22"/>
      <c r="AI144" s="22"/>
      <c r="AJ144" s="24"/>
      <c r="AK144" s="22"/>
      <c r="AL144" s="22"/>
      <c r="AM144" s="22"/>
      <c r="AN144" s="22"/>
      <c r="AO144" s="24"/>
      <c r="AP144" s="22"/>
      <c r="AQ144" s="22"/>
      <c r="AR144" s="22"/>
      <c r="AS144" s="22"/>
      <c r="AT144" s="24"/>
      <c r="AU144" s="22"/>
      <c r="AV144" s="22"/>
      <c r="AW144" s="22"/>
      <c r="AX144" s="22"/>
      <c r="AY144" s="24"/>
      <c r="AZ144" s="22"/>
      <c r="BA144" s="22"/>
      <c r="BB144" s="22"/>
      <c r="BC144" s="22"/>
      <c r="BD144" s="24"/>
      <c r="BE144" s="22"/>
      <c r="BF144" s="22"/>
      <c r="BG144" s="22"/>
      <c r="BH144" s="22"/>
      <c r="BI144" s="24"/>
      <c r="BJ144" s="22"/>
      <c r="BK144" s="22"/>
      <c r="BL144" s="22"/>
      <c r="BM144" s="22"/>
      <c r="BN144" s="24"/>
      <c r="BO144" s="22"/>
      <c r="BP144" s="22"/>
      <c r="BQ144" s="22"/>
      <c r="BR144" s="22"/>
      <c r="BS144" s="24"/>
      <c r="BT144" s="22"/>
      <c r="BU144" s="22"/>
      <c r="BV144" s="22"/>
      <c r="BW144" s="22"/>
      <c r="BX144" s="24"/>
      <c r="BY144" s="22"/>
      <c r="BZ144" s="22"/>
      <c r="CA144" s="22"/>
      <c r="CB144" s="22"/>
      <c r="CC144" s="24"/>
      <c r="CD144" s="22"/>
      <c r="CE144" s="22"/>
      <c r="CF144" s="22"/>
      <c r="CG144" s="22"/>
      <c r="CH144" s="24"/>
      <c r="CI144" s="22"/>
      <c r="CJ144" s="22"/>
      <c r="CK144" s="22"/>
      <c r="CL144" s="22"/>
      <c r="CM144" s="24"/>
      <c r="CN144" s="22"/>
      <c r="CO144" s="22"/>
      <c r="CP144" s="22"/>
      <c r="CQ144" s="22"/>
      <c r="CR144" s="24"/>
    </row>
    <row r="145" spans="1:96" s="17" customFormat="1" ht="15" x14ac:dyDescent="0.4">
      <c r="A145" s="15" t="s">
        <v>88</v>
      </c>
      <c r="B145" s="37"/>
      <c r="C145" s="37"/>
      <c r="D145" s="37"/>
      <c r="E145" s="37"/>
      <c r="F145" s="37"/>
      <c r="G145" s="16">
        <f>IFERROR(G49/B49*100-100,"")</f>
        <v>18.435872131936179</v>
      </c>
      <c r="H145" s="16">
        <f>IFERROR(SUM(G49:H49)/SUM(B49:C49)*100-100,"")</f>
        <v>14.324355976852573</v>
      </c>
      <c r="I145" s="16">
        <f>IFERROR(SUM(G49:I49)/SUM(B49:D49)*100-100,"")</f>
        <v>10.236038787082833</v>
      </c>
      <c r="J145" s="16">
        <f>IFERROR(SUM(G49:J49)/SUM(B49:E49)*100-100,"")</f>
        <v>11.449225942489875</v>
      </c>
      <c r="K145" s="16">
        <f>IFERROR(K49/F49*100-100,"")</f>
        <v>11.449225942489875</v>
      </c>
      <c r="L145" s="16">
        <f>IFERROR(L49/G49*100-100,"")</f>
        <v>3.1927842149543864</v>
      </c>
      <c r="M145" s="16">
        <f>IFERROR(SUM(L49:M49)/SUM(G49:H49)*100-100,"")</f>
        <v>1.8658853465821466</v>
      </c>
      <c r="N145" s="16">
        <f>IFERROR(SUM(L49:N49)/SUM(G49:I49)*100-100,"")</f>
        <v>2.2644521381499629</v>
      </c>
      <c r="O145" s="16">
        <f>IFERROR(SUM(L49:O49)/SUM(G49:J49)*100-100,"")</f>
        <v>3.6161650535685226</v>
      </c>
      <c r="P145" s="16">
        <f>IFERROR(P49/K49*100-100,"")</f>
        <v>3.6161650535685226</v>
      </c>
      <c r="Q145" s="16">
        <f>IFERROR(Q49/L49*100-100,"")</f>
        <v>4.443001000751039</v>
      </c>
      <c r="R145" s="16" t="str">
        <f>IFERROR(SUM(Q49:R49)/SUM(L49:M49)*100-100,"")</f>
        <v/>
      </c>
      <c r="S145" s="16" t="str">
        <f>IFERROR(SUM(Q49:S49)/SUM(L49:N49)*100-100,"")</f>
        <v/>
      </c>
      <c r="T145" s="16" t="str">
        <f>IFERROR(SUM(Q49:T49)/SUM(L49:O49)*100-100,"")</f>
        <v/>
      </c>
      <c r="U145" s="16" t="str">
        <f>IFERROR(U49/P49*100-100,"")</f>
        <v/>
      </c>
      <c r="V145" s="16">
        <f>IFERROR(V49/Q49*100-100,"")</f>
        <v>7.5343305961821443</v>
      </c>
      <c r="W145" s="16" t="str">
        <f>IFERROR(SUM(V49:W49)/SUM(Q49:R49)*100-100,"")</f>
        <v/>
      </c>
      <c r="X145" s="16" t="str">
        <f>IFERROR(SUM(V49:X49)/SUM(Q49:S49)*100-100,"")</f>
        <v/>
      </c>
      <c r="Y145" s="16" t="str">
        <f>IFERROR(SUM(V49:Y49)/SUM(Q49:T49)*100-100,"")</f>
        <v/>
      </c>
      <c r="Z145" s="16" t="str">
        <f>IFERROR(Z49/U49*100-100,"")</f>
        <v/>
      </c>
      <c r="AA145" s="16">
        <f>IFERROR(AA49/V49*100-100,"")</f>
        <v>12.968222693904679</v>
      </c>
      <c r="AB145" s="16">
        <f>IFERROR(SUM(AA49:AB49)/SUM(V49:W49)*100-100,"")</f>
        <v>9.6985239581507443</v>
      </c>
      <c r="AC145" s="16">
        <f>IFERROR(SUM(AA49:AC49)/SUM(V49:X49)*100-100,"")</f>
        <v>9.2434869360396732</v>
      </c>
      <c r="AD145" s="16">
        <f>IFERROR(SUM(AA49:AD49)/SUM(V49:Y49)*100-100,"")</f>
        <v>9.0583777509097132</v>
      </c>
      <c r="AE145" s="16">
        <f>IFERROR(AE49/Z49*100-100,"")</f>
        <v>9.0583777509097132</v>
      </c>
      <c r="AF145" s="16">
        <f>IFERROR(AF49/AA49*100-100,"")</f>
        <v>6.7102325649291998</v>
      </c>
      <c r="AG145" s="16">
        <f>IFERROR(SUM(AF49:AG49)/SUM(AA49:AB49)*100-100,"")</f>
        <v>3.7654438945374409</v>
      </c>
      <c r="AH145" s="16">
        <f>IFERROR(SUM(AF49:AH49)/SUM(AA49:AC49)*100-100,"")</f>
        <v>3.9597809185478781</v>
      </c>
      <c r="AI145" s="16">
        <f>IFERROR(SUM(AF49:AI49)/SUM(AA49:AD49)*100-100,"")</f>
        <v>4.9278274904071253</v>
      </c>
      <c r="AJ145" s="16">
        <f>IFERROR(AJ49/AE49*100-100,"")</f>
        <v>4.9278274904071253</v>
      </c>
      <c r="AK145" s="16">
        <f>IFERROR(AK49/AF49*100-100,"")</f>
        <v>9.5591188321175764</v>
      </c>
      <c r="AL145" s="16">
        <f>IFERROR(SUM(AK49:AL49)/SUM(AF49:AG49)*100-100,"")</f>
        <v>8.2128934484393028</v>
      </c>
      <c r="AM145" s="16">
        <f>IFERROR(SUM(AK49:AM49)/SUM(AF49:AH49)*100-100,"")</f>
        <v>7.6174417100917822</v>
      </c>
      <c r="AN145" s="16">
        <f>IFERROR(SUM(AK49:AN49)/SUM(AF49:AI49)*100-100,"")</f>
        <v>7.1088314203292811</v>
      </c>
      <c r="AO145" s="16">
        <f>IFERROR(AO49/AJ49*100-100,"")</f>
        <v>7.1088314203292811</v>
      </c>
      <c r="AP145" s="16">
        <f>IFERROR(AP49/AK49*100-100,"")</f>
        <v>7.0090858288060787</v>
      </c>
      <c r="AQ145" s="16">
        <f>IFERROR(SUM(AP49:AQ49)/SUM(AK49:AL49)*100-100,"")</f>
        <v>4.78968481310919</v>
      </c>
      <c r="AR145" s="16">
        <f>IFERROR(SUM(AP49:AR49)/SUM(AK49:AM49)*100-100,"")</f>
        <v>3.4010733772937556</v>
      </c>
      <c r="AS145" s="16">
        <f>IFERROR(SUM(AP49:AS49)/SUM(AK49:AN49)*100-100,"")</f>
        <v>2.815847873171279</v>
      </c>
      <c r="AT145" s="16">
        <f>IFERROR(AT49/AO49*100-100,"")</f>
        <v>2.815847873171279</v>
      </c>
      <c r="AU145" s="16">
        <f>IFERROR(AU49/AP49*100-100,"")</f>
        <v>2.3172290816647774</v>
      </c>
      <c r="AV145" s="16">
        <f>IFERROR(SUM(AU49:AV49)/SUM(AP49:AQ49)*100-100,"")</f>
        <v>2.0175413547969043</v>
      </c>
      <c r="AW145" s="16">
        <f>IFERROR(SUM(AU49:AW49)/SUM(AP49:AR49)*100-100,"")</f>
        <v>2.8745345684086914</v>
      </c>
      <c r="AX145" s="16">
        <f>IFERROR(SUM(AU49:AX49)/SUM(AP49:AS49)*100-100,"")</f>
        <v>2.5780856577577822</v>
      </c>
      <c r="AY145" s="16">
        <f>IFERROR(AY49/AT49*100-100,"")</f>
        <v>2.5780856577577822</v>
      </c>
      <c r="AZ145" s="16">
        <f>IFERROR(AZ49/AU49*100-100,"")</f>
        <v>0.14433874530128321</v>
      </c>
      <c r="BA145" s="16">
        <f>IFERROR(SUM(AZ49:BA49)/SUM(AU49:AV49)*100-100,"")</f>
        <v>0.32987080325665374</v>
      </c>
      <c r="BB145" s="16">
        <f>IFERROR(SUM(AZ49:BB49)/SUM(AU49:AW49)*100-100,"")</f>
        <v>0.21680333088455939</v>
      </c>
      <c r="BC145" s="16">
        <f>IFERROR(SUM(AZ49:BC49)/SUM(AU49:AX49)*100-100,"")</f>
        <v>0.17656313275647051</v>
      </c>
      <c r="BD145" s="16">
        <f>IFERROR(BD49/AY49*100-100,"")</f>
        <v>0.17656313275647051</v>
      </c>
      <c r="BE145" s="16">
        <f>IFERROR(BE49/AZ49*100-100,"")</f>
        <v>0.20355461928194529</v>
      </c>
      <c r="BF145" s="16">
        <f>IFERROR(SUM(BE49:BF49)/SUM(AZ49:BA49)*100-100,"")</f>
        <v>0.22496550101067214</v>
      </c>
      <c r="BG145" s="16">
        <f>IFERROR(SUM(BE49:BG49)/SUM(AZ49:BB49)*100-100,"")</f>
        <v>0.71845558747224914</v>
      </c>
      <c r="BH145" s="16">
        <f>IFERROR(SUM(BE49:BH49)/SUM(AZ49:BC49)*100-100,"")</f>
        <v>-1.7595765143724407E-2</v>
      </c>
      <c r="BI145" s="16">
        <f>IFERROR(BI49/BD49*100-100,"")</f>
        <v>-1.7595765143724407E-2</v>
      </c>
      <c r="BJ145" s="16">
        <f>IFERROR(BJ49/BE49*100-100,"")</f>
        <v>-35.526451250633556</v>
      </c>
      <c r="BK145" s="16">
        <f>IFERROR(SUM(BJ49:BK49)/SUM(BE49:BF49)*100-100,"")</f>
        <v>-30.99753445237296</v>
      </c>
      <c r="BL145" s="16">
        <f>IFERROR(SUM(BJ49:BL49)/SUM(BE49:BG49)*100-100,"")</f>
        <v>-30.317807828669743</v>
      </c>
      <c r="BM145" s="16">
        <f>IFERROR(SUM(BJ49:BM49)/SUM(BE49:BH49)*100-100,"")</f>
        <v>-25.692995909753947</v>
      </c>
      <c r="BN145" s="16">
        <f>IFERROR(BN49/BI49*100-100,"")</f>
        <v>-25.692995909753947</v>
      </c>
      <c r="BO145" s="16">
        <f>IFERROR(BO49/BJ49*100-100,"")</f>
        <v>-26.704843338559897</v>
      </c>
      <c r="BP145" s="16">
        <f>IFERROR(SUM(BO49:BP49)/SUM(BJ49:BK49)*100-100,"")</f>
        <v>-1.6256506349742637</v>
      </c>
      <c r="BQ145" s="16">
        <f>IFERROR(SUM(BO49:BQ49)/SUM(BJ49:BL49)*100-100,"")</f>
        <v>-4.4219913075106376</v>
      </c>
      <c r="BR145" s="16">
        <f>IFERROR(SUM(BO49:BR49)/SUM(BJ49:BM49)*100-100,"")</f>
        <v>2.728411664957946</v>
      </c>
      <c r="BS145" s="16">
        <f>IFERROR(BS49/BN49*100-100,"")</f>
        <v>2.728411664957946</v>
      </c>
      <c r="BT145" s="16">
        <f>IFERROR(BT49/BO49*100-100,"")</f>
        <v>2.8210731074363764</v>
      </c>
      <c r="BU145" s="16">
        <f>IFERROR(SUM(BT49:BU49)/SUM(BO49:BP49)*100-100,"")</f>
        <v>-16.43781720414546</v>
      </c>
      <c r="BV145" s="16">
        <f>IFERROR(SUM(BT49:BV49)/SUM(BO49:BQ49)*100-100,"")</f>
        <v>-6.3759942222661863</v>
      </c>
      <c r="BW145" s="16">
        <f>IFERROR(SUM(BT49:BW49)/SUM(BO49:BR49)*100-100,"")</f>
        <v>-5.1007723522579482</v>
      </c>
      <c r="BX145" s="16">
        <f>IFERROR(BX49/BS49*100-100,"")</f>
        <v>-5.1007723522579482</v>
      </c>
      <c r="BY145" s="16">
        <f>IFERROR(BY49/BT49*100-100,"")</f>
        <v>2.1909020925442633</v>
      </c>
      <c r="BZ145" s="16">
        <f>IFERROR(SUM(BY49:BZ49)/SUM(BT49:BU49)*100-100,"")</f>
        <v>13.042795714507264</v>
      </c>
      <c r="CA145" s="16">
        <f>IFERROR(SUM(BY49:CA49)/SUM(BT49:BV49)*100-100,"")</f>
        <v>4.0225130252468944</v>
      </c>
      <c r="CB145" s="16">
        <f>IFERROR(SUM(BY49:CB49)/SUM(BT49:BW49)*100-100,"")</f>
        <v>0.5441271126620677</v>
      </c>
      <c r="CC145" s="16">
        <f>IFERROR(CC49/BX49*100-100,"")</f>
        <v>0.5441271126620677</v>
      </c>
      <c r="CD145" s="16">
        <f>IFERROR(CD49/BY49*100-100,"")</f>
        <v>7.8349097724606196</v>
      </c>
      <c r="CE145" s="16">
        <f>IFERROR(SUM(CD49:CE49)/SUM(BY49:BZ49)*100-100,"")</f>
        <v>3.597954237880387</v>
      </c>
      <c r="CF145" s="16">
        <f>IFERROR(SUM(CD49:CF49)/SUM(BY49:CA49)*100-100,"")</f>
        <v>2.7167118920599478</v>
      </c>
      <c r="CG145" s="16">
        <f>IFERROR(SUM(CD49:CG49)/SUM(BY49:CB49)*100-100,"")</f>
        <v>2.3701708605490666</v>
      </c>
      <c r="CH145" s="16">
        <f>IFERROR(CH49/CC49*100-100,"")</f>
        <v>2.3701708605490666</v>
      </c>
      <c r="CI145" s="16">
        <f>IFERROR(CI49/CD49*100-100,"")</f>
        <v>10.621318499695292</v>
      </c>
      <c r="CJ145" s="16">
        <f>IFERROR(SUM(CI49:CJ49)/SUM(CD49:CE49)*100-100,"")</f>
        <v>-3.7468883488727585</v>
      </c>
      <c r="CK145" s="16">
        <f>IFERROR(SUM(CI49:CK49)/SUM(CD49:CF49)*100-100,"")</f>
        <v>-4.7136723211765883</v>
      </c>
      <c r="CL145" s="16">
        <f>IFERROR(SUM(CI49:CL49)/SUM(CD49:CG49)*100-100,"")</f>
        <v>-10.455409863780275</v>
      </c>
      <c r="CM145" s="16">
        <f>IFERROR(CM49/CH49*100-100,"")</f>
        <v>-10.455409863780275</v>
      </c>
      <c r="CN145" s="16">
        <f>IFERROR(CN49/CI49*100-100,"")</f>
        <v>-100</v>
      </c>
      <c r="CO145" s="16">
        <f>IFERROR(SUM(CN49:CO49)/SUM(CI49:CJ49)*100-100,"")</f>
        <v>-100</v>
      </c>
      <c r="CP145" s="16">
        <f>IFERROR(SUM(CN49:CP49)/SUM(CI49:CK49)*100-100,"")</f>
        <v>-100</v>
      </c>
      <c r="CQ145" s="16">
        <f>IFERROR(SUM(CN49:CQ49)/SUM(CI49:CL49)*100-100,"")</f>
        <v>-100</v>
      </c>
      <c r="CR145" s="16">
        <f>IFERROR(CR49/CM49*100-100,"")</f>
        <v>-100</v>
      </c>
    </row>
    <row r="146" spans="1:96" s="9" customFormat="1" ht="15" x14ac:dyDescent="0.4">
      <c r="A146" s="25"/>
      <c r="B146" s="42"/>
      <c r="C146" s="42"/>
      <c r="D146" s="42"/>
      <c r="E146" s="42"/>
      <c r="F146" s="42"/>
      <c r="G146" s="22"/>
      <c r="H146" s="22"/>
      <c r="I146" s="22"/>
      <c r="J146" s="22"/>
      <c r="K146" s="24"/>
      <c r="L146" s="22"/>
      <c r="M146" s="22"/>
      <c r="N146" s="22"/>
      <c r="O146" s="22"/>
      <c r="P146" s="24"/>
      <c r="Q146" s="22"/>
      <c r="R146" s="22"/>
      <c r="S146" s="22"/>
      <c r="T146" s="22"/>
      <c r="U146" s="24"/>
      <c r="V146" s="22"/>
      <c r="W146" s="22"/>
      <c r="X146" s="22"/>
      <c r="Y146" s="22"/>
      <c r="Z146" s="24"/>
      <c r="AA146" s="22"/>
      <c r="AB146" s="22"/>
      <c r="AC146" s="22"/>
      <c r="AD146" s="22"/>
      <c r="AE146" s="24"/>
      <c r="AF146" s="22"/>
      <c r="AG146" s="22"/>
      <c r="AH146" s="22"/>
      <c r="AI146" s="22"/>
      <c r="AJ146" s="24"/>
      <c r="AK146" s="22"/>
      <c r="AL146" s="22"/>
      <c r="AM146" s="22"/>
      <c r="AN146" s="22"/>
      <c r="AO146" s="24"/>
      <c r="AP146" s="22"/>
      <c r="AQ146" s="22"/>
      <c r="AR146" s="22"/>
      <c r="AS146" s="22"/>
      <c r="AT146" s="24"/>
      <c r="AU146" s="22"/>
      <c r="AV146" s="22"/>
      <c r="AW146" s="22"/>
      <c r="AX146" s="22"/>
      <c r="AY146" s="24"/>
      <c r="AZ146" s="22"/>
      <c r="BA146" s="22"/>
      <c r="BB146" s="22"/>
      <c r="BC146" s="22"/>
      <c r="BD146" s="24"/>
      <c r="BE146" s="22"/>
      <c r="BF146" s="22"/>
      <c r="BG146" s="22"/>
      <c r="BH146" s="22"/>
      <c r="BI146" s="24"/>
      <c r="BJ146" s="22"/>
      <c r="BK146" s="22"/>
      <c r="BL146" s="22"/>
      <c r="BM146" s="22"/>
      <c r="BN146" s="24"/>
      <c r="BO146" s="22"/>
      <c r="BP146" s="22"/>
      <c r="BQ146" s="22"/>
      <c r="BR146" s="22"/>
      <c r="BS146" s="24"/>
      <c r="BT146" s="22"/>
      <c r="BU146" s="22"/>
      <c r="BV146" s="22"/>
      <c r="BW146" s="22"/>
      <c r="BX146" s="24"/>
      <c r="BY146" s="22"/>
      <c r="BZ146" s="22"/>
      <c r="CA146" s="22"/>
      <c r="CB146" s="22"/>
      <c r="CC146" s="24"/>
      <c r="CD146" s="22"/>
      <c r="CE146" s="22"/>
      <c r="CF146" s="22"/>
      <c r="CG146" s="22"/>
      <c r="CH146" s="24"/>
      <c r="CI146" s="22"/>
      <c r="CJ146" s="22"/>
      <c r="CK146" s="22"/>
      <c r="CL146" s="22"/>
      <c r="CM146" s="24"/>
      <c r="CN146" s="22"/>
      <c r="CO146" s="22"/>
      <c r="CP146" s="22"/>
      <c r="CQ146" s="22"/>
      <c r="CR146" s="24"/>
    </row>
    <row r="147" spans="1:96" s="17" customFormat="1" ht="15" x14ac:dyDescent="0.4">
      <c r="A147" s="15" t="s">
        <v>89</v>
      </c>
      <c r="B147" s="37"/>
      <c r="C147" s="37"/>
      <c r="D147" s="37"/>
      <c r="E147" s="37"/>
      <c r="F147" s="37"/>
      <c r="G147" s="16">
        <f>IFERROR(G51/B51*100-100,"")</f>
        <v>-10.205272913893964</v>
      </c>
      <c r="H147" s="16">
        <f>IFERROR(SUM(G51:H51)/SUM(B51:C51)*100-100,"")</f>
        <v>-9.7334606348078552</v>
      </c>
      <c r="I147" s="16">
        <f>IFERROR(SUM(G51:I51)/SUM(B51:D51)*100-100,"")</f>
        <v>-8.9079485116833581</v>
      </c>
      <c r="J147" s="16">
        <f>IFERROR(SUM(G51:J51)/SUM(B51:E51)*100-100,"")</f>
        <v>-8.1809355822685177</v>
      </c>
      <c r="K147" s="16">
        <f>IFERROR(K51/F51*100-100,"")</f>
        <v>-8.1809355822685177</v>
      </c>
      <c r="L147" s="16">
        <f>IFERROR(L51/G51*100-100,"")</f>
        <v>2.2368718353093868</v>
      </c>
      <c r="M147" s="16">
        <f>IFERROR(SUM(L51:M51)/SUM(G51:H51)*100-100,"")</f>
        <v>8.7845630005664219</v>
      </c>
      <c r="N147" s="16">
        <f>IFERROR(SUM(L51:N51)/SUM(G51:I51)*100-100,"")</f>
        <v>10.282078624109346</v>
      </c>
      <c r="O147" s="16">
        <f>IFERROR(SUM(L51:O51)/SUM(G51:J51)*100-100,"")</f>
        <v>9.8693236672689579</v>
      </c>
      <c r="P147" s="16">
        <f>IFERROR(P51/K51*100-100,"")</f>
        <v>9.8693236672689579</v>
      </c>
      <c r="Q147" s="16">
        <f>IFERROR(Q51/L51*100-100,"")</f>
        <v>25.498256299450787</v>
      </c>
      <c r="R147" s="16" t="str">
        <f>IFERROR(SUM(Q51:R51)/SUM(L51:M51)*100-100,"")</f>
        <v/>
      </c>
      <c r="S147" s="16" t="str">
        <f>IFERROR(SUM(Q51:S51)/SUM(L51:N51)*100-100,"")</f>
        <v/>
      </c>
      <c r="T147" s="16" t="str">
        <f>IFERROR(SUM(Q51:T51)/SUM(L51:O51)*100-100,"")</f>
        <v/>
      </c>
      <c r="U147" s="16" t="str">
        <f>IFERROR(U51/P51*100-100,"")</f>
        <v/>
      </c>
      <c r="V147" s="16">
        <f>IFERROR(V51/Q51*100-100,"")</f>
        <v>23.697612359047056</v>
      </c>
      <c r="W147" s="16" t="str">
        <f>IFERROR(SUM(V51:W51)/SUM(Q51:R51)*100-100,"")</f>
        <v/>
      </c>
      <c r="X147" s="16" t="str">
        <f>IFERROR(SUM(V51:X51)/SUM(Q51:S51)*100-100,"")</f>
        <v/>
      </c>
      <c r="Y147" s="16" t="str">
        <f>IFERROR(SUM(V51:Y51)/SUM(Q51:T51)*100-100,"")</f>
        <v/>
      </c>
      <c r="Z147" s="16" t="str">
        <f>IFERROR(Z51/U51*100-100,"")</f>
        <v/>
      </c>
      <c r="AA147" s="16">
        <f>IFERROR(AA51/V51*100-100,"")</f>
        <v>19.359972267765002</v>
      </c>
      <c r="AB147" s="16">
        <f>IFERROR(SUM(AA51:AB51)/SUM(V51:W51)*100-100,"")</f>
        <v>7.0062998872773505</v>
      </c>
      <c r="AC147" s="16">
        <f>IFERROR(SUM(AA51:AC51)/SUM(V51:X51)*100-100,"")</f>
        <v>5.1167578299188676</v>
      </c>
      <c r="AD147" s="16">
        <f>IFERROR(SUM(AA51:AD51)/SUM(V51:Y51)*100-100,"")</f>
        <v>6.1381478265328298</v>
      </c>
      <c r="AE147" s="16">
        <f>IFERROR(AE51/Z51*100-100,"")</f>
        <v>6.1381478265328298</v>
      </c>
      <c r="AF147" s="16">
        <f>IFERROR(AF51/AA51*100-100,"")</f>
        <v>3.3333148591682544</v>
      </c>
      <c r="AG147" s="16">
        <f>IFERROR(SUM(AF51:AG51)/SUM(AA51:AB51)*100-100,"")</f>
        <v>7.0138087226119694</v>
      </c>
      <c r="AH147" s="16">
        <f>IFERROR(SUM(AF51:AH51)/SUM(AA51:AC51)*100-100,"")</f>
        <v>7.1270542037057396</v>
      </c>
      <c r="AI147" s="16">
        <f>IFERROR(SUM(AF51:AI51)/SUM(AA51:AD51)*100-100,"")</f>
        <v>6.769472589528732</v>
      </c>
      <c r="AJ147" s="16">
        <f>IFERROR(AJ51/AE51*100-100,"")</f>
        <v>6.769472589528732</v>
      </c>
      <c r="AK147" s="16">
        <f>IFERROR(AK51/AF51*100-100,"")</f>
        <v>-3.3875713953197106</v>
      </c>
      <c r="AL147" s="16">
        <f>IFERROR(SUM(AK51:AL51)/SUM(AF51:AG51)*100-100,"")</f>
        <v>3.2803612963906232</v>
      </c>
      <c r="AM147" s="16">
        <f>IFERROR(SUM(AK51:AM51)/SUM(AF51:AH51)*100-100,"")</f>
        <v>6.0126782911210199</v>
      </c>
      <c r="AN147" s="16">
        <f>IFERROR(SUM(AK51:AN51)/SUM(AF51:AI51)*100-100,"")</f>
        <v>7.8702006823118325</v>
      </c>
      <c r="AO147" s="16">
        <f>IFERROR(AO51/AJ51*100-100,"")</f>
        <v>7.8702006823118325</v>
      </c>
      <c r="AP147" s="16">
        <f>IFERROR(AP51/AK51*100-100,"")</f>
        <v>10.636635209525664</v>
      </c>
      <c r="AQ147" s="16">
        <f>IFERROR(SUM(AP51:AQ51)/SUM(AK51:AL51)*100-100,"")</f>
        <v>8.9701693298104317</v>
      </c>
      <c r="AR147" s="16">
        <f>IFERROR(SUM(AP51:AR51)/SUM(AK51:AM51)*100-100,"")</f>
        <v>8.2135328387628448</v>
      </c>
      <c r="AS147" s="16">
        <f>IFERROR(SUM(AP51:AS51)/SUM(AK51:AN51)*100-100,"")</f>
        <v>7.482864271880004</v>
      </c>
      <c r="AT147" s="16">
        <f>IFERROR(AT51/AO51*100-100,"")</f>
        <v>7.482864271880004</v>
      </c>
      <c r="AU147" s="16">
        <f>IFERROR(AU51/AP51*100-100,"")</f>
        <v>6.8796984443185067</v>
      </c>
      <c r="AV147" s="16">
        <f>IFERROR(SUM(AU51:AV51)/SUM(AP51:AQ51)*100-100,"")</f>
        <v>7.2091748123018107</v>
      </c>
      <c r="AW147" s="16">
        <f>IFERROR(SUM(AU51:AW51)/SUM(AP51:AR51)*100-100,"")</f>
        <v>6.9600523605141973</v>
      </c>
      <c r="AX147" s="16">
        <f>IFERROR(SUM(AU51:AX51)/SUM(AP51:AS51)*100-100,"")</f>
        <v>6.4993572315256216</v>
      </c>
      <c r="AY147" s="16">
        <f>IFERROR(AY51/AT51*100-100,"")</f>
        <v>6.4993572315256216</v>
      </c>
      <c r="AZ147" s="16">
        <f>IFERROR(AZ51/AU51*100-100,"")</f>
        <v>7.9009654060471632</v>
      </c>
      <c r="BA147" s="16">
        <f>IFERROR(SUM(AZ51:BA51)/SUM(AU51:AV51)*100-100,"")</f>
        <v>7.00625589397103</v>
      </c>
      <c r="BB147" s="16">
        <f>IFERROR(SUM(AZ51:BB51)/SUM(AU51:AW51)*100-100,"")</f>
        <v>6.1826810442766771</v>
      </c>
      <c r="BC147" s="16">
        <f>IFERROR(SUM(AZ51:BC51)/SUM(AU51:AX51)*100-100,"")</f>
        <v>4.9615022290949469</v>
      </c>
      <c r="BD147" s="16">
        <f>IFERROR(BD51/AY51*100-100,"")</f>
        <v>4.9615022290949469</v>
      </c>
      <c r="BE147" s="16">
        <f>IFERROR(BE51/AZ51*100-100,"")</f>
        <v>3.1235828974484718</v>
      </c>
      <c r="BF147" s="16">
        <f>IFERROR(SUM(BE51:BF51)/SUM(AZ51:BA51)*100-100,"")</f>
        <v>3.6927508495005981</v>
      </c>
      <c r="BG147" s="16">
        <f>IFERROR(SUM(BE51:BG51)/SUM(AZ51:BB51)*100-100,"")</f>
        <v>4.9736346370693525</v>
      </c>
      <c r="BH147" s="16">
        <f>IFERROR(SUM(BE51:BH51)/SUM(AZ51:BC51)*100-100,"")</f>
        <v>6.0997839970661687</v>
      </c>
      <c r="BI147" s="16">
        <f>IFERROR(BI51/BD51*100-100,"")</f>
        <v>6.0997839970661687</v>
      </c>
      <c r="BJ147" s="16">
        <f>IFERROR(BJ51/BE51*100-100,"")</f>
        <v>2.0877922191353946</v>
      </c>
      <c r="BK147" s="16">
        <f>IFERROR(SUM(BJ51:BK51)/SUM(BE51:BF51)*100-100,"")</f>
        <v>1.5312180410247009</v>
      </c>
      <c r="BL147" s="16">
        <f>IFERROR(SUM(BJ51:BL51)/SUM(BE51:BG51)*100-100,"")</f>
        <v>1.3343298254380898</v>
      </c>
      <c r="BM147" s="16">
        <f>IFERROR(SUM(BJ51:BM51)/SUM(BE51:BH51)*100-100,"")</f>
        <v>0.44024048793933446</v>
      </c>
      <c r="BN147" s="16">
        <f>IFERROR(BN51/BI51*100-100,"")</f>
        <v>0.44024048793933446</v>
      </c>
      <c r="BO147" s="16">
        <f>IFERROR(BO51/BJ51*100-100,"")</f>
        <v>6.1889480011247002</v>
      </c>
      <c r="BP147" s="16">
        <f>IFERROR(SUM(BO51:BP51)/SUM(BJ51:BK51)*100-100,"")</f>
        <v>5.7687168374409623</v>
      </c>
      <c r="BQ147" s="16">
        <f>IFERROR(SUM(BO51:BQ51)/SUM(BJ51:BL51)*100-100,"")</f>
        <v>5.9577382068995348</v>
      </c>
      <c r="BR147" s="16">
        <f>IFERROR(SUM(BO51:BR51)/SUM(BJ51:BM51)*100-100,"")</f>
        <v>6.0070097856856961</v>
      </c>
      <c r="BS147" s="16">
        <f>IFERROR(BS51/BN51*100-100,"")</f>
        <v>6.0070097856856961</v>
      </c>
      <c r="BT147" s="16">
        <f>IFERROR(BT51/BO51*100-100,"")</f>
        <v>-2.3456679478011608</v>
      </c>
      <c r="BU147" s="16">
        <f>IFERROR(SUM(BT51:BU51)/SUM(BO51:BP51)*100-100,"")</f>
        <v>1.3298740157243145</v>
      </c>
      <c r="BV147" s="16">
        <f>IFERROR(SUM(BT51:BV51)/SUM(BO51:BQ51)*100-100,"")</f>
        <v>0.4413861708002571</v>
      </c>
      <c r="BW147" s="16">
        <f>IFERROR(SUM(BT51:BW51)/SUM(BO51:BR51)*100-100,"")</f>
        <v>1.5909091636308688</v>
      </c>
      <c r="BX147" s="16">
        <f>IFERROR(BX51/BS51*100-100,"")</f>
        <v>1.5909091636308688</v>
      </c>
      <c r="BY147" s="16">
        <f>IFERROR(BY51/BT51*100-100,"")</f>
        <v>3.9911504133884392</v>
      </c>
      <c r="BZ147" s="16">
        <f>IFERROR(SUM(BY51:BZ51)/SUM(BT51:BU51)*100-100,"")</f>
        <v>0.85607506754318763</v>
      </c>
      <c r="CA147" s="16">
        <f>IFERROR(SUM(BY51:CA51)/SUM(BT51:BV51)*100-100,"")</f>
        <v>1.9622269713893417</v>
      </c>
      <c r="CB147" s="16">
        <f>IFERROR(SUM(BY51:CB51)/SUM(BT51:BW51)*100-100,"")</f>
        <v>0.7547015424706558</v>
      </c>
      <c r="CC147" s="16">
        <f>IFERROR(CC51/BX51*100-100,"")</f>
        <v>0.7547015424706558</v>
      </c>
      <c r="CD147" s="16">
        <f>IFERROR(CD51/BY51*100-100,"")</f>
        <v>2.1452035198039425</v>
      </c>
      <c r="CE147" s="16">
        <f>IFERROR(SUM(CD51:CE51)/SUM(BY51:BZ51)*100-100,"")</f>
        <v>2.3675878533609307</v>
      </c>
      <c r="CF147" s="16">
        <f>IFERROR(SUM(CD51:CF51)/SUM(BY51:CA51)*100-100,"")</f>
        <v>1.8411998934265768</v>
      </c>
      <c r="CG147" s="16">
        <f>IFERROR(SUM(CD51:CG51)/SUM(BY51:CB51)*100-100,"")</f>
        <v>2.1957262660676946</v>
      </c>
      <c r="CH147" s="16">
        <f>IFERROR(CH51/CC51*100-100,"")</f>
        <v>2.1957262660676946</v>
      </c>
      <c r="CI147" s="16">
        <f>IFERROR(CI51/CD51*100-100,"")</f>
        <v>1.9280847239156316</v>
      </c>
      <c r="CJ147" s="16">
        <f>IFERROR(SUM(CI51:CJ51)/SUM(CD51:CE51)*100-100,"")</f>
        <v>1.4306036702367919</v>
      </c>
      <c r="CK147" s="16">
        <f>IFERROR(SUM(CI51:CK51)/SUM(CD51:CF51)*100-100,"")</f>
        <v>1.187091579325724</v>
      </c>
      <c r="CL147" s="16">
        <f>IFERROR(SUM(CI51:CL51)/SUM(CD51:CG51)*100-100,"")</f>
        <v>1.0397789803402873</v>
      </c>
      <c r="CM147" s="16">
        <f>IFERROR(CM51/CH51*100-100,"")</f>
        <v>1.0397789803402873</v>
      </c>
      <c r="CN147" s="16">
        <f>IFERROR(CN51/CI51*100-100,"")</f>
        <v>-100</v>
      </c>
      <c r="CO147" s="16">
        <f>IFERROR(SUM(CN51:CO51)/SUM(CI51:CJ51)*100-100,"")</f>
        <v>-100</v>
      </c>
      <c r="CP147" s="16">
        <f>IFERROR(SUM(CN51:CP51)/SUM(CI51:CK51)*100-100,"")</f>
        <v>-100</v>
      </c>
      <c r="CQ147" s="16">
        <f>IFERROR(SUM(CN51:CQ51)/SUM(CI51:CL51)*100-100,"")</f>
        <v>-100</v>
      </c>
      <c r="CR147" s="16">
        <f>IFERROR(CR51/CM51*100-100,"")</f>
        <v>-100</v>
      </c>
    </row>
    <row r="148" spans="1:96" s="9" customFormat="1" ht="15" x14ac:dyDescent="0.4">
      <c r="A148" s="18" t="s">
        <v>90</v>
      </c>
      <c r="B148" s="38"/>
      <c r="C148" s="38"/>
      <c r="D148" s="38"/>
      <c r="E148" s="38"/>
      <c r="F148" s="38"/>
      <c r="G148" s="39">
        <f t="shared" ref="G148:G149" si="647">IFERROR(G52/B52*100-100,"")</f>
        <v>-3.7840868098410851</v>
      </c>
      <c r="H148" s="39">
        <f t="shared" ref="H148:H149" si="648">IFERROR(SUM(G52:H52)/SUM(B52:C52)*100-100,"")</f>
        <v>-3.4511744437788821</v>
      </c>
      <c r="I148" s="39">
        <f t="shared" ref="I148:I149" si="649">IFERROR(SUM(G52:I52)/SUM(B52:D52)*100-100,"")</f>
        <v>-2.4462011186411559</v>
      </c>
      <c r="J148" s="39">
        <f t="shared" ref="J148:J149" si="650">IFERROR(SUM(G52:J52)/SUM(B52:E52)*100-100,"")</f>
        <v>-1.0347012961887714</v>
      </c>
      <c r="K148" s="40">
        <f t="shared" ref="K148:L149" si="651">IFERROR(K52/F52*100-100,"")</f>
        <v>-1.0347012961887714</v>
      </c>
      <c r="L148" s="39">
        <f t="shared" si="651"/>
        <v>6.3208286062627224</v>
      </c>
      <c r="M148" s="39">
        <f t="shared" ref="M148:M149" si="652">IFERROR(SUM(L52:M52)/SUM(G52:H52)*100-100,"")</f>
        <v>6.7440760210388362</v>
      </c>
      <c r="N148" s="39">
        <f t="shared" ref="N148:N149" si="653">IFERROR(SUM(L52:N52)/SUM(G52:I52)*100-100,"")</f>
        <v>6.6606378278346625</v>
      </c>
      <c r="O148" s="39">
        <f t="shared" ref="O148:O149" si="654">IFERROR(SUM(L52:O52)/SUM(G52:J52)*100-100,"")</f>
        <v>6.5472350910439303</v>
      </c>
      <c r="P148" s="40">
        <f t="shared" ref="P148:Q149" si="655">IFERROR(P52/K52*100-100,"")</f>
        <v>6.5472350910439303</v>
      </c>
      <c r="Q148" s="39">
        <f t="shared" si="655"/>
        <v>11.175117560121393</v>
      </c>
      <c r="R148" s="39" t="str">
        <f t="shared" ref="R148:R149" si="656">IFERROR(SUM(Q52:R52)/SUM(L52:M52)*100-100,"")</f>
        <v/>
      </c>
      <c r="S148" s="39" t="str">
        <f t="shared" ref="S148:S149" si="657">IFERROR(SUM(Q52:S52)/SUM(L52:N52)*100-100,"")</f>
        <v/>
      </c>
      <c r="T148" s="39" t="str">
        <f t="shared" ref="T148:T149" si="658">IFERROR(SUM(Q52:T52)/SUM(L52:O52)*100-100,"")</f>
        <v/>
      </c>
      <c r="U148" s="40" t="str">
        <f t="shared" ref="U148:V149" si="659">IFERROR(U52/P52*100-100,"")</f>
        <v/>
      </c>
      <c r="V148" s="39">
        <f t="shared" si="659"/>
        <v>24.698408187993493</v>
      </c>
      <c r="W148" s="39" t="str">
        <f t="shared" ref="W148:W149" si="660">IFERROR(SUM(V52:W52)/SUM(Q52:R52)*100-100,"")</f>
        <v/>
      </c>
      <c r="X148" s="39" t="str">
        <f t="shared" ref="X148:X149" si="661">IFERROR(SUM(V52:X52)/SUM(Q52:S52)*100-100,"")</f>
        <v/>
      </c>
      <c r="Y148" s="39" t="str">
        <f t="shared" ref="Y148:Y149" si="662">IFERROR(SUM(V52:Y52)/SUM(Q52:T52)*100-100,"")</f>
        <v/>
      </c>
      <c r="Z148" s="40" t="str">
        <f t="shared" ref="Z148:AA149" si="663">IFERROR(Z52/U52*100-100,"")</f>
        <v/>
      </c>
      <c r="AA148" s="39">
        <f t="shared" si="663"/>
        <v>15.353090904850404</v>
      </c>
      <c r="AB148" s="39">
        <f t="shared" ref="AB148:AB149" si="664">IFERROR(SUM(AA52:AB52)/SUM(V52:W52)*100-100,"")</f>
        <v>9.4577908188499435</v>
      </c>
      <c r="AC148" s="39">
        <f t="shared" ref="AC148:AC149" si="665">IFERROR(SUM(AA52:AC52)/SUM(V52:X52)*100-100,"")</f>
        <v>8.6867575082217883</v>
      </c>
      <c r="AD148" s="39">
        <f t="shared" ref="AD148:AD149" si="666">IFERROR(SUM(AA52:AD52)/SUM(V52:Y52)*100-100,"")</f>
        <v>8.9300567369057262</v>
      </c>
      <c r="AE148" s="40">
        <f t="shared" ref="AE148:AF149" si="667">IFERROR(AE52/Z52*100-100,"")</f>
        <v>8.9300567369057262</v>
      </c>
      <c r="AF148" s="39">
        <f t="shared" si="667"/>
        <v>3.7576780402780514</v>
      </c>
      <c r="AG148" s="39">
        <f t="shared" ref="AG148:AG149" si="668">IFERROR(SUM(AF52:AG52)/SUM(AA52:AB52)*100-100,"")</f>
        <v>8.2295095841613772</v>
      </c>
      <c r="AH148" s="39">
        <f t="shared" ref="AH148:AH149" si="669">IFERROR(SUM(AF52:AH52)/SUM(AA52:AC52)*100-100,"")</f>
        <v>9.1580515820926394</v>
      </c>
      <c r="AI148" s="39">
        <f t="shared" ref="AI148:AI149" si="670">IFERROR(SUM(AF52:AI52)/SUM(AA52:AD52)*100-100,"")</f>
        <v>8.9442342738060177</v>
      </c>
      <c r="AJ148" s="40">
        <f t="shared" ref="AJ148:AK149" si="671">IFERROR(AJ52/AE52*100-100,"")</f>
        <v>8.9442342738060177</v>
      </c>
      <c r="AK148" s="39">
        <f t="shared" si="671"/>
        <v>3.1830455972865224</v>
      </c>
      <c r="AL148" s="39">
        <f t="shared" ref="AL148:AL149" si="672">IFERROR(SUM(AK52:AL52)/SUM(AF52:AG52)*100-100,"")</f>
        <v>4.9318699307392677</v>
      </c>
      <c r="AM148" s="39">
        <f t="shared" ref="AM148:AM149" si="673">IFERROR(SUM(AK52:AM52)/SUM(AF52:AH52)*100-100,"")</f>
        <v>6.3016681427975811</v>
      </c>
      <c r="AN148" s="39">
        <f t="shared" ref="AN148:AN149" si="674">IFERROR(SUM(AK52:AN52)/SUM(AF52:AI52)*100-100,"")</f>
        <v>8.2573425797042574</v>
      </c>
      <c r="AO148" s="40">
        <f t="shared" ref="AO148:AP149" si="675">IFERROR(AO52/AJ52*100-100,"")</f>
        <v>8.2573425797042574</v>
      </c>
      <c r="AP148" s="39">
        <f t="shared" si="675"/>
        <v>10.917733048254675</v>
      </c>
      <c r="AQ148" s="39">
        <f t="shared" ref="AQ148:AQ149" si="676">IFERROR(SUM(AP52:AQ52)/SUM(AK52:AL52)*100-100,"")</f>
        <v>8.5400798826841964</v>
      </c>
      <c r="AR148" s="39">
        <f t="shared" ref="AR148:AR149" si="677">IFERROR(SUM(AP52:AR52)/SUM(AK52:AM52)*100-100,"")</f>
        <v>7.8680472621719417</v>
      </c>
      <c r="AS148" s="39">
        <f t="shared" ref="AS148:AS149" si="678">IFERROR(SUM(AP52:AS52)/SUM(AK52:AN52)*100-100,"")</f>
        <v>7.1103246457962399</v>
      </c>
      <c r="AT148" s="40">
        <f t="shared" ref="AT148:AU149" si="679">IFERROR(AT52/AO52*100-100,"")</f>
        <v>7.1103246457962399</v>
      </c>
      <c r="AU148" s="39">
        <f t="shared" si="679"/>
        <v>6.8480042383366424</v>
      </c>
      <c r="AV148" s="39">
        <f t="shared" ref="AV148:AV149" si="680">IFERROR(SUM(AU52:AV52)/SUM(AP52:AQ52)*100-100,"")</f>
        <v>6.8403463876261128</v>
      </c>
      <c r="AW148" s="39">
        <f t="shared" ref="AW148:AW149" si="681">IFERROR(SUM(AU52:AW52)/SUM(AP52:AR52)*100-100,"")</f>
        <v>6.6164077317569081</v>
      </c>
      <c r="AX148" s="39">
        <f t="shared" ref="AX148:AX149" si="682">IFERROR(SUM(AU52:AX52)/SUM(AP52:AS52)*100-100,"")</f>
        <v>7.3854855586191945</v>
      </c>
      <c r="AY148" s="40">
        <f t="shared" ref="AY148:AZ149" si="683">IFERROR(AY52/AT52*100-100,"")</f>
        <v>7.3854855586191945</v>
      </c>
      <c r="AZ148" s="39">
        <f t="shared" si="683"/>
        <v>7.7767292382070679</v>
      </c>
      <c r="BA148" s="39">
        <f t="shared" ref="BA148:BA149" si="684">IFERROR(SUM(AZ52:BA52)/SUM(AU52:AV52)*100-100,"")</f>
        <v>7.5222580902317304</v>
      </c>
      <c r="BB148" s="39">
        <f t="shared" ref="BB148:BB149" si="685">IFERROR(SUM(AZ52:BB52)/SUM(AU52:AW52)*100-100,"")</f>
        <v>6.8196780379118422</v>
      </c>
      <c r="BC148" s="39">
        <f t="shared" ref="BC148:BC149" si="686">IFERROR(SUM(AZ52:BC52)/SUM(AU52:AX52)*100-100,"")</f>
        <v>5.1511127776019663</v>
      </c>
      <c r="BD148" s="40">
        <f t="shared" ref="BD148:BE149" si="687">IFERROR(BD52/AY52*100-100,"")</f>
        <v>5.1511127776019663</v>
      </c>
      <c r="BE148" s="39">
        <f t="shared" si="687"/>
        <v>5.1380196435264764</v>
      </c>
      <c r="BF148" s="39">
        <f t="shared" ref="BF148:BF149" si="688">IFERROR(SUM(BE52:BF52)/SUM(AZ52:BA52)*100-100,"")</f>
        <v>4.9540931267389539</v>
      </c>
      <c r="BG148" s="39">
        <f t="shared" ref="BG148:BG149" si="689">IFERROR(SUM(BE52:BG52)/SUM(AZ52:BB52)*100-100,"")</f>
        <v>5.7777621602124469</v>
      </c>
      <c r="BH148" s="39">
        <f t="shared" ref="BH148:BH149" si="690">IFERROR(SUM(BE52:BH52)/SUM(AZ52:BC52)*100-100,"")</f>
        <v>6.1932348800125112</v>
      </c>
      <c r="BI148" s="40">
        <f t="shared" ref="BI148:BJ149" si="691">IFERROR(BI52/BD52*100-100,"")</f>
        <v>6.1932348800125112</v>
      </c>
      <c r="BJ148" s="39">
        <f t="shared" si="691"/>
        <v>-0.2013943063175816</v>
      </c>
      <c r="BK148" s="39">
        <f t="shared" ref="BK148:BK149" si="692">IFERROR(SUM(BJ52:BK52)/SUM(BE52:BF52)*100-100,"")</f>
        <v>0.99829376590201946</v>
      </c>
      <c r="BL148" s="39">
        <f t="shared" ref="BL148:BL149" si="693">IFERROR(SUM(BJ52:BL52)/SUM(BE52:BG52)*100-100,"")</f>
        <v>1.4407267409075217</v>
      </c>
      <c r="BM148" s="39">
        <f t="shared" ref="BM148:BM149" si="694">IFERROR(SUM(BJ52:BM52)/SUM(BE52:BH52)*100-100,"")</f>
        <v>0.20626977933055457</v>
      </c>
      <c r="BN148" s="40">
        <f t="shared" ref="BN148:BO149" si="695">IFERROR(BN52/BI52*100-100,"")</f>
        <v>0.20626977933055457</v>
      </c>
      <c r="BO148" s="39">
        <f t="shared" si="695"/>
        <v>3.4619748357048508</v>
      </c>
      <c r="BP148" s="39">
        <f t="shared" ref="BP148:BP149" si="696">IFERROR(SUM(BO52:BP52)/SUM(BJ52:BK52)*100-100,"")</f>
        <v>3.1959167558806172</v>
      </c>
      <c r="BQ148" s="39">
        <f t="shared" ref="BQ148:BQ149" si="697">IFERROR(SUM(BO52:BQ52)/SUM(BJ52:BL52)*100-100,"")</f>
        <v>4.2483224646418165</v>
      </c>
      <c r="BR148" s="39">
        <f t="shared" ref="BR148:BR149" si="698">IFERROR(SUM(BO52:BR52)/SUM(BJ52:BM52)*100-100,"")</f>
        <v>5.7998532663629163</v>
      </c>
      <c r="BS148" s="40">
        <f t="shared" ref="BS148:BT149" si="699">IFERROR(BS52/BN52*100-100,"")</f>
        <v>5.7998532663629163</v>
      </c>
      <c r="BT148" s="39">
        <f t="shared" si="699"/>
        <v>-0.14136512116948552</v>
      </c>
      <c r="BU148" s="39">
        <f t="shared" ref="BU148:BU149" si="700">IFERROR(SUM(BT52:BU52)/SUM(BO52:BP52)*100-100,"")</f>
        <v>1.8036680033973482</v>
      </c>
      <c r="BV148" s="39">
        <f t="shared" ref="BV148:BV149" si="701">IFERROR(SUM(BT52:BV52)/SUM(BO52:BQ52)*100-100,"")</f>
        <v>-0.51758154162159542</v>
      </c>
      <c r="BW148" s="39">
        <f t="shared" ref="BW148:BW149" si="702">IFERROR(SUM(BT52:BW52)/SUM(BO52:BR52)*100-100,"")</f>
        <v>0.22552181560502049</v>
      </c>
      <c r="BX148" s="40">
        <f t="shared" ref="BX148:BY149" si="703">IFERROR(BX52/BS52*100-100,"")</f>
        <v>0.22552181560502049</v>
      </c>
      <c r="BY148" s="39">
        <f t="shared" si="703"/>
        <v>4.6302557757537528</v>
      </c>
      <c r="BZ148" s="39">
        <f t="shared" ref="BZ148:BZ149" si="704">IFERROR(SUM(BY52:BZ52)/SUM(BT52:BU52)*100-100,"")</f>
        <v>-1.1037228783841897</v>
      </c>
      <c r="CA148" s="39">
        <f t="shared" ref="CA148:CA149" si="705">IFERROR(SUM(BY52:CA52)/SUM(BT52:BV52)*100-100,"")</f>
        <v>0.15462212819450372</v>
      </c>
      <c r="CB148" s="39">
        <f t="shared" ref="CB148:CB149" si="706">IFERROR(SUM(BY52:CB52)/SUM(BT52:BW52)*100-100,"")</f>
        <v>-1.407187601664063</v>
      </c>
      <c r="CC148" s="40">
        <f t="shared" ref="CC148:CD149" si="707">IFERROR(CC52/BX52*100-100,"")</f>
        <v>-1.407187601664063</v>
      </c>
      <c r="CD148" s="39">
        <f t="shared" si="707"/>
        <v>6.5778188488408773E-2</v>
      </c>
      <c r="CE148" s="39">
        <f t="shared" ref="CE148:CE149" si="708">IFERROR(SUM(CD52:CE52)/SUM(BY52:BZ52)*100-100,"")</f>
        <v>2.519613782784333</v>
      </c>
      <c r="CF148" s="39">
        <f t="shared" ref="CF148:CF149" si="709">IFERROR(SUM(CD52:CF52)/SUM(BY52:CA52)*100-100,"")</f>
        <v>1.6583332037289011</v>
      </c>
      <c r="CG148" s="39">
        <f t="shared" ref="CG148:CG149" si="710">IFERROR(SUM(CD52:CG52)/SUM(BY52:CB52)*100-100,"")</f>
        <v>1.7403369175292625</v>
      </c>
      <c r="CH148" s="40">
        <f t="shared" ref="CH148:CI149" si="711">IFERROR(CH52/CC52*100-100,"")</f>
        <v>1.7403369175292625</v>
      </c>
      <c r="CI148" s="39">
        <f t="shared" si="711"/>
        <v>0.83518634530268798</v>
      </c>
      <c r="CJ148" s="39">
        <f t="shared" ref="CJ148:CJ149" si="712">IFERROR(SUM(CI52:CJ52)/SUM(CD52:CE52)*100-100,"")</f>
        <v>0.80455963999996527</v>
      </c>
      <c r="CK148" s="39">
        <f t="shared" ref="CK148:CK149" si="713">IFERROR(SUM(CI52:CK52)/SUM(CD52:CF52)*100-100,"")</f>
        <v>0.98171799341020005</v>
      </c>
      <c r="CL148" s="39">
        <f t="shared" ref="CL148:CL149" si="714">IFERROR(SUM(CI52:CL52)/SUM(CD52:CG52)*100-100,"")</f>
        <v>0.98513109261585896</v>
      </c>
      <c r="CM148" s="40">
        <f t="shared" ref="CM148:CN149" si="715">IFERROR(CM52/CH52*100-100,"")</f>
        <v>0.98513109261585896</v>
      </c>
      <c r="CN148" s="39">
        <f t="shared" si="715"/>
        <v>-100</v>
      </c>
      <c r="CO148" s="39">
        <f t="shared" ref="CO148:CO149" si="716">IFERROR(SUM(CN52:CO52)/SUM(CI52:CJ52)*100-100,"")</f>
        <v>-100</v>
      </c>
      <c r="CP148" s="39">
        <f t="shared" ref="CP148:CP149" si="717">IFERROR(SUM(CN52:CP52)/SUM(CI52:CK52)*100-100,"")</f>
        <v>-100</v>
      </c>
      <c r="CQ148" s="39">
        <f t="shared" ref="CQ148:CQ149" si="718">IFERROR(SUM(CN52:CQ52)/SUM(CI52:CL52)*100-100,"")</f>
        <v>-100</v>
      </c>
      <c r="CR148" s="40">
        <f t="shared" ref="CR148:CR149" si="719">IFERROR(CR52/CM52*100-100,"")</f>
        <v>-100</v>
      </c>
    </row>
    <row r="149" spans="1:96" s="9" customFormat="1" ht="15" x14ac:dyDescent="0.4">
      <c r="A149" s="18" t="s">
        <v>91</v>
      </c>
      <c r="B149" s="41"/>
      <c r="C149" s="41"/>
      <c r="D149" s="41"/>
      <c r="E149" s="41"/>
      <c r="F149" s="41"/>
      <c r="G149" s="39">
        <f t="shared" si="647"/>
        <v>-16.684382702847728</v>
      </c>
      <c r="H149" s="39">
        <f t="shared" si="648"/>
        <v>-16.138777019651968</v>
      </c>
      <c r="I149" s="39">
        <f t="shared" si="649"/>
        <v>-15.61437689581031</v>
      </c>
      <c r="J149" s="39">
        <f t="shared" si="650"/>
        <v>-15.719770648655611</v>
      </c>
      <c r="K149" s="40">
        <f t="shared" si="651"/>
        <v>-15.719770648655611</v>
      </c>
      <c r="L149" s="39">
        <f t="shared" si="651"/>
        <v>-2.5219747911194759</v>
      </c>
      <c r="M149" s="39">
        <f t="shared" si="652"/>
        <v>11.179766959567999</v>
      </c>
      <c r="N149" s="39">
        <f t="shared" si="653"/>
        <v>14.627165149942115</v>
      </c>
      <c r="O149" s="39">
        <f t="shared" si="654"/>
        <v>13.984566152664996</v>
      </c>
      <c r="P149" s="40">
        <f t="shared" si="655"/>
        <v>13.984566152664996</v>
      </c>
      <c r="Q149" s="39">
        <f t="shared" si="655"/>
        <v>43.702406102020916</v>
      </c>
      <c r="R149" s="39" t="str">
        <f t="shared" si="656"/>
        <v/>
      </c>
      <c r="S149" s="39" t="str">
        <f t="shared" si="657"/>
        <v/>
      </c>
      <c r="T149" s="39" t="str">
        <f t="shared" si="658"/>
        <v/>
      </c>
      <c r="U149" s="40" t="str">
        <f t="shared" si="659"/>
        <v/>
      </c>
      <c r="V149" s="39">
        <f t="shared" si="659"/>
        <v>22.713553113248835</v>
      </c>
      <c r="W149" s="39" t="str">
        <f t="shared" si="660"/>
        <v/>
      </c>
      <c r="X149" s="39" t="str">
        <f t="shared" si="661"/>
        <v/>
      </c>
      <c r="Y149" s="39" t="str">
        <f t="shared" si="662"/>
        <v/>
      </c>
      <c r="Z149" s="40" t="str">
        <f t="shared" si="663"/>
        <v/>
      </c>
      <c r="AA149" s="39">
        <f t="shared" si="663"/>
        <v>23.36357172683428</v>
      </c>
      <c r="AB149" s="39">
        <f t="shared" si="664"/>
        <v>4.5823699781731619</v>
      </c>
      <c r="AC149" s="39">
        <f t="shared" si="665"/>
        <v>1.6192094189471078</v>
      </c>
      <c r="AD149" s="39">
        <f t="shared" si="666"/>
        <v>3.3893717130040244</v>
      </c>
      <c r="AE149" s="40">
        <f t="shared" si="667"/>
        <v>3.3893717130040244</v>
      </c>
      <c r="AF149" s="39">
        <f t="shared" si="667"/>
        <v>2.9368322566936627</v>
      </c>
      <c r="AG149" s="39">
        <f t="shared" si="668"/>
        <v>5.7557390589085315</v>
      </c>
      <c r="AH149" s="39">
        <f t="shared" si="669"/>
        <v>4.9988870257353426</v>
      </c>
      <c r="AI149" s="39">
        <f t="shared" si="670"/>
        <v>4.5135633137944211</v>
      </c>
      <c r="AJ149" s="40">
        <f t="shared" si="671"/>
        <v>4.5135633137944211</v>
      </c>
      <c r="AK149" s="39">
        <f t="shared" si="671"/>
        <v>-9.5754535835299066</v>
      </c>
      <c r="AL149" s="39">
        <f t="shared" si="672"/>
        <v>1.5313180001263618</v>
      </c>
      <c r="AM149" s="39">
        <f t="shared" si="673"/>
        <v>5.6978671818030335</v>
      </c>
      <c r="AN149" s="39">
        <f t="shared" si="674"/>
        <v>7.4515886308500967</v>
      </c>
      <c r="AO149" s="40">
        <f t="shared" si="675"/>
        <v>7.4515886308500967</v>
      </c>
      <c r="AP149" s="39">
        <f t="shared" si="675"/>
        <v>10.334559785274962</v>
      </c>
      <c r="AQ149" s="39">
        <f t="shared" si="676"/>
        <v>9.4409145149140272</v>
      </c>
      <c r="AR149" s="39">
        <f t="shared" si="677"/>
        <v>8.5920375019721718</v>
      </c>
      <c r="AS149" s="39">
        <f t="shared" si="678"/>
        <v>7.8887077288469953</v>
      </c>
      <c r="AT149" s="40">
        <f t="shared" si="679"/>
        <v>7.8887077288469953</v>
      </c>
      <c r="AU149" s="39">
        <f t="shared" si="679"/>
        <v>6.9139379260214469</v>
      </c>
      <c r="AV149" s="39">
        <f t="shared" si="680"/>
        <v>7.6095451617225365</v>
      </c>
      <c r="AW149" s="39">
        <f t="shared" si="681"/>
        <v>7.334030062345704</v>
      </c>
      <c r="AX149" s="39">
        <f t="shared" si="682"/>
        <v>5.540976576885285</v>
      </c>
      <c r="AY149" s="40">
        <f t="shared" si="683"/>
        <v>5.540976576885285</v>
      </c>
      <c r="AZ149" s="39">
        <f t="shared" si="683"/>
        <v>8.0350958744414669</v>
      </c>
      <c r="BA149" s="39">
        <f t="shared" si="684"/>
        <v>6.4501294259558364</v>
      </c>
      <c r="BB149" s="39">
        <f t="shared" si="685"/>
        <v>5.4940919495887641</v>
      </c>
      <c r="BC149" s="39">
        <f t="shared" si="686"/>
        <v>4.7528474242086958</v>
      </c>
      <c r="BD149" s="40">
        <f t="shared" si="687"/>
        <v>4.7528474242086958</v>
      </c>
      <c r="BE149" s="39">
        <f t="shared" si="687"/>
        <v>0.95391547871174964</v>
      </c>
      <c r="BF149" s="39">
        <f t="shared" si="688"/>
        <v>2.3196350944634077</v>
      </c>
      <c r="BG149" s="39">
        <f t="shared" si="689"/>
        <v>4.0934560248534098</v>
      </c>
      <c r="BH149" s="39">
        <f t="shared" si="690"/>
        <v>5.9965560380631899</v>
      </c>
      <c r="BI149" s="40">
        <f t="shared" si="691"/>
        <v>5.9965560380631899</v>
      </c>
      <c r="BJ149" s="39">
        <f t="shared" si="691"/>
        <v>4.6555694181994909</v>
      </c>
      <c r="BK149" s="39">
        <f t="shared" si="692"/>
        <v>2.1263045418011757</v>
      </c>
      <c r="BL149" s="39">
        <f t="shared" si="693"/>
        <v>1.2159859277659564</v>
      </c>
      <c r="BM149" s="39">
        <f t="shared" si="694"/>
        <v>0.69916938287626351</v>
      </c>
      <c r="BN149" s="40">
        <f t="shared" si="695"/>
        <v>0.69916938287626351</v>
      </c>
      <c r="BO149" s="39">
        <f t="shared" si="695"/>
        <v>9.1058319477850915</v>
      </c>
      <c r="BP149" s="39">
        <f t="shared" si="696"/>
        <v>8.6098857636547592</v>
      </c>
      <c r="BQ149" s="39">
        <f t="shared" si="697"/>
        <v>7.8633207793538134</v>
      </c>
      <c r="BR149" s="39">
        <f t="shared" si="698"/>
        <v>6.2351420127383648</v>
      </c>
      <c r="BS149" s="40">
        <f t="shared" si="699"/>
        <v>6.2351420127383648</v>
      </c>
      <c r="BT149" s="39">
        <f t="shared" si="699"/>
        <v>-4.5815162906177136</v>
      </c>
      <c r="BU149" s="39">
        <f t="shared" si="700"/>
        <v>0.83273972859147705</v>
      </c>
      <c r="BV149" s="39">
        <f t="shared" si="701"/>
        <v>1.4745741548712488</v>
      </c>
      <c r="BW149" s="39">
        <f t="shared" si="702"/>
        <v>3.0883882702564591</v>
      </c>
      <c r="BX149" s="40">
        <f t="shared" si="703"/>
        <v>3.0883882702564591</v>
      </c>
      <c r="BY149" s="39">
        <f t="shared" si="703"/>
        <v>3.3127335106542404</v>
      </c>
      <c r="BZ149" s="39">
        <f t="shared" si="704"/>
        <v>2.9322183786318305</v>
      </c>
      <c r="CA149" s="39">
        <f t="shared" si="705"/>
        <v>3.8714996373299613</v>
      </c>
      <c r="CB149" s="39">
        <f t="shared" si="706"/>
        <v>3.0598924316955589</v>
      </c>
      <c r="CC149" s="40">
        <f t="shared" si="707"/>
        <v>3.0598924316955589</v>
      </c>
      <c r="CD149" s="39">
        <f t="shared" si="707"/>
        <v>4.3806844166748249</v>
      </c>
      <c r="CE149" s="39">
        <f t="shared" si="708"/>
        <v>2.2128515177054737</v>
      </c>
      <c r="CF149" s="39">
        <f t="shared" si="709"/>
        <v>2.027440191042956</v>
      </c>
      <c r="CG149" s="39">
        <f t="shared" si="710"/>
        <v>2.660254282843951</v>
      </c>
      <c r="CH149" s="40">
        <f t="shared" si="711"/>
        <v>2.660254282843951</v>
      </c>
      <c r="CI149" s="39">
        <f t="shared" si="711"/>
        <v>3.0544333961240966</v>
      </c>
      <c r="CJ149" s="39">
        <f t="shared" si="712"/>
        <v>2.0697215634146744</v>
      </c>
      <c r="CK149" s="39">
        <f t="shared" si="713"/>
        <v>1.3954972990196381</v>
      </c>
      <c r="CL149" s="39">
        <f t="shared" si="714"/>
        <v>1.0950240162232063</v>
      </c>
      <c r="CM149" s="40">
        <f t="shared" si="715"/>
        <v>1.0950240162232063</v>
      </c>
      <c r="CN149" s="39">
        <f t="shared" si="715"/>
        <v>-100</v>
      </c>
      <c r="CO149" s="39">
        <f t="shared" si="716"/>
        <v>-100</v>
      </c>
      <c r="CP149" s="39">
        <f t="shared" si="717"/>
        <v>-100</v>
      </c>
      <c r="CQ149" s="39">
        <f t="shared" si="718"/>
        <v>-100</v>
      </c>
      <c r="CR149" s="40">
        <f t="shared" si="719"/>
        <v>-100</v>
      </c>
    </row>
    <row r="150" spans="1:96" s="9" customFormat="1" ht="15" x14ac:dyDescent="0.4">
      <c r="A150" s="25"/>
      <c r="B150" s="42"/>
      <c r="C150" s="42"/>
      <c r="D150" s="42"/>
      <c r="E150" s="42"/>
      <c r="F150" s="42"/>
      <c r="G150" s="22"/>
      <c r="H150" s="22"/>
      <c r="I150" s="22"/>
      <c r="J150" s="22"/>
      <c r="K150" s="24"/>
      <c r="L150" s="22"/>
      <c r="M150" s="22"/>
      <c r="N150" s="22"/>
      <c r="O150" s="22"/>
      <c r="P150" s="24"/>
      <c r="Q150" s="22"/>
      <c r="R150" s="22"/>
      <c r="S150" s="22"/>
      <c r="T150" s="22"/>
      <c r="U150" s="24"/>
      <c r="V150" s="22"/>
      <c r="W150" s="22"/>
      <c r="X150" s="22"/>
      <c r="Y150" s="22"/>
      <c r="Z150" s="24"/>
      <c r="AA150" s="22"/>
      <c r="AB150" s="22"/>
      <c r="AC150" s="22"/>
      <c r="AD150" s="22"/>
      <c r="AE150" s="24"/>
      <c r="AF150" s="22"/>
      <c r="AG150" s="22"/>
      <c r="AH150" s="22"/>
      <c r="AI150" s="22"/>
      <c r="AJ150" s="24"/>
      <c r="AK150" s="22"/>
      <c r="AL150" s="22"/>
      <c r="AM150" s="22"/>
      <c r="AN150" s="22"/>
      <c r="AO150" s="24"/>
      <c r="AP150" s="22"/>
      <c r="AQ150" s="22"/>
      <c r="AR150" s="22"/>
      <c r="AS150" s="22"/>
      <c r="AT150" s="24"/>
      <c r="AU150" s="22"/>
      <c r="AV150" s="22"/>
      <c r="AW150" s="22"/>
      <c r="AX150" s="22"/>
      <c r="AY150" s="24"/>
      <c r="AZ150" s="22"/>
      <c r="BA150" s="22"/>
      <c r="BB150" s="22"/>
      <c r="BC150" s="22"/>
      <c r="BD150" s="24"/>
      <c r="BE150" s="22"/>
      <c r="BF150" s="22"/>
      <c r="BG150" s="22"/>
      <c r="BH150" s="22"/>
      <c r="BI150" s="24"/>
      <c r="BJ150" s="22"/>
      <c r="BK150" s="22"/>
      <c r="BL150" s="22"/>
      <c r="BM150" s="22"/>
      <c r="BN150" s="24"/>
      <c r="BO150" s="22"/>
      <c r="BP150" s="22"/>
      <c r="BQ150" s="22"/>
      <c r="BR150" s="22"/>
      <c r="BS150" s="24"/>
      <c r="BT150" s="22"/>
      <c r="BU150" s="22"/>
      <c r="BV150" s="22"/>
      <c r="BW150" s="22"/>
      <c r="BX150" s="24"/>
      <c r="BY150" s="22"/>
      <c r="BZ150" s="22"/>
      <c r="CA150" s="22"/>
      <c r="CB150" s="22"/>
      <c r="CC150" s="24"/>
      <c r="CD150" s="22"/>
      <c r="CE150" s="22"/>
      <c r="CF150" s="22"/>
      <c r="CG150" s="22"/>
      <c r="CH150" s="24"/>
      <c r="CI150" s="22"/>
      <c r="CJ150" s="22"/>
      <c r="CK150" s="22"/>
      <c r="CL150" s="22"/>
      <c r="CM150" s="24"/>
      <c r="CN150" s="22"/>
      <c r="CO150" s="22"/>
      <c r="CP150" s="22"/>
      <c r="CQ150" s="22"/>
      <c r="CR150" s="24"/>
    </row>
    <row r="151" spans="1:96" s="17" customFormat="1" ht="15" x14ac:dyDescent="0.4">
      <c r="A151" s="15" t="s">
        <v>92</v>
      </c>
      <c r="B151" s="37"/>
      <c r="C151" s="37"/>
      <c r="D151" s="37"/>
      <c r="E151" s="37"/>
      <c r="F151" s="37"/>
      <c r="G151" s="16">
        <f>IFERROR(G55/B55*100-100,"")</f>
        <v>-31.385893874608001</v>
      </c>
      <c r="H151" s="16">
        <f>IFERROR(SUM(G55:H55)/SUM(B55:C55)*100-100,"")</f>
        <v>-28.84270866931746</v>
      </c>
      <c r="I151" s="16">
        <f>IFERROR(SUM(G55:I55)/SUM(B55:D55)*100-100,"")</f>
        <v>-47.024500499318314</v>
      </c>
      <c r="J151" s="16">
        <f>IFERROR(SUM(G55:J55)/SUM(B55:E55)*100-100,"")</f>
        <v>-39.20940174361499</v>
      </c>
      <c r="K151" s="16">
        <f>IFERROR(K55/F55*100-100,"")</f>
        <v>-39.20940174361499</v>
      </c>
      <c r="L151" s="16">
        <f>IFERROR(L55/G55*100-100,"")</f>
        <v>6.7179741558160941</v>
      </c>
      <c r="M151" s="16">
        <f>IFERROR(SUM(L55:M55)/SUM(G55:H55)*100-100,"")</f>
        <v>62.894740129445751</v>
      </c>
      <c r="N151" s="16">
        <f>IFERROR(SUM(L55:N55)/SUM(G55:I55)*100-100,"")</f>
        <v>96.102113531922669</v>
      </c>
      <c r="O151" s="16">
        <f>IFERROR(SUM(L55:O55)/SUM(G55:J55)*100-100,"")</f>
        <v>82.805816714735613</v>
      </c>
      <c r="P151" s="16">
        <f>IFERROR(P55/K55*100-100,"")</f>
        <v>82.805816714735613</v>
      </c>
      <c r="Q151" s="16">
        <f>IFERROR(Q55/L55*100-100,"")</f>
        <v>94.06582710219223</v>
      </c>
      <c r="R151" s="16" t="str">
        <f>IFERROR(SUM(Q55:R55)/SUM(L55:M55)*100-100,"")</f>
        <v/>
      </c>
      <c r="S151" s="16" t="str">
        <f>IFERROR(SUM(Q55:S55)/SUM(L55:N55)*100-100,"")</f>
        <v/>
      </c>
      <c r="T151" s="16" t="str">
        <f>IFERROR(SUM(Q55:T55)/SUM(L55:O55)*100-100,"")</f>
        <v/>
      </c>
      <c r="U151" s="16" t="str">
        <f>IFERROR(U55/P55*100-100,"")</f>
        <v/>
      </c>
      <c r="V151" s="16">
        <f>IFERROR(V55/Q55*100-100,"")</f>
        <v>78.100790964559053</v>
      </c>
      <c r="W151" s="16" t="str">
        <f>IFERROR(SUM(V55:W55)/SUM(Q55:R55)*100-100,"")</f>
        <v/>
      </c>
      <c r="X151" s="16" t="str">
        <f>IFERROR(SUM(V55:X55)/SUM(Q55:S55)*100-100,"")</f>
        <v/>
      </c>
      <c r="Y151" s="16" t="str">
        <f>IFERROR(SUM(V55:Y55)/SUM(Q55:T55)*100-100,"")</f>
        <v/>
      </c>
      <c r="Z151" s="16" t="str">
        <f>IFERROR(Z55/U55*100-100,"")</f>
        <v/>
      </c>
      <c r="AA151" s="16">
        <f>IFERROR(AA55/V55*100-100,"")</f>
        <v>-24.171796110606948</v>
      </c>
      <c r="AB151" s="16">
        <f>IFERROR(SUM(AA55:AB55)/SUM(V55:W55)*100-100,"")</f>
        <v>-19.598593236571134</v>
      </c>
      <c r="AC151" s="16">
        <f>IFERROR(SUM(AA55:AC55)/SUM(V55:X55)*100-100,"")</f>
        <v>-23.3821886389143</v>
      </c>
      <c r="AD151" s="16">
        <f>IFERROR(SUM(AA55:AD55)/SUM(V55:Y55)*100-100,"")</f>
        <v>-22.572755439643572</v>
      </c>
      <c r="AE151" s="16">
        <f>IFERROR(AE55/Z55*100-100,"")</f>
        <v>-22.572755439643572</v>
      </c>
      <c r="AF151" s="16">
        <f>IFERROR(AF55/AA55*100-100,"")</f>
        <v>-20.561738594320673</v>
      </c>
      <c r="AG151" s="16">
        <f>IFERROR(SUM(AF55:AG55)/SUM(AA55:AB55)*100-100,"")</f>
        <v>-8.5135461352609241</v>
      </c>
      <c r="AH151" s="16">
        <f>IFERROR(SUM(AF55:AH55)/SUM(AA55:AC55)*100-100,"")</f>
        <v>10.2861173091826</v>
      </c>
      <c r="AI151" s="16">
        <f>IFERROR(SUM(AF55:AI55)/SUM(AA55:AD55)*100-100,"")</f>
        <v>5.853270318282739</v>
      </c>
      <c r="AJ151" s="16">
        <f>IFERROR(AJ55/AE55*100-100,"")</f>
        <v>5.853270318282739</v>
      </c>
      <c r="AK151" s="16">
        <f>IFERROR(AK55/AF55*100-100,"")</f>
        <v>-36.013979127797491</v>
      </c>
      <c r="AL151" s="16">
        <f>IFERROR(SUM(AK55:AL55)/SUM(AF55:AG55)*100-100,"")</f>
        <v>-38.65022223045311</v>
      </c>
      <c r="AM151" s="16">
        <f>IFERROR(SUM(AK55:AM55)/SUM(AF55:AH55)*100-100,"")</f>
        <v>-35.048956426808957</v>
      </c>
      <c r="AN151" s="16">
        <f>IFERROR(SUM(AK55:AN55)/SUM(AF55:AI55)*100-100,"")</f>
        <v>-20.279581968408195</v>
      </c>
      <c r="AO151" s="16">
        <f>IFERROR(AO55/AJ55*100-100,"")</f>
        <v>-20.279581968408195</v>
      </c>
      <c r="AP151" s="16">
        <f>IFERROR(AP55/AK55*100-100,"")</f>
        <v>19.792749514191684</v>
      </c>
      <c r="AQ151" s="16">
        <f>IFERROR(SUM(AP55:AQ55)/SUM(AK55:AL55)*100-100,"")</f>
        <v>12.795234337368399</v>
      </c>
      <c r="AR151" s="16">
        <f>IFERROR(SUM(AP55:AR55)/SUM(AK55:AM55)*100-100,"")</f>
        <v>7.5459603243513129</v>
      </c>
      <c r="AS151" s="16">
        <f>IFERROR(SUM(AP55:AS55)/SUM(AK55:AN55)*100-100,"")</f>
        <v>5.2083432933974336</v>
      </c>
      <c r="AT151" s="16">
        <f>IFERROR(AT55/AO55*100-100,"")</f>
        <v>5.2083432933974336</v>
      </c>
      <c r="AU151" s="16">
        <f>IFERROR(AU55/AP55*100-100,"")</f>
        <v>0.78711873037677549</v>
      </c>
      <c r="AV151" s="16">
        <f>IFERROR(SUM(AU55:AV55)/SUM(AP55:AQ55)*100-100,"")</f>
        <v>1.4955439780299287</v>
      </c>
      <c r="AW151" s="16">
        <f>IFERROR(SUM(AU55:AW55)/SUM(AP55:AR55)*100-100,"")</f>
        <v>2.8862100287130374</v>
      </c>
      <c r="AX151" s="16">
        <f>IFERROR(SUM(AU55:AX55)/SUM(AP55:AS55)*100-100,"")</f>
        <v>3.6291098315718813</v>
      </c>
      <c r="AY151" s="16">
        <f>IFERROR(AY55/AT55*100-100,"")</f>
        <v>3.6291098315718813</v>
      </c>
      <c r="AZ151" s="16">
        <f>IFERROR(AZ55/AU55*100-100,"")</f>
        <v>4.2052354312775151</v>
      </c>
      <c r="BA151" s="16">
        <f>IFERROR(SUM(AZ55:BA55)/SUM(AU55:AV55)*100-100,"")</f>
        <v>4.96370651801044</v>
      </c>
      <c r="BB151" s="16">
        <f>IFERROR(SUM(AZ55:BB55)/SUM(AU55:AW55)*100-100,"")</f>
        <v>5.081262527373525</v>
      </c>
      <c r="BC151" s="16">
        <f>IFERROR(SUM(AZ55:BC55)/SUM(AU55:AX55)*100-100,"")</f>
        <v>4.679276161659331</v>
      </c>
      <c r="BD151" s="16">
        <f>IFERROR(BD55/AY55*100-100,"")</f>
        <v>4.679276161659331</v>
      </c>
      <c r="BE151" s="16">
        <f>IFERROR(BE55/AZ55*100-100,"")</f>
        <v>0.5009078906072375</v>
      </c>
      <c r="BF151" s="16">
        <f>IFERROR(SUM(BE55:BF55)/SUM(AZ55:BA55)*100-100,"")</f>
        <v>0.1683186556189753</v>
      </c>
      <c r="BG151" s="16">
        <f>IFERROR(SUM(BE55:BG55)/SUM(AZ55:BB55)*100-100,"")</f>
        <v>-0.18647756789415837</v>
      </c>
      <c r="BH151" s="16">
        <f>IFERROR(SUM(BE55:BH55)/SUM(AZ55:BC55)*100-100,"")</f>
        <v>0.14856125973294354</v>
      </c>
      <c r="BI151" s="16">
        <f>IFERROR(BI55/BD55*100-100,"")</f>
        <v>0.14856125973294354</v>
      </c>
      <c r="BJ151" s="16">
        <f>IFERROR(BJ55/BE55*100-100,"")</f>
        <v>4.8054043908286417</v>
      </c>
      <c r="BK151" s="16">
        <f>IFERROR(SUM(BJ55:BK55)/SUM(BE55:BF55)*100-100,"")</f>
        <v>3.3881281462099224</v>
      </c>
      <c r="BL151" s="16">
        <f>IFERROR(SUM(BJ55:BL55)/SUM(BE55:BG55)*100-100,"")</f>
        <v>3.0392325136808296</v>
      </c>
      <c r="BM151" s="16">
        <f>IFERROR(SUM(BJ55:BM55)/SUM(BE55:BH55)*100-100,"")</f>
        <v>2.2992177440246593</v>
      </c>
      <c r="BN151" s="16">
        <f>IFERROR(BN55/BI55*100-100,"")</f>
        <v>2.2992177440246593</v>
      </c>
      <c r="BO151" s="16">
        <f>IFERROR(BO55/BJ55*100-100,"")</f>
        <v>-0.91856986185065637</v>
      </c>
      <c r="BP151" s="16">
        <f>IFERROR(SUM(BO55:BP55)/SUM(BJ55:BK55)*100-100,"")</f>
        <v>-2.7101778390035349</v>
      </c>
      <c r="BQ151" s="16">
        <f>IFERROR(SUM(BO55:BQ55)/SUM(BJ55:BL55)*100-100,"")</f>
        <v>-4.5166128910173171</v>
      </c>
      <c r="BR151" s="16">
        <f>IFERROR(SUM(BO55:BR55)/SUM(BJ55:BM55)*100-100,"")</f>
        <v>-4.8765339098668932</v>
      </c>
      <c r="BS151" s="16">
        <f>IFERROR(BS55/BN55*100-100,"")</f>
        <v>-4.8765339098668932</v>
      </c>
      <c r="BT151" s="16">
        <f>IFERROR(BT55/BO55*100-100,"")</f>
        <v>-4.5860634749770099</v>
      </c>
      <c r="BU151" s="16">
        <f>IFERROR(SUM(BT55:BU55)/SUM(BO55:BP55)*100-100,"")</f>
        <v>-2.2343325860194909</v>
      </c>
      <c r="BV151" s="16">
        <f>IFERROR(SUM(BT55:BV55)/SUM(BO55:BQ55)*100-100,"")</f>
        <v>-0.49979557718607737</v>
      </c>
      <c r="BW151" s="16">
        <f>IFERROR(SUM(BT55:BW55)/SUM(BO55:BR55)*100-100,"")</f>
        <v>5.9437843769558185E-2</v>
      </c>
      <c r="BX151" s="16">
        <f>IFERROR(BX55/BS55*100-100,"")</f>
        <v>5.9437843769558185E-2</v>
      </c>
      <c r="BY151" s="16">
        <f>IFERROR(BY55/BT55*100-100,"")</f>
        <v>2.6472982984820703</v>
      </c>
      <c r="BZ151" s="16">
        <f>IFERROR(SUM(BY55:BZ55)/SUM(BT55:BU55)*100-100,"")</f>
        <v>2.0193199593441307</v>
      </c>
      <c r="CA151" s="16">
        <f>IFERROR(SUM(BY55:CA55)/SUM(BT55:BV55)*100-100,"")</f>
        <v>1.1487610488592139</v>
      </c>
      <c r="CB151" s="16">
        <f>IFERROR(SUM(BY55:CB55)/SUM(BT55:BW55)*100-100,"")</f>
        <v>0.29069682731490332</v>
      </c>
      <c r="CC151" s="16">
        <f>IFERROR(CC55/BX55*100-100,"")</f>
        <v>0.29069682731490332</v>
      </c>
      <c r="CD151" s="16">
        <f>IFERROR(CD55/BY55*100-100,"")</f>
        <v>0.13730567006777505</v>
      </c>
      <c r="CE151" s="16">
        <f>IFERROR(SUM(CD55:CE55)/SUM(BY55:BZ55)*100-100,"")</f>
        <v>0.43232536944397282</v>
      </c>
      <c r="CF151" s="16">
        <f>IFERROR(SUM(CD55:CF55)/SUM(BY55:CA55)*100-100,"")</f>
        <v>1.1486154488579388</v>
      </c>
      <c r="CG151" s="16">
        <f>IFERROR(SUM(CD55:CG55)/SUM(BY55:CB55)*100-100,"")</f>
        <v>1.0908347710055324</v>
      </c>
      <c r="CH151" s="16">
        <f>IFERROR(CH55/CC55*100-100,"")</f>
        <v>1.0908347710055324</v>
      </c>
      <c r="CI151" s="16">
        <f>IFERROR(CI55/CD55*100-100,"")</f>
        <v>0.36768911544828597</v>
      </c>
      <c r="CJ151" s="16">
        <f>IFERROR(SUM(CI55:CJ55)/SUM(CD55:CE55)*100-100,"")</f>
        <v>-1.7571120179653121</v>
      </c>
      <c r="CK151" s="16">
        <f>IFERROR(SUM(CI55:CK55)/SUM(CD55:CF55)*100-100,"")</f>
        <v>-0.91230737538110418</v>
      </c>
      <c r="CL151" s="16">
        <f>IFERROR(SUM(CI55:CL55)/SUM(CD55:CG55)*100-100,"")</f>
        <v>0.10436429826059168</v>
      </c>
      <c r="CM151" s="16">
        <f>IFERROR(CM55/CH55*100-100,"")</f>
        <v>0.10436429826059168</v>
      </c>
      <c r="CN151" s="16">
        <f>IFERROR(CN55/CI55*100-100,"")</f>
        <v>-100</v>
      </c>
      <c r="CO151" s="16">
        <f>IFERROR(SUM(CN55:CO55)/SUM(CI55:CJ55)*100-100,"")</f>
        <v>-100</v>
      </c>
      <c r="CP151" s="16">
        <f>IFERROR(SUM(CN55:CP55)/SUM(CI55:CK55)*100-100,"")</f>
        <v>-100</v>
      </c>
      <c r="CQ151" s="16">
        <f>IFERROR(SUM(CN55:CQ55)/SUM(CI55:CL55)*100-100,"")</f>
        <v>-100</v>
      </c>
      <c r="CR151" s="16">
        <f>IFERROR(CR55/CM55*100-100,"")</f>
        <v>-100</v>
      </c>
    </row>
    <row r="152" spans="1:96" s="9" customFormat="1" ht="15" x14ac:dyDescent="0.4">
      <c r="A152" s="25"/>
      <c r="B152" s="42"/>
      <c r="C152" s="42"/>
      <c r="D152" s="42"/>
      <c r="E152" s="42"/>
      <c r="F152" s="42"/>
      <c r="G152" s="22"/>
      <c r="H152" s="22"/>
      <c r="I152" s="22"/>
      <c r="J152" s="22"/>
      <c r="K152" s="24"/>
      <c r="L152" s="22"/>
      <c r="M152" s="22"/>
      <c r="N152" s="22"/>
      <c r="O152" s="22"/>
      <c r="P152" s="24"/>
      <c r="Q152" s="22"/>
      <c r="R152" s="22"/>
      <c r="S152" s="22"/>
      <c r="T152" s="22"/>
      <c r="U152" s="24"/>
      <c r="V152" s="22"/>
      <c r="W152" s="22"/>
      <c r="X152" s="22"/>
      <c r="Y152" s="22"/>
      <c r="Z152" s="24"/>
      <c r="AA152" s="22"/>
      <c r="AB152" s="22"/>
      <c r="AC152" s="22"/>
      <c r="AD152" s="22"/>
      <c r="AE152" s="24"/>
      <c r="AF152" s="22"/>
      <c r="AG152" s="22"/>
      <c r="AH152" s="22"/>
      <c r="AI152" s="22"/>
      <c r="AJ152" s="24"/>
      <c r="AK152" s="22"/>
      <c r="AL152" s="22"/>
      <c r="AM152" s="22"/>
      <c r="AN152" s="22"/>
      <c r="AO152" s="24"/>
      <c r="AP152" s="22"/>
      <c r="AQ152" s="22"/>
      <c r="AR152" s="22"/>
      <c r="AS152" s="22"/>
      <c r="AT152" s="24"/>
      <c r="AU152" s="22"/>
      <c r="AV152" s="22"/>
      <c r="AW152" s="22"/>
      <c r="AX152" s="22"/>
      <c r="AY152" s="24"/>
      <c r="AZ152" s="22"/>
      <c r="BA152" s="22"/>
      <c r="BB152" s="22"/>
      <c r="BC152" s="22"/>
      <c r="BD152" s="24"/>
      <c r="BE152" s="22"/>
      <c r="BF152" s="22"/>
      <c r="BG152" s="22"/>
      <c r="BH152" s="22"/>
      <c r="BI152" s="24"/>
      <c r="BJ152" s="22"/>
      <c r="BK152" s="22"/>
      <c r="BL152" s="22"/>
      <c r="BM152" s="22"/>
      <c r="BN152" s="24"/>
      <c r="BO152" s="22"/>
      <c r="BP152" s="22"/>
      <c r="BQ152" s="22"/>
      <c r="BR152" s="22"/>
      <c r="BS152" s="24"/>
      <c r="BT152" s="22"/>
      <c r="BU152" s="22"/>
      <c r="BV152" s="22"/>
      <c r="BW152" s="22"/>
      <c r="BX152" s="24"/>
      <c r="BY152" s="22"/>
      <c r="BZ152" s="22"/>
      <c r="CA152" s="22"/>
      <c r="CB152" s="22"/>
      <c r="CC152" s="24"/>
      <c r="CD152" s="22"/>
      <c r="CE152" s="22"/>
      <c r="CF152" s="22"/>
      <c r="CG152" s="22"/>
      <c r="CH152" s="24"/>
      <c r="CI152" s="22"/>
      <c r="CJ152" s="22"/>
      <c r="CK152" s="22"/>
      <c r="CL152" s="22"/>
      <c r="CM152" s="24"/>
      <c r="CN152" s="22"/>
      <c r="CO152" s="22"/>
      <c r="CP152" s="22"/>
      <c r="CQ152" s="22"/>
      <c r="CR152" s="24"/>
    </row>
    <row r="153" spans="1:96" s="17" customFormat="1" ht="15" x14ac:dyDescent="0.4">
      <c r="A153" s="15" t="s">
        <v>93</v>
      </c>
      <c r="B153" s="37"/>
      <c r="C153" s="37"/>
      <c r="D153" s="37"/>
      <c r="E153" s="37"/>
      <c r="F153" s="37"/>
      <c r="G153" s="16">
        <f>IFERROR(G57/B57*100-100,"")</f>
        <v>30.37533007550519</v>
      </c>
      <c r="H153" s="16">
        <f>IFERROR(SUM(G57:H57)/SUM(B57:C57)*100-100,"")</f>
        <v>12.690544371772944</v>
      </c>
      <c r="I153" s="16">
        <f>IFERROR(SUM(G57:I57)/SUM(B57:D57)*100-100,"")</f>
        <v>62.551917389086583</v>
      </c>
      <c r="J153" s="16">
        <f>IFERROR(SUM(G57:J57)/SUM(B57:E57)*100-100,"")</f>
        <v>30.592344352878598</v>
      </c>
      <c r="K153" s="16">
        <f>IFERROR(K57/F57*100-100,"")</f>
        <v>30.592344352878598</v>
      </c>
      <c r="L153" s="16">
        <f>IFERROR(L57/G57*100-100,"")</f>
        <v>-57.600186752271888</v>
      </c>
      <c r="M153" s="16">
        <f>IFERROR(SUM(L57:M57)/SUM(G57:H57)*100-100,"")</f>
        <v>-46.11189935654486</v>
      </c>
      <c r="N153" s="16">
        <f>IFERROR(SUM(L57:N57)/SUM(G57:I57)*100-100,"")</f>
        <v>-62.4922237426942</v>
      </c>
      <c r="O153" s="16">
        <f>IFERROR(SUM(L57:O57)/SUM(G57:J57)*100-100,"")</f>
        <v>14.170429348384701</v>
      </c>
      <c r="P153" s="16">
        <f>IFERROR(P57/K57*100-100,"")</f>
        <v>14.170429348384701</v>
      </c>
      <c r="Q153" s="16">
        <f>IFERROR(Q57/L57*100-100,"")</f>
        <v>105.13422323644201</v>
      </c>
      <c r="R153" s="16" t="str">
        <f>IFERROR(SUM(Q57:R57)/SUM(L57:M57)*100-100,"")</f>
        <v/>
      </c>
      <c r="S153" s="16" t="str">
        <f>IFERROR(SUM(Q57:S57)/SUM(L57:N57)*100-100,"")</f>
        <v/>
      </c>
      <c r="T153" s="16" t="str">
        <f>IFERROR(SUM(Q57:T57)/SUM(L57:O57)*100-100,"")</f>
        <v/>
      </c>
      <c r="U153" s="16" t="str">
        <f>IFERROR(U57/P57*100-100,"")</f>
        <v/>
      </c>
      <c r="V153" s="16">
        <f>IFERROR(V57/Q57*100-100,"")</f>
        <v>51.932205048455785</v>
      </c>
      <c r="W153" s="16" t="str">
        <f>IFERROR(SUM(V57:W57)/SUM(Q57:R57)*100-100,"")</f>
        <v/>
      </c>
      <c r="X153" s="16" t="str">
        <f>IFERROR(SUM(V57:X57)/SUM(Q57:S57)*100-100,"")</f>
        <v/>
      </c>
      <c r="Y153" s="16" t="str">
        <f>IFERROR(SUM(V57:Y57)/SUM(Q57:T57)*100-100,"")</f>
        <v/>
      </c>
      <c r="Z153" s="16" t="str">
        <f>IFERROR(Z57/U57*100-100,"")</f>
        <v/>
      </c>
      <c r="AA153" s="16">
        <f>IFERROR(AA57/V57*100-100,"")</f>
        <v>-12.225561070900383</v>
      </c>
      <c r="AB153" s="16">
        <f>IFERROR(SUM(AA57:AB57)/SUM(V57:W57)*100-100,"")</f>
        <v>0.10049774946519108</v>
      </c>
      <c r="AC153" s="16">
        <f>IFERROR(SUM(AA57:AC57)/SUM(V57:X57)*100-100,"")</f>
        <v>5.3028252492383672</v>
      </c>
      <c r="AD153" s="16">
        <f>IFERROR(SUM(AA57:AD57)/SUM(V57:Y57)*100-100,"")</f>
        <v>9.5278322201622672</v>
      </c>
      <c r="AE153" s="16">
        <f>IFERROR(AE57/Z57*100-100,"")</f>
        <v>9.5278322201622672</v>
      </c>
      <c r="AF153" s="16">
        <f>IFERROR(AF57/AA57*100-100,"")</f>
        <v>-11.827957479190417</v>
      </c>
      <c r="AG153" s="16">
        <f>IFERROR(SUM(AF57:AG57)/SUM(AA57:AB57)*100-100,"")</f>
        <v>-19.557953816428025</v>
      </c>
      <c r="AH153" s="16">
        <f>IFERROR(SUM(AF57:AH57)/SUM(AA57:AC57)*100-100,"")</f>
        <v>-8.2333947494440878</v>
      </c>
      <c r="AI153" s="16">
        <f>IFERROR(SUM(AF57:AI57)/SUM(AA57:AD57)*100-100,"")</f>
        <v>-3.308572900237877</v>
      </c>
      <c r="AJ153" s="16">
        <f>IFERROR(AJ57/AE57*100-100,"")</f>
        <v>-3.308572900237877</v>
      </c>
      <c r="AK153" s="16">
        <f>IFERROR(AK57/AF57*100-100,"")</f>
        <v>69.999950484673064</v>
      </c>
      <c r="AL153" s="16">
        <f>IFERROR(SUM(AK57:AL57)/SUM(AF57:AG57)*100-100,"")</f>
        <v>12.20688115110633</v>
      </c>
      <c r="AM153" s="16">
        <f>IFERROR(SUM(AK57:AM57)/SUM(AF57:AH57)*100-100,"")</f>
        <v>1.3250643806259603</v>
      </c>
      <c r="AN153" s="16">
        <f>IFERROR(SUM(AK57:AN57)/SUM(AF57:AI57)*100-100,"")</f>
        <v>1.8891063089370448</v>
      </c>
      <c r="AO153" s="16">
        <f>IFERROR(AO57/AJ57*100-100,"")</f>
        <v>1.8891063089370448</v>
      </c>
      <c r="AP153" s="16">
        <f>IFERROR(AP57/AK57*100-100,"")</f>
        <v>5.2607606991351901</v>
      </c>
      <c r="AQ153" s="16">
        <f>IFERROR(SUM(AP57:AQ57)/SUM(AK57:AL57)*100-100,"")</f>
        <v>1.2667288617540748</v>
      </c>
      <c r="AR153" s="16">
        <f>IFERROR(SUM(AP57:AR57)/SUM(AK57:AM57)*100-100,"")</f>
        <v>5.7135278820424418</v>
      </c>
      <c r="AS153" s="16">
        <f>IFERROR(SUM(AP57:AS57)/SUM(AK57:AN57)*100-100,"")</f>
        <v>4.441842030740915</v>
      </c>
      <c r="AT153" s="16">
        <f>IFERROR(AT57/AO57*100-100,"")</f>
        <v>4.441842030740915</v>
      </c>
      <c r="AU153" s="16">
        <f>IFERROR(AU57/AP57*100-100,"")</f>
        <v>-11.07225535305983</v>
      </c>
      <c r="AV153" s="16">
        <f>IFERROR(SUM(AU57:AV57)/SUM(AP57:AQ57)*100-100,"")</f>
        <v>-6.3709708014122839</v>
      </c>
      <c r="AW153" s="16">
        <f>IFERROR(SUM(AU57:AW57)/SUM(AP57:AR57)*100-100,"")</f>
        <v>-0.52505862839431927</v>
      </c>
      <c r="AX153" s="16">
        <f>IFERROR(SUM(AU57:AX57)/SUM(AP57:AS57)*100-100,"")</f>
        <v>2.6479720843769314</v>
      </c>
      <c r="AY153" s="16">
        <f>IFERROR(AY57/AT57*100-100,"")</f>
        <v>2.6479720843769314</v>
      </c>
      <c r="AZ153" s="16">
        <f>IFERROR(AZ57/AU57*100-100,"")</f>
        <v>-6.2345723652232579</v>
      </c>
      <c r="BA153" s="16">
        <f>IFERROR(SUM(AZ57:BA57)/SUM(AU57:AV57)*100-100,"")</f>
        <v>3.9637939063481156</v>
      </c>
      <c r="BB153" s="16">
        <f>IFERROR(SUM(AZ57:BB57)/SUM(AU57:AW57)*100-100,"")</f>
        <v>0.88500220298087129</v>
      </c>
      <c r="BC153" s="16">
        <f>IFERROR(SUM(AZ57:BC57)/SUM(AU57:AX57)*100-100,"")</f>
        <v>1.5319006883394337</v>
      </c>
      <c r="BD153" s="16">
        <f>IFERROR(BD57/AY57*100-100,"")</f>
        <v>1.5319006883394337</v>
      </c>
      <c r="BE153" s="16">
        <f>IFERROR(BE57/AZ57*100-100,"")</f>
        <v>-78.859126055000175</v>
      </c>
      <c r="BF153" s="16">
        <f>IFERROR(SUM(BE57:BF57)/SUM(AZ57:BA57)*100-100,"")</f>
        <v>-54.282294207475815</v>
      </c>
      <c r="BG153" s="16">
        <f>IFERROR(SUM(BE57:BG57)/SUM(AZ57:BB57)*100-100,"")</f>
        <v>-37.666681637606978</v>
      </c>
      <c r="BH153" s="16">
        <f>IFERROR(SUM(BE57:BH57)/SUM(AZ57:BC57)*100-100,"")</f>
        <v>6.6868157603082068E-2</v>
      </c>
      <c r="BI153" s="16">
        <f>IFERROR(BI57/BD57*100-100,"")</f>
        <v>6.6868157603082068E-2</v>
      </c>
      <c r="BJ153" s="16">
        <f>IFERROR(BJ57/BE57*100-100,"")</f>
        <v>384.03716055038279</v>
      </c>
      <c r="BK153" s="16">
        <f>IFERROR(SUM(BJ57:BK57)/SUM(BE57:BF57)*100-100,"")</f>
        <v>14.217534434099704</v>
      </c>
      <c r="BL153" s="16">
        <f>IFERROR(SUM(BJ57:BL57)/SUM(BE57:BG57)*100-100,"")</f>
        <v>19.928683665898504</v>
      </c>
      <c r="BM153" s="16">
        <f>IFERROR(SUM(BJ57:BM57)/SUM(BE57:BH57)*100-100,"")</f>
        <v>-38.679537235631855</v>
      </c>
      <c r="BN153" s="16">
        <f>IFERROR(BN57/BI57*100-100,"")</f>
        <v>-38.679537235631855</v>
      </c>
      <c r="BO153" s="16">
        <f>IFERROR(BO57/BJ57*100-100,"")</f>
        <v>-40.72877964823148</v>
      </c>
      <c r="BP153" s="16">
        <f>IFERROR(SUM(BO57:BP57)/SUM(BJ57:BK57)*100-100,"")</f>
        <v>9.5407066268842868</v>
      </c>
      <c r="BQ153" s="16">
        <f>IFERROR(SUM(BO57:BQ57)/SUM(BJ57:BL57)*100-100,"")</f>
        <v>-19.720727910402616</v>
      </c>
      <c r="BR153" s="16">
        <f>IFERROR(SUM(BO57:BR57)/SUM(BJ57:BM57)*100-100,"")</f>
        <v>-8.3315650510621424</v>
      </c>
      <c r="BS153" s="16">
        <f>IFERROR(BS57/BN57*100-100,"")</f>
        <v>-8.3315650510621424</v>
      </c>
      <c r="BT153" s="16">
        <f>IFERROR(BT57/BO57*100-100,"")</f>
        <v>41.29341143716249</v>
      </c>
      <c r="BU153" s="16">
        <f>IFERROR(SUM(BT57:BU57)/SUM(BO57:BP57)*100-100,"")</f>
        <v>27.55923143603907</v>
      </c>
      <c r="BV153" s="16">
        <f>IFERROR(SUM(BT57:BV57)/SUM(BO57:BQ57)*100-100,"")</f>
        <v>1.9633668282427834</v>
      </c>
      <c r="BW153" s="16">
        <f>IFERROR(SUM(BT57:BW57)/SUM(BO57:BR57)*100-100,"")</f>
        <v>1.9229448378516025</v>
      </c>
      <c r="BX153" s="16">
        <f>IFERROR(BX57/BS57*100-100,"")</f>
        <v>1.9229448378516025</v>
      </c>
      <c r="BY153" s="16">
        <f>IFERROR(BY57/BT57*100-100,"")</f>
        <v>-7.2955053111079451</v>
      </c>
      <c r="BZ153" s="16">
        <f>IFERROR(SUM(BY57:BZ57)/SUM(BT57:BU57)*100-100,"")</f>
        <v>-5.2257337096243219</v>
      </c>
      <c r="CA153" s="16">
        <f>IFERROR(SUM(BY57:CA57)/SUM(BT57:BV57)*100-100,"")</f>
        <v>-7.1227372618735956</v>
      </c>
      <c r="CB153" s="16">
        <f>IFERROR(SUM(BY57:CB57)/SUM(BT57:BW57)*100-100,"")</f>
        <v>-15.375349109123931</v>
      </c>
      <c r="CC153" s="16">
        <f>IFERROR(CC57/BX57*100-100,"")</f>
        <v>-15.375349109123931</v>
      </c>
      <c r="CD153" s="16">
        <f>IFERROR(CD57/BY57*100-100,"")</f>
        <v>15.498573303312597</v>
      </c>
      <c r="CE153" s="16">
        <f>IFERROR(SUM(CD57:CE57)/SUM(BY57:BZ57)*100-100,"")</f>
        <v>-2.0826914267982204</v>
      </c>
      <c r="CF153" s="16">
        <f>IFERROR(SUM(CD57:CF57)/SUM(BY57:CA57)*100-100,"")</f>
        <v>9.4095634320571691</v>
      </c>
      <c r="CG153" s="16">
        <f>IFERROR(SUM(CD57:CG57)/SUM(BY57:CB57)*100-100,"")</f>
        <v>7.3656105005784269</v>
      </c>
      <c r="CH153" s="16">
        <f>IFERROR(CH57/CC57*100-100,"")</f>
        <v>7.3656105005784269</v>
      </c>
      <c r="CI153" s="16">
        <f>IFERROR(CI57/CD57*100-100,"")</f>
        <v>-28.890604555439651</v>
      </c>
      <c r="CJ153" s="16">
        <f>IFERROR(SUM(CI57:CJ57)/SUM(CD57:CE57)*100-100,"")</f>
        <v>-25.061628362933646</v>
      </c>
      <c r="CK153" s="16">
        <f>IFERROR(SUM(CI57:CK57)/SUM(CD57:CF57)*100-100,"")</f>
        <v>-23.881120745474234</v>
      </c>
      <c r="CL153" s="16">
        <f>IFERROR(SUM(CI57:CL57)/SUM(CD57:CG57)*100-100,"")</f>
        <v>-15.959881890733229</v>
      </c>
      <c r="CM153" s="16">
        <f>IFERROR(CM57/CH57*100-100,"")</f>
        <v>-15.959881890733229</v>
      </c>
      <c r="CN153" s="16">
        <f>IFERROR(CN57/CI57*100-100,"")</f>
        <v>-100</v>
      </c>
      <c r="CO153" s="16">
        <f>IFERROR(SUM(CN57:CO57)/SUM(CI57:CJ57)*100-100,"")</f>
        <v>-100</v>
      </c>
      <c r="CP153" s="16">
        <f>IFERROR(SUM(CN57:CP57)/SUM(CI57:CK57)*100-100,"")</f>
        <v>-100</v>
      </c>
      <c r="CQ153" s="16">
        <f>IFERROR(SUM(CN57:CQ57)/SUM(CI57:CL57)*100-100,"")</f>
        <v>-100</v>
      </c>
      <c r="CR153" s="16">
        <f>IFERROR(CR57/CM57*100-100,"")</f>
        <v>-100</v>
      </c>
    </row>
    <row r="154" spans="1:96" s="9" customFormat="1" ht="15" x14ac:dyDescent="0.4">
      <c r="A154" s="25"/>
      <c r="B154" s="42"/>
      <c r="C154" s="42"/>
      <c r="D154" s="42"/>
      <c r="E154" s="42"/>
      <c r="F154" s="42"/>
      <c r="G154" s="22"/>
      <c r="H154" s="22"/>
      <c r="I154" s="22"/>
      <c r="J154" s="22"/>
      <c r="K154" s="24"/>
      <c r="L154" s="22"/>
      <c r="M154" s="22"/>
      <c r="N154" s="22"/>
      <c r="O154" s="22"/>
      <c r="P154" s="24"/>
      <c r="Q154" s="22"/>
      <c r="R154" s="22"/>
      <c r="S154" s="22"/>
      <c r="T154" s="22"/>
      <c r="U154" s="24"/>
      <c r="V154" s="22"/>
      <c r="W154" s="22"/>
      <c r="X154" s="22"/>
      <c r="Y154" s="22"/>
      <c r="Z154" s="24"/>
      <c r="AA154" s="22"/>
      <c r="AB154" s="22"/>
      <c r="AC154" s="22"/>
      <c r="AD154" s="22"/>
      <c r="AE154" s="24"/>
      <c r="AF154" s="22"/>
      <c r="AG154" s="22"/>
      <c r="AH154" s="22"/>
      <c r="AI154" s="22"/>
      <c r="AJ154" s="24"/>
      <c r="AK154" s="22"/>
      <c r="AL154" s="22"/>
      <c r="AM154" s="22"/>
      <c r="AN154" s="22"/>
      <c r="AO154" s="24"/>
      <c r="AP154" s="22"/>
      <c r="AQ154" s="22"/>
      <c r="AR154" s="22"/>
      <c r="AS154" s="22"/>
      <c r="AT154" s="24"/>
      <c r="AU154" s="22"/>
      <c r="AV154" s="22"/>
      <c r="AW154" s="22"/>
      <c r="AX154" s="22"/>
      <c r="AY154" s="24"/>
      <c r="AZ154" s="22"/>
      <c r="BA154" s="22"/>
      <c r="BB154" s="22"/>
      <c r="BC154" s="22"/>
      <c r="BD154" s="24"/>
      <c r="BE154" s="22"/>
      <c r="BF154" s="22"/>
      <c r="BG154" s="22"/>
      <c r="BH154" s="22"/>
      <c r="BI154" s="24"/>
      <c r="BJ154" s="22"/>
      <c r="BK154" s="22"/>
      <c r="BL154" s="22"/>
      <c r="BM154" s="22"/>
      <c r="BN154" s="24"/>
      <c r="BO154" s="22"/>
      <c r="BP154" s="22"/>
      <c r="BQ154" s="22"/>
      <c r="BR154" s="22"/>
      <c r="BS154" s="24"/>
      <c r="BT154" s="22"/>
      <c r="BU154" s="22"/>
      <c r="BV154" s="22"/>
      <c r="BW154" s="22"/>
      <c r="BX154" s="24"/>
      <c r="BY154" s="22"/>
      <c r="BZ154" s="22"/>
      <c r="CA154" s="22"/>
      <c r="CB154" s="22"/>
      <c r="CC154" s="24"/>
      <c r="CD154" s="22"/>
      <c r="CE154" s="22"/>
      <c r="CF154" s="22"/>
      <c r="CG154" s="22"/>
      <c r="CH154" s="24"/>
      <c r="CI154" s="22"/>
      <c r="CJ154" s="22"/>
      <c r="CK154" s="22"/>
      <c r="CL154" s="22"/>
      <c r="CM154" s="24"/>
      <c r="CN154" s="22"/>
      <c r="CO154" s="22"/>
      <c r="CP154" s="22"/>
      <c r="CQ154" s="22"/>
      <c r="CR154" s="24"/>
    </row>
    <row r="155" spans="1:96" s="17" customFormat="1" ht="15" x14ac:dyDescent="0.4">
      <c r="A155" s="15" t="s">
        <v>94</v>
      </c>
      <c r="B155" s="37"/>
      <c r="C155" s="37"/>
      <c r="D155" s="37"/>
      <c r="E155" s="37"/>
      <c r="F155" s="37"/>
      <c r="G155" s="16">
        <f>IFERROR(G59/B59*100-100,"")</f>
        <v>3.1842325115200651</v>
      </c>
      <c r="H155" s="16">
        <f>IFERROR(SUM(G59:H59)/SUM(B59:C59)*100-100,"")</f>
        <v>1.6616472209934017</v>
      </c>
      <c r="I155" s="16">
        <f>IFERROR(SUM(G59:I59)/SUM(B59:D59)*100-100,"")</f>
        <v>2.7510535319414231</v>
      </c>
      <c r="J155" s="16">
        <f>IFERROR(SUM(G59:J59)/SUM(B59:E59)*100-100,"")</f>
        <v>3.9352372136085307</v>
      </c>
      <c r="K155" s="16">
        <f>IFERROR(K59/F59*100-100,"")</f>
        <v>3.9352372136085307</v>
      </c>
      <c r="L155" s="16">
        <f>IFERROR(L59/G59*100-100,"")</f>
        <v>-4.3036461946449549</v>
      </c>
      <c r="M155" s="16">
        <f>IFERROR(SUM(L59:M59)/SUM(G59:H59)*100-100,"")</f>
        <v>-1.1448794233645572</v>
      </c>
      <c r="N155" s="16">
        <f>IFERROR(SUM(L59:N59)/SUM(G59:I59)*100-100,"")</f>
        <v>-1.755810968038503</v>
      </c>
      <c r="O155" s="16">
        <f>IFERROR(SUM(L59:O59)/SUM(G59:J59)*100-100,"")</f>
        <v>6.7267942760678636</v>
      </c>
      <c r="P155" s="16">
        <f>IFERROR(P59/K59*100-100,"")</f>
        <v>6.7267942760678636</v>
      </c>
      <c r="Q155" s="16">
        <f>IFERROR(Q59/L59*100-100,"")</f>
        <v>16.5777950609572</v>
      </c>
      <c r="R155" s="16" t="str">
        <f>IFERROR(SUM(Q59:R59)/SUM(L59:M59)*100-100,"")</f>
        <v/>
      </c>
      <c r="S155" s="16" t="str">
        <f>IFERROR(SUM(Q59:S59)/SUM(L59:N59)*100-100,"")</f>
        <v/>
      </c>
      <c r="T155" s="16" t="str">
        <f>IFERROR(SUM(Q59:T59)/SUM(L59:O59)*100-100,"")</f>
        <v/>
      </c>
      <c r="U155" s="16" t="str">
        <f>IFERROR(U59/P59*100-100,"")</f>
        <v/>
      </c>
      <c r="V155" s="16">
        <f>IFERROR(V59/Q59*100-100,"")</f>
        <v>16.514400552515866</v>
      </c>
      <c r="W155" s="16" t="str">
        <f>IFERROR(SUM(V59:W59)/SUM(Q59:R59)*100-100,"")</f>
        <v/>
      </c>
      <c r="X155" s="16" t="str">
        <f>IFERROR(SUM(V59:X59)/SUM(Q59:S59)*100-100,"")</f>
        <v/>
      </c>
      <c r="Y155" s="16" t="str">
        <f>IFERROR(SUM(V59:Y59)/SUM(Q59:T59)*100-100,"")</f>
        <v/>
      </c>
      <c r="Z155" s="16" t="str">
        <f>IFERROR(Z59/U59*100-100,"")</f>
        <v/>
      </c>
      <c r="AA155" s="16">
        <f>IFERROR(AA59/V59*100-100,"")</f>
        <v>17.965478908960037</v>
      </c>
      <c r="AB155" s="16">
        <f>IFERROR(SUM(AA59:AB59)/SUM(V59:W59)*100-100,"")</f>
        <v>9.7465180893308911</v>
      </c>
      <c r="AC155" s="16">
        <f>IFERROR(SUM(AA59:AC59)/SUM(V59:X59)*100-100,"")</f>
        <v>8.2012369526403432</v>
      </c>
      <c r="AD155" s="16">
        <f>IFERROR(SUM(AA59:AD59)/SUM(V59:Y59)*100-100,"")</f>
        <v>8.2289100975383178</v>
      </c>
      <c r="AE155" s="16">
        <f>IFERROR(AE59/Z59*100-100,"")</f>
        <v>8.2289100975383178</v>
      </c>
      <c r="AF155" s="16">
        <f>IFERROR(AF59/AA59*100-100,"")</f>
        <v>1.3087686403890473</v>
      </c>
      <c r="AG155" s="16">
        <f>IFERROR(SUM(AF59:AG59)/SUM(AA59:AB59)*100-100,"")</f>
        <v>0.57747283592009069</v>
      </c>
      <c r="AH155" s="16">
        <f>IFERROR(SUM(AF59:AH59)/SUM(AA59:AC59)*100-100,"")</f>
        <v>2.8948126863906083</v>
      </c>
      <c r="AI155" s="16">
        <f>IFERROR(SUM(AF59:AI59)/SUM(AA59:AD59)*100-100,"")</f>
        <v>4.9637594214830187</v>
      </c>
      <c r="AJ155" s="16">
        <f>IFERROR(AJ59/AE59*100-100,"")</f>
        <v>4.9637594214830187</v>
      </c>
      <c r="AK155" s="16">
        <f>IFERROR(AK59/AF59*100-100,"")</f>
        <v>9.4353917988277942</v>
      </c>
      <c r="AL155" s="16">
        <f>IFERROR(SUM(AK59:AL59)/SUM(AF59:AG59)*100-100,"")</f>
        <v>8.3081625055204853</v>
      </c>
      <c r="AM155" s="16">
        <f>IFERROR(SUM(AK59:AM59)/SUM(AF59:AH59)*100-100,"")</f>
        <v>7.779973287531817</v>
      </c>
      <c r="AN155" s="16">
        <f>IFERROR(SUM(AK59:AN59)/SUM(AF59:AI59)*100-100,"")</f>
        <v>8.4505103151840615</v>
      </c>
      <c r="AO155" s="16">
        <f>IFERROR(AO59/AJ59*100-100,"")</f>
        <v>8.4505103151840615</v>
      </c>
      <c r="AP155" s="16">
        <f>IFERROR(AP59/AK59*100-100,"")</f>
        <v>10.846797431545838</v>
      </c>
      <c r="AQ155" s="16">
        <f>IFERROR(SUM(AP59:AQ59)/SUM(AK59:AL59)*100-100,"")</f>
        <v>7.5059363182433856</v>
      </c>
      <c r="AR155" s="16">
        <f>IFERROR(SUM(AP59:AR59)/SUM(AK59:AM59)*100-100,"")</f>
        <v>6.2359814893228531</v>
      </c>
      <c r="AS155" s="16">
        <f>IFERROR(SUM(AP59:AS59)/SUM(AK59:AN59)*100-100,"")</f>
        <v>4.6218905006222997</v>
      </c>
      <c r="AT155" s="16">
        <f>IFERROR(AT59/AO59*100-100,"")</f>
        <v>4.6218905006222997</v>
      </c>
      <c r="AU155" s="16">
        <f>IFERROR(AU59/AP59*100-100,"")</f>
        <v>0.80046173377890284</v>
      </c>
      <c r="AV155" s="16">
        <f>IFERROR(SUM(AU59:AV59)/SUM(AP59:AQ59)*100-100,"")</f>
        <v>1.9929597814809767</v>
      </c>
      <c r="AW155" s="16">
        <f>IFERROR(SUM(AU59:AW59)/SUM(AP59:AR59)*100-100,"")</f>
        <v>3.5215796860489377</v>
      </c>
      <c r="AX155" s="16">
        <f>IFERROR(SUM(AU59:AX59)/SUM(AP59:AS59)*100-100,"")</f>
        <v>3.9315678008171346</v>
      </c>
      <c r="AY155" s="16">
        <f>IFERROR(AY59/AT59*100-100,"")</f>
        <v>3.9315678008171346</v>
      </c>
      <c r="AZ155" s="16">
        <f>IFERROR(AZ59/AU59*100-100,"")</f>
        <v>2.177169369244254</v>
      </c>
      <c r="BA155" s="16">
        <f>IFERROR(SUM(AZ59:BA59)/SUM(AU59:AV59)*100-100,"")</f>
        <v>2.8161889299123146</v>
      </c>
      <c r="BB155" s="16">
        <f>IFERROR(SUM(AZ59:BB59)/SUM(AU59:AW59)*100-100,"")</f>
        <v>1.7277172091727948</v>
      </c>
      <c r="BC155" s="16">
        <f>IFERROR(SUM(AZ59:BC59)/SUM(AU59:AX59)*100-100,"")</f>
        <v>1.4422909274038602</v>
      </c>
      <c r="BD155" s="16">
        <f>IFERROR(BD59/AY59*100-100,"")</f>
        <v>1.4422909274038602</v>
      </c>
      <c r="BE155" s="16">
        <f>IFERROR(BE59/AZ59*100-100,"")</f>
        <v>-4.9673898389230686</v>
      </c>
      <c r="BF155" s="16">
        <f>IFERROR(SUM(BE59:BF59)/SUM(AZ59:BA59)*100-100,"")</f>
        <v>-3.4647318891928052</v>
      </c>
      <c r="BG155" s="16">
        <f>IFERROR(SUM(BE59:BG59)/SUM(AZ59:BB59)*100-100,"")</f>
        <v>-0.86400944037173133</v>
      </c>
      <c r="BH155" s="16">
        <f>IFERROR(SUM(BE59:BH59)/SUM(AZ59:BC59)*100-100,"")</f>
        <v>2.6038010654095132</v>
      </c>
      <c r="BI155" s="16">
        <f>IFERROR(BI59/BD59*100-100,"")</f>
        <v>2.6038010654095132</v>
      </c>
      <c r="BJ155" s="16">
        <f>IFERROR(BJ59/BE59*100-100,"")</f>
        <v>-10.256091189770913</v>
      </c>
      <c r="BK155" s="16">
        <f>IFERROR(SUM(BJ59:BK59)/SUM(BE59:BF59)*100-100,"")</f>
        <v>-14.286192887676023</v>
      </c>
      <c r="BL155" s="16">
        <f>IFERROR(SUM(BJ59:BL59)/SUM(BE59:BG59)*100-100,"")</f>
        <v>-13.583121747850157</v>
      </c>
      <c r="BM155" s="16">
        <f>IFERROR(SUM(BJ59:BM59)/SUM(BE59:BH59)*100-100,"")</f>
        <v>-16.516048573119718</v>
      </c>
      <c r="BN155" s="16">
        <f>IFERROR(BN59/BI59*100-100,"")</f>
        <v>-16.516048573119718</v>
      </c>
      <c r="BO155" s="16">
        <f>IFERROR(BO59/BJ59*100-100,"")</f>
        <v>-10.671699918817325</v>
      </c>
      <c r="BP155" s="16">
        <f>IFERROR(SUM(BO59:BP59)/SUM(BJ59:BK59)*100-100,"")</f>
        <v>0.97643847624749469</v>
      </c>
      <c r="BQ155" s="16">
        <f>IFERROR(SUM(BO59:BQ59)/SUM(BJ59:BL59)*100-100,"")</f>
        <v>-3.1230060415093419</v>
      </c>
      <c r="BR155" s="16">
        <f>IFERROR(SUM(BO59:BR59)/SUM(BJ59:BM59)*100-100,"")</f>
        <v>0.83769329141350113</v>
      </c>
      <c r="BS155" s="16">
        <f>IFERROR(BS59/BN59*100-100,"")</f>
        <v>0.83769329141350113</v>
      </c>
      <c r="BT155" s="16">
        <f>IFERROR(BT59/BO59*100-100,"")</f>
        <v>0.78043441811590242</v>
      </c>
      <c r="BU155" s="16">
        <f>IFERROR(SUM(BT59:BU59)/SUM(BO59:BP59)*100-100,"")</f>
        <v>-5.2680549250069504</v>
      </c>
      <c r="BV155" s="16">
        <f>IFERROR(SUM(BT59:BV59)/SUM(BO59:BQ59)*100-100,"")</f>
        <v>-3.5097135661459191</v>
      </c>
      <c r="BW155" s="16">
        <f>IFERROR(SUM(BT59:BW59)/SUM(BO59:BR59)*100-100,"")</f>
        <v>-3.0647934829917034</v>
      </c>
      <c r="BX155" s="16">
        <f>IFERROR(BX59/BS59*100-100,"")</f>
        <v>-3.0647934829917034</v>
      </c>
      <c r="BY155" s="16">
        <f>IFERROR(BY59/BT59*100-100,"")</f>
        <v>-1.1942876069730488</v>
      </c>
      <c r="BZ155" s="16">
        <f>IFERROR(SUM(BY59:BZ59)/SUM(BT59:BU59)*100-100,"")</f>
        <v>0.54982217589993354</v>
      </c>
      <c r="CA155" s="16">
        <f>IFERROR(SUM(BY59:CA59)/SUM(BT59:BV59)*100-100,"")</f>
        <v>-1.457071392364</v>
      </c>
      <c r="CB155" s="16">
        <f>IFERROR(SUM(BY59:CB59)/SUM(BT59:BW59)*100-100,"")</f>
        <v>-3.3938385183998889</v>
      </c>
      <c r="CC155" s="16">
        <f>IFERROR(CC59/BX59*100-100,"")</f>
        <v>-3.3938385183998889</v>
      </c>
      <c r="CD155" s="16">
        <f>IFERROR(CD59/BY59*100-100,"")</f>
        <v>4.8239622161356834</v>
      </c>
      <c r="CE155" s="16">
        <f>IFERROR(SUM(CD59:CE59)/SUM(BY59:BZ59)*100-100,"")</f>
        <v>2.3992677637921815</v>
      </c>
      <c r="CF155" s="16">
        <f>IFERROR(SUM(CD59:CF59)/SUM(BY59:CA59)*100-100,"")</f>
        <v>1.6257789759771555</v>
      </c>
      <c r="CG155" s="16">
        <f>IFERROR(SUM(CD59:CG59)/SUM(BY59:CB59)*100-100,"")</f>
        <v>1.5444784188223508</v>
      </c>
      <c r="CH155" s="16">
        <f>IFERROR(CH59/CC59*100-100,"")</f>
        <v>1.5444784188223508</v>
      </c>
      <c r="CI155" s="16">
        <f>IFERROR(CI59/CD59*100-100,"")</f>
        <v>-0.79259775558354306</v>
      </c>
      <c r="CJ155" s="16">
        <f>IFERROR(SUM(CI59:CJ59)/SUM(CD59:CE59)*100-100,"")</f>
        <v>-4.6988272591640339</v>
      </c>
      <c r="CK155" s="16">
        <f>IFERROR(SUM(CI59:CK59)/SUM(CD59:CF59)*100-100,"")</f>
        <v>-5.1409424145401346</v>
      </c>
      <c r="CL155" s="16">
        <f>IFERROR(SUM(CI59:CL59)/SUM(CD59:CG59)*100-100,"")</f>
        <v>-7.6484721851858097</v>
      </c>
      <c r="CM155" s="16">
        <f>IFERROR(CM59/CH59*100-100,"")</f>
        <v>-7.6484721851858097</v>
      </c>
      <c r="CN155" s="16">
        <f>IFERROR(CN59/CI59*100-100,"")</f>
        <v>-100</v>
      </c>
      <c r="CO155" s="16">
        <f>IFERROR(SUM(CN59:CO59)/SUM(CI59:CJ59)*100-100,"")</f>
        <v>-100</v>
      </c>
      <c r="CP155" s="16">
        <f>IFERROR(SUM(CN59:CP59)/SUM(CI59:CK59)*100-100,"")</f>
        <v>-100</v>
      </c>
      <c r="CQ155" s="16">
        <f>IFERROR(SUM(CN59:CQ59)/SUM(CI59:CL59)*100-100,"")</f>
        <v>-100</v>
      </c>
      <c r="CR155" s="16">
        <f>IFERROR(CR59/CM59*100-100,"")</f>
        <v>-100</v>
      </c>
    </row>
    <row r="156" spans="1:96" s="9" customFormat="1" ht="15" x14ac:dyDescent="0.4">
      <c r="A156" s="43"/>
      <c r="B156" s="44"/>
      <c r="C156" s="44"/>
      <c r="D156" s="44"/>
      <c r="E156" s="44"/>
      <c r="F156" s="44"/>
      <c r="G156" s="45"/>
      <c r="H156" s="45"/>
      <c r="I156" s="45"/>
      <c r="J156" s="45"/>
      <c r="K156" s="46"/>
      <c r="L156" s="45"/>
      <c r="M156" s="45"/>
      <c r="N156" s="45"/>
      <c r="O156" s="45"/>
      <c r="P156" s="46"/>
      <c r="Q156" s="45"/>
      <c r="R156" s="45"/>
      <c r="S156" s="45"/>
      <c r="T156" s="45"/>
      <c r="U156" s="46"/>
      <c r="V156" s="45"/>
      <c r="W156" s="45"/>
      <c r="X156" s="45"/>
      <c r="Y156" s="45"/>
      <c r="Z156" s="46"/>
      <c r="AA156" s="45"/>
      <c r="AB156" s="45"/>
      <c r="AC156" s="45"/>
      <c r="AD156" s="45"/>
      <c r="AE156" s="46"/>
      <c r="AF156" s="45"/>
      <c r="AG156" s="45"/>
      <c r="AH156" s="45"/>
      <c r="AI156" s="45"/>
      <c r="AJ156" s="46"/>
      <c r="AK156" s="45"/>
      <c r="AL156" s="45"/>
      <c r="AM156" s="45"/>
      <c r="AN156" s="45"/>
      <c r="AO156" s="46"/>
      <c r="AP156" s="45"/>
      <c r="AQ156" s="45"/>
      <c r="AR156" s="45"/>
      <c r="AS156" s="45"/>
      <c r="AT156" s="46"/>
      <c r="AU156" s="45"/>
      <c r="AV156" s="45"/>
      <c r="AW156" s="45"/>
      <c r="AX156" s="45"/>
      <c r="AY156" s="46"/>
      <c r="AZ156" s="45"/>
      <c r="BA156" s="45"/>
      <c r="BB156" s="45"/>
      <c r="BC156" s="45"/>
      <c r="BD156" s="46"/>
      <c r="BE156" s="45"/>
      <c r="BF156" s="45"/>
      <c r="BG156" s="45"/>
      <c r="BH156" s="45"/>
      <c r="BI156" s="46"/>
      <c r="BJ156" s="45"/>
      <c r="BK156" s="45"/>
      <c r="BL156" s="45"/>
      <c r="BM156" s="45"/>
      <c r="BN156" s="46"/>
      <c r="BO156" s="45"/>
      <c r="BP156" s="45"/>
      <c r="BQ156" s="45"/>
      <c r="BR156" s="45"/>
      <c r="BS156" s="46"/>
      <c r="BT156" s="45"/>
      <c r="BU156" s="45"/>
      <c r="BV156" s="45"/>
      <c r="BW156" s="45"/>
      <c r="BX156" s="46"/>
      <c r="BY156" s="45"/>
      <c r="BZ156" s="45"/>
      <c r="CA156" s="45"/>
      <c r="CB156" s="45"/>
      <c r="CC156" s="46"/>
      <c r="CD156" s="45"/>
      <c r="CE156" s="45"/>
      <c r="CF156" s="45"/>
      <c r="CG156" s="45"/>
      <c r="CH156" s="46"/>
      <c r="CI156" s="45"/>
      <c r="CJ156" s="45"/>
      <c r="CK156" s="45"/>
      <c r="CL156" s="45"/>
      <c r="CM156" s="46"/>
      <c r="CN156" s="45"/>
      <c r="CO156" s="45"/>
      <c r="CP156" s="45"/>
      <c r="CQ156" s="45"/>
      <c r="CR156" s="46"/>
    </row>
    <row r="157" spans="1:96" s="9" customFormat="1" ht="23.25" customHeight="1" x14ac:dyDescent="0.3">
      <c r="A157" s="47" t="s">
        <v>95</v>
      </c>
      <c r="B157" s="48"/>
      <c r="C157" s="48"/>
      <c r="D157" s="48"/>
      <c r="E157" s="48"/>
      <c r="F157" s="48"/>
      <c r="G157" s="49">
        <f>IFERROR(G61/B61*100-100,"")</f>
        <v>7.4517138547181219</v>
      </c>
      <c r="H157" s="49">
        <f>IFERROR(SUM(G61:H61)/SUM(B61:C61)*100-100,"")</f>
        <v>6.8920102390484033</v>
      </c>
      <c r="I157" s="49">
        <f>IFERROR(SUM(G61:I61)/SUM(B61:D61)*100-100,"")</f>
        <v>6.9773089821951686</v>
      </c>
      <c r="J157" s="49">
        <f>IFERROR(SUM(G61:J61)/SUM(B61:E61)*100-100,"")</f>
        <v>7.098892651540595</v>
      </c>
      <c r="K157" s="49">
        <f>IFERROR(K61/F61*100-100,"")</f>
        <v>7.0988926515406234</v>
      </c>
      <c r="L157" s="49">
        <f>IFERROR(L61/G61*100-100,"")</f>
        <v>7.0428467309297389</v>
      </c>
      <c r="M157" s="49">
        <f>IFERROR(SUM(L61:M61)/SUM(G61:H61)*100-100,"")</f>
        <v>8.0333250543221055</v>
      </c>
      <c r="N157" s="49">
        <f>IFERROR(SUM(L61:N61)/SUM(G61:I61)*100-100,"")</f>
        <v>8.2244830390273904</v>
      </c>
      <c r="O157" s="49">
        <f>IFERROR(SUM(L61:O61)/SUM(G61:J61)*100-100,"")</f>
        <v>7.8631633100608269</v>
      </c>
      <c r="P157" s="49">
        <f>IFERROR(P61/K61*100-100,"")</f>
        <v>7.8631633100608269</v>
      </c>
      <c r="Q157" s="49">
        <f>IFERROR(Q61/L61*100-100,"")</f>
        <v>7.0254756458752752</v>
      </c>
      <c r="R157" s="49" t="str">
        <f>IFERROR(SUM(Q61:R61)/SUM(L61:M61)*100-100,"")</f>
        <v/>
      </c>
      <c r="S157" s="49" t="str">
        <f>IFERROR(SUM(Q61:S61)/SUM(L61:N61)*100-100,"")</f>
        <v/>
      </c>
      <c r="T157" s="49" t="str">
        <f>IFERROR(SUM(Q61:T61)/SUM(L61:O61)*100-100,"")</f>
        <v/>
      </c>
      <c r="U157" s="49" t="str">
        <f>IFERROR(U61/P61*100-100,"")</f>
        <v/>
      </c>
      <c r="V157" s="49">
        <f>IFERROR(V61/Q61*100-100,"")</f>
        <v>8.8341768308687278</v>
      </c>
      <c r="W157" s="49" t="str">
        <f>IFERROR(SUM(V61:W61)/SUM(Q61:R61)*100-100,"")</f>
        <v/>
      </c>
      <c r="X157" s="49" t="str">
        <f>IFERROR(SUM(V61:X61)/SUM(Q61:S61)*100-100,"")</f>
        <v/>
      </c>
      <c r="Y157" s="49" t="str">
        <f>IFERROR(SUM(V61:Y61)/SUM(Q61:T61)*100-100,"")</f>
        <v/>
      </c>
      <c r="Z157" s="49" t="str">
        <f>IFERROR(Z61/U61*100-100,"")</f>
        <v/>
      </c>
      <c r="AA157" s="49">
        <f>IFERROR(AA61/V61*100-100,"")</f>
        <v>2.5943105834689675</v>
      </c>
      <c r="AB157" s="49">
        <f>IFERROR(SUM(AA61:AB61)/SUM(V61:W61)*100-100,"")</f>
        <v>2.6162135120815435</v>
      </c>
      <c r="AC157" s="49">
        <f>IFERROR(SUM(AA61:AC61)/SUM(V61:X61)*100-100,"")</f>
        <v>3.6395105292344567</v>
      </c>
      <c r="AD157" s="49">
        <f>IFERROR(SUM(AA61:AD61)/SUM(V61:Y61)*100-100,"")</f>
        <v>5.1497817613969943</v>
      </c>
      <c r="AE157" s="49">
        <f>IFERROR(AE61/Z61*100-100,"")</f>
        <v>5.1497817613969943</v>
      </c>
      <c r="AF157" s="49">
        <f>IFERROR(AF61/AA61*100-100,"")</f>
        <v>8.8954167228493048</v>
      </c>
      <c r="AG157" s="49">
        <f>IFERROR(SUM(AF61:AG61)/SUM(AA61:AB61)*100-100,"")</f>
        <v>8.2296897055412757</v>
      </c>
      <c r="AH157" s="49">
        <f>IFERROR(SUM(AF61:AH61)/SUM(AA61:AC61)*100-100,"")</f>
        <v>7.5888598437654338</v>
      </c>
      <c r="AI157" s="49">
        <f>IFERROR(SUM(AF61:AI61)/SUM(AA61:AD61)*100-100,"")</f>
        <v>6.4751330461221954</v>
      </c>
      <c r="AJ157" s="49">
        <f>IFERROR(AJ61/AE61*100-100,"")</f>
        <v>6.4751330461222381</v>
      </c>
      <c r="AK157" s="49">
        <f>IFERROR(AK61/AF61*100-100,"")</f>
        <v>4.2236389977340565</v>
      </c>
      <c r="AL157" s="49">
        <f>IFERROR(SUM(AK61:AL61)/SUM(AF61:AG61)*100-100,"")</f>
        <v>5.0290733265439371</v>
      </c>
      <c r="AM157" s="49">
        <f>IFERROR(SUM(AK61:AM61)/SUM(AF61:AH61)*100-100,"")</f>
        <v>5.5031961944413297</v>
      </c>
      <c r="AN157" s="49">
        <f>IFERROR(SUM(AK61:AN61)/SUM(AF61:AI61)*100-100,"")</f>
        <v>6.0282806203064467</v>
      </c>
      <c r="AO157" s="49">
        <f>IFERROR(AO61/AJ61*100-100,"")</f>
        <v>6.0282806203064183</v>
      </c>
      <c r="AP157" s="49">
        <f>IFERROR(AP61/AK61*100-100,"")</f>
        <v>6.0510487115417106</v>
      </c>
      <c r="AQ157" s="49">
        <f>IFERROR(SUM(AP61:AQ61)/SUM(AK61:AL61)*100-100,"")</f>
        <v>6.396774397705201</v>
      </c>
      <c r="AR157" s="49">
        <f>IFERROR(SUM(AP61:AR61)/SUM(AK61:AM61)*100-100,"")</f>
        <v>6.1477324314039805</v>
      </c>
      <c r="AS157" s="49">
        <f>IFERROR(SUM(AP61:AS61)/SUM(AK61:AN61)*100-100,"")</f>
        <v>5.8918624783031106</v>
      </c>
      <c r="AT157" s="49">
        <f>IFERROR(AT61/AO61*100-100,"")</f>
        <v>5.891862478303068</v>
      </c>
      <c r="AU157" s="49">
        <f>IFERROR(AU61/AP61*100-100,"")</f>
        <v>6.5261534138702899</v>
      </c>
      <c r="AV157" s="49">
        <f>IFERROR(SUM(AU61:AV61)/SUM(AP61:AQ61)*100-100,"")</f>
        <v>6.004625963018384</v>
      </c>
      <c r="AW157" s="49">
        <f>IFERROR(SUM(AU61:AW61)/SUM(AP61:AR61)*100-100,"")</f>
        <v>5.9977901369329771</v>
      </c>
      <c r="AX157" s="49">
        <f>IFERROR(SUM(AU61:AX61)/SUM(AP61:AS61)*100-100,"")</f>
        <v>5.8986098714907058</v>
      </c>
      <c r="AY157" s="49">
        <f>IFERROR(AY61/AT61*100-100,"")</f>
        <v>5.8986098714907342</v>
      </c>
      <c r="AZ157" s="49">
        <f>IFERROR(AZ61/AU61*100-100,"")</f>
        <v>5.4668711467967626</v>
      </c>
      <c r="BA157" s="49">
        <f>IFERROR(SUM(AZ61:BA61)/SUM(AU61:AV61)*100-100,"")</f>
        <v>5.4894095580651765</v>
      </c>
      <c r="BB157" s="49">
        <f>IFERROR(SUM(AZ61:BB61)/SUM(AU61:AW61)*100-100,"")</f>
        <v>5.9314739377043253</v>
      </c>
      <c r="BC157" s="49">
        <f>IFERROR(SUM(AZ61:BC61)/SUM(AU61:AX61)*100-100,"")</f>
        <v>5.9925059309857005</v>
      </c>
      <c r="BD157" s="49">
        <f>IFERROR(BD61/AY61*100-100,"")</f>
        <v>5.9925059309856579</v>
      </c>
      <c r="BE157" s="49">
        <f>IFERROR(BE61/AZ61*100-100,"")</f>
        <v>6.4833610337002625</v>
      </c>
      <c r="BF157" s="49">
        <f>IFERROR(SUM(BE61:BF61)/SUM(AZ61:BA61)*100-100,"")</f>
        <v>6.6687659923521494</v>
      </c>
      <c r="BG157" s="49">
        <f>IFERROR(SUM(BE61:BG61)/SUM(AZ61:BB61)*100-100,"")</f>
        <v>6.2720867847807256</v>
      </c>
      <c r="BH157" s="49">
        <f>IFERROR(SUM(BE61:BH61)/SUM(AZ61:BC61)*100-100,"")</f>
        <v>5.9777945501679568</v>
      </c>
      <c r="BI157" s="49">
        <f>IFERROR(BI61/BD61*100-100,"")</f>
        <v>5.9777945501680705</v>
      </c>
      <c r="BJ157" s="49">
        <f>IFERROR(BJ61/BE61*100-100,"")</f>
        <v>4.4072999990145973</v>
      </c>
      <c r="BK157" s="49">
        <f>IFERROR(SUM(BJ61:BK61)/SUM(BE61:BF61)*100-100,"")</f>
        <v>2.1048836854157287</v>
      </c>
      <c r="BL157" s="49">
        <f>IFERROR(SUM(BJ61:BL61)/SUM(BE61:BG61)*100-100,"")</f>
        <v>0.94553283346321848</v>
      </c>
      <c r="BM157" s="49">
        <f>IFERROR(SUM(BJ61:BM61)/SUM(BE61:BH61)*100-100,"")</f>
        <v>-2.9554747626704625E-2</v>
      </c>
      <c r="BN157" s="49">
        <f>IFERROR(BN61/BI61*100-100,"")</f>
        <v>-2.9554747626718836E-2</v>
      </c>
      <c r="BO157" s="49">
        <f>IFERROR(BO61/BJ61*100-100,"")</f>
        <v>-0.78584195433818138</v>
      </c>
      <c r="BP157" s="49">
        <f>IFERROR(SUM(BO61:BP61)/SUM(BJ61:BK61)*100-100,"")</f>
        <v>2.1667848435895678</v>
      </c>
      <c r="BQ157" s="49">
        <f>IFERROR(SUM(BO61:BQ61)/SUM(BJ61:BL61)*100-100,"")</f>
        <v>2.7628678600298144</v>
      </c>
      <c r="BR157" s="49">
        <f>IFERROR(SUM(BO61:BR61)/SUM(BJ61:BM61)*100-100,"")</f>
        <v>3.8265011509499089</v>
      </c>
      <c r="BS157" s="49">
        <f>IFERROR(BS61/BN61*100-100,"")</f>
        <v>3.8265011509499374</v>
      </c>
      <c r="BT157" s="49">
        <f>IFERROR(BT61/BO61*100-100,"")</f>
        <v>3.980549219270074</v>
      </c>
      <c r="BU157" s="49">
        <f>IFERROR(SUM(BT61:BU61)/SUM(BO61:BP61)*100-100,"")</f>
        <v>4.7266267180559538</v>
      </c>
      <c r="BV157" s="49">
        <f>IFERROR(SUM(BT61:BV61)/SUM(BO61:BQ61)*100-100,"")</f>
        <v>5.2823182193246367</v>
      </c>
      <c r="BW157" s="49">
        <f>IFERROR(SUM(BT61:BW61)/SUM(BO61:BR61)*100-100,"")</f>
        <v>5.6539643603185112</v>
      </c>
      <c r="BX157" s="49">
        <f>IFERROR(BX61/BS61*100-100,"")</f>
        <v>5.6539643603184686</v>
      </c>
      <c r="BY157" s="49">
        <f>IFERROR(BY61/BT61*100-100,"")</f>
        <v>5.5772893273116324</v>
      </c>
      <c r="BZ157" s="49">
        <f>IFERROR(SUM(BY61:BZ61)/SUM(BT61:BU61)*100-100,"")</f>
        <v>5.4594923804944102</v>
      </c>
      <c r="CA157" s="49">
        <f>IFERROR(SUM(BY61:CA61)/SUM(BT61:BV61)*100-100,"")</f>
        <v>5.0226747931017428</v>
      </c>
      <c r="CB157" s="49">
        <f>IFERROR(SUM(BY61:CB61)/SUM(BT61:BW61)*100-100,"")</f>
        <v>4.4116622361056983</v>
      </c>
      <c r="CC157" s="49">
        <f>IFERROR(CC61/BX61*100-100,"")</f>
        <v>4.4116622361057125</v>
      </c>
      <c r="CD157" s="49">
        <f>IFERROR(CD61/BY61*100-100,"")</f>
        <v>5.0241348829056705</v>
      </c>
      <c r="CE157" s="49">
        <f>IFERROR(SUM(CD61:CE61)/SUM(BY61:BZ61)*100-100,"")</f>
        <v>4.1756557186007228</v>
      </c>
      <c r="CF157" s="49">
        <f>IFERROR(SUM(CD61:CF61)/SUM(BY61:CA61)*100-100,"")</f>
        <v>4.468025636053909</v>
      </c>
      <c r="CG157" s="49">
        <f>IFERROR(SUM(CD61:CG61)/SUM(BY61:CB61)*100-100,"")</f>
        <v>4.6181963294361879</v>
      </c>
      <c r="CH157" s="49">
        <f>IFERROR(CH61/CC61*100-100,"")</f>
        <v>4.6181963294361452</v>
      </c>
      <c r="CI157" s="49">
        <f>IFERROR(CI61/CD61*100-100,"")</f>
        <v>5.2495683903091219</v>
      </c>
      <c r="CJ157" s="49">
        <f>IFERROR(SUM(CI61:CJ61)/SUM(CD61:CE61)*100-100,"")</f>
        <v>4.5144435553445561</v>
      </c>
      <c r="CK157" s="49">
        <f>IFERROR(SUM(CI61:CK61)/SUM(CD61:CF61)*100-100,"")</f>
        <v>4.3458868752778983</v>
      </c>
      <c r="CL157" s="49">
        <f>IFERROR(SUM(CI61:CL61)/SUM(CD61:CG61)*100-100,"")</f>
        <v>4.5948950489985094</v>
      </c>
      <c r="CM157" s="49">
        <f>IFERROR(CM61/CH61*100-100,"")</f>
        <v>4.5948950489985663</v>
      </c>
      <c r="CN157" s="49">
        <f>IFERROR(CN61/CI61*100-100,"")</f>
        <v>-100</v>
      </c>
      <c r="CO157" s="49">
        <f>IFERROR(SUM(CN61:CO61)/SUM(CI61:CJ61)*100-100,"")</f>
        <v>-100</v>
      </c>
      <c r="CP157" s="49">
        <f>IFERROR(SUM(CN61:CP61)/SUM(CI61:CK61)*100-100,"")</f>
        <v>-100</v>
      </c>
      <c r="CQ157" s="49">
        <f>IFERROR(SUM(CN61:CQ61)/SUM(CI61:CL61)*100-100,"")</f>
        <v>-100</v>
      </c>
      <c r="CR157" s="49">
        <f>IFERROR(CR61/CM61*100-100,"")</f>
        <v>-100</v>
      </c>
    </row>
    <row r="158" spans="1:96" s="9" customFormat="1" ht="15" x14ac:dyDescent="0.4">
      <c r="A158" s="28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  <c r="BJ158" s="29"/>
      <c r="BK158" s="29"/>
      <c r="BL158" s="29"/>
      <c r="BM158" s="29"/>
      <c r="BN158" s="29"/>
      <c r="BO158" s="29"/>
      <c r="BP158" s="29"/>
      <c r="BQ158" s="29"/>
      <c r="BR158" s="29"/>
      <c r="BS158" s="29"/>
      <c r="BT158" s="29"/>
      <c r="BU158" s="29"/>
      <c r="BV158" s="29"/>
      <c r="BW158" s="29"/>
      <c r="BX158" s="29"/>
      <c r="BY158" s="29"/>
      <c r="BZ158" s="29"/>
      <c r="CA158" s="29"/>
      <c r="CB158" s="29"/>
      <c r="CC158" s="29"/>
      <c r="CD158" s="29"/>
      <c r="CE158" s="29"/>
      <c r="CF158" s="29"/>
      <c r="CG158" s="29"/>
      <c r="CH158" s="29"/>
      <c r="CI158" s="29"/>
      <c r="CJ158" s="29"/>
      <c r="CK158" s="29"/>
      <c r="CL158" s="29"/>
      <c r="CM158" s="29"/>
      <c r="CN158" s="29"/>
      <c r="CO158" s="29"/>
      <c r="CP158" s="29"/>
      <c r="CQ158" s="29"/>
      <c r="CR158" s="29"/>
    </row>
    <row r="159" spans="1:96" s="31" customFormat="1" ht="15" x14ac:dyDescent="0.4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</row>
    <row r="160" spans="1:96" s="31" customFormat="1" ht="15" x14ac:dyDescent="0.4">
      <c r="A160" s="32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  <c r="BJ160" s="33"/>
      <c r="BK160" s="33"/>
      <c r="BL160" s="33"/>
      <c r="BM160" s="33"/>
      <c r="BN160" s="33"/>
      <c r="BO160" s="33"/>
      <c r="BP160" s="33"/>
      <c r="BQ160" s="33"/>
      <c r="BR160" s="33"/>
      <c r="BS160" s="33"/>
      <c r="BT160" s="33"/>
      <c r="BU160" s="33"/>
      <c r="BV160" s="33"/>
      <c r="BW160" s="33"/>
      <c r="BX160" s="33"/>
      <c r="BY160" s="33"/>
      <c r="BZ160" s="33"/>
      <c r="CA160" s="33"/>
      <c r="CB160" s="33"/>
      <c r="CC160" s="33"/>
      <c r="CD160" s="33"/>
      <c r="CE160" s="33"/>
      <c r="CF160" s="33"/>
      <c r="CG160" s="33"/>
      <c r="CH160" s="33"/>
      <c r="CI160" s="33"/>
      <c r="CJ160" s="33"/>
      <c r="CK160" s="33"/>
      <c r="CL160" s="33"/>
      <c r="CM160" s="33"/>
      <c r="CN160" s="33"/>
      <c r="CO160" s="33"/>
      <c r="CP160" s="33"/>
      <c r="CQ160" s="33"/>
      <c r="CR160" s="33"/>
    </row>
    <row r="161" spans="1:96" ht="20" x14ac:dyDescent="0.4">
      <c r="A161" s="1" t="s">
        <v>100</v>
      </c>
    </row>
    <row r="162" spans="1:96" ht="20.5" thickBot="1" x14ac:dyDescent="0.45">
      <c r="A162" s="1" t="str">
        <f>A130</f>
        <v>Kabupaten/Kota :</v>
      </c>
      <c r="B162" s="34" t="str">
        <f>B130</f>
        <v>Kepuluauan Tanimbar</v>
      </c>
      <c r="L162" s="35"/>
      <c r="V162" s="35"/>
      <c r="AF162" s="35"/>
      <c r="AP162" s="35"/>
      <c r="AZ162" s="35"/>
      <c r="BJ162" s="35"/>
      <c r="BT162" s="35"/>
    </row>
    <row r="163" spans="1:96" s="9" customFormat="1" ht="24" customHeight="1" thickBot="1" x14ac:dyDescent="0.35">
      <c r="A163" s="5" t="s">
        <v>2</v>
      </c>
      <c r="B163" s="6" t="s">
        <v>3</v>
      </c>
      <c r="C163" s="6" t="s">
        <v>4</v>
      </c>
      <c r="D163" s="6" t="s">
        <v>5</v>
      </c>
      <c r="E163" s="6" t="s">
        <v>6</v>
      </c>
      <c r="F163" s="6">
        <v>2008</v>
      </c>
      <c r="G163" s="7" t="s">
        <v>7</v>
      </c>
      <c r="H163" s="7" t="s">
        <v>8</v>
      </c>
      <c r="I163" s="7" t="s">
        <v>9</v>
      </c>
      <c r="J163" s="7" t="s">
        <v>10</v>
      </c>
      <c r="K163" s="7">
        <v>2009</v>
      </c>
      <c r="L163" s="6" t="s">
        <v>11</v>
      </c>
      <c r="M163" s="6" t="s">
        <v>12</v>
      </c>
      <c r="N163" s="6" t="s">
        <v>13</v>
      </c>
      <c r="O163" s="6" t="s">
        <v>14</v>
      </c>
      <c r="P163" s="6">
        <v>2010</v>
      </c>
      <c r="Q163" s="7" t="s">
        <v>15</v>
      </c>
      <c r="R163" s="7" t="s">
        <v>16</v>
      </c>
      <c r="S163" s="7" t="s">
        <v>17</v>
      </c>
      <c r="T163" s="7" t="s">
        <v>18</v>
      </c>
      <c r="U163" s="7">
        <v>2011</v>
      </c>
      <c r="V163" s="6" t="s">
        <v>19</v>
      </c>
      <c r="W163" s="6" t="s">
        <v>20</v>
      </c>
      <c r="X163" s="6" t="s">
        <v>21</v>
      </c>
      <c r="Y163" s="6" t="s">
        <v>22</v>
      </c>
      <c r="Z163" s="6">
        <v>2012</v>
      </c>
      <c r="AA163" s="7" t="s">
        <v>23</v>
      </c>
      <c r="AB163" s="7" t="s">
        <v>24</v>
      </c>
      <c r="AC163" s="7" t="s">
        <v>25</v>
      </c>
      <c r="AD163" s="7" t="s">
        <v>26</v>
      </c>
      <c r="AE163" s="7">
        <v>2013</v>
      </c>
      <c r="AF163" s="6" t="s">
        <v>27</v>
      </c>
      <c r="AG163" s="6" t="s">
        <v>28</v>
      </c>
      <c r="AH163" s="6" t="s">
        <v>29</v>
      </c>
      <c r="AI163" s="6" t="s">
        <v>30</v>
      </c>
      <c r="AJ163" s="6">
        <v>2014</v>
      </c>
      <c r="AK163" s="7" t="s">
        <v>31</v>
      </c>
      <c r="AL163" s="7" t="s">
        <v>32</v>
      </c>
      <c r="AM163" s="7" t="s">
        <v>33</v>
      </c>
      <c r="AN163" s="7" t="s">
        <v>34</v>
      </c>
      <c r="AO163" s="7">
        <v>2015</v>
      </c>
      <c r="AP163" s="6" t="s">
        <v>35</v>
      </c>
      <c r="AQ163" s="6" t="s">
        <v>36</v>
      </c>
      <c r="AR163" s="6" t="s">
        <v>37</v>
      </c>
      <c r="AS163" s="6" t="s">
        <v>38</v>
      </c>
      <c r="AT163" s="6">
        <v>2016</v>
      </c>
      <c r="AU163" s="7" t="s">
        <v>39</v>
      </c>
      <c r="AV163" s="7" t="s">
        <v>40</v>
      </c>
      <c r="AW163" s="7" t="s">
        <v>41</v>
      </c>
      <c r="AX163" s="7" t="s">
        <v>42</v>
      </c>
      <c r="AY163" s="7">
        <v>2017</v>
      </c>
      <c r="AZ163" s="6" t="s">
        <v>43</v>
      </c>
      <c r="BA163" s="6" t="s">
        <v>44</v>
      </c>
      <c r="BB163" s="6" t="s">
        <v>45</v>
      </c>
      <c r="BC163" s="6" t="s">
        <v>46</v>
      </c>
      <c r="BD163" s="6">
        <v>2018</v>
      </c>
      <c r="BE163" s="7" t="s">
        <v>47</v>
      </c>
      <c r="BF163" s="7" t="s">
        <v>48</v>
      </c>
      <c r="BG163" s="7" t="s">
        <v>49</v>
      </c>
      <c r="BH163" s="7" t="s">
        <v>50</v>
      </c>
      <c r="BI163" s="7">
        <v>2019</v>
      </c>
      <c r="BJ163" s="6" t="s">
        <v>51</v>
      </c>
      <c r="BK163" s="6" t="s">
        <v>52</v>
      </c>
      <c r="BL163" s="6" t="s">
        <v>53</v>
      </c>
      <c r="BM163" s="6" t="s">
        <v>54</v>
      </c>
      <c r="BN163" s="6">
        <v>2020</v>
      </c>
      <c r="BO163" s="7" t="s">
        <v>55</v>
      </c>
      <c r="BP163" s="7" t="s">
        <v>56</v>
      </c>
      <c r="BQ163" s="7" t="s">
        <v>57</v>
      </c>
      <c r="BR163" s="7" t="s">
        <v>58</v>
      </c>
      <c r="BS163" s="7">
        <v>2021</v>
      </c>
      <c r="BT163" s="6" t="s">
        <v>59</v>
      </c>
      <c r="BU163" s="6" t="s">
        <v>60</v>
      </c>
      <c r="BV163" s="6" t="s">
        <v>61</v>
      </c>
      <c r="BW163" s="6" t="s">
        <v>62</v>
      </c>
      <c r="BX163" s="6">
        <v>2022</v>
      </c>
      <c r="BY163" s="7" t="s">
        <v>63</v>
      </c>
      <c r="BZ163" s="7" t="s">
        <v>64</v>
      </c>
      <c r="CA163" s="7" t="s">
        <v>65</v>
      </c>
      <c r="CB163" s="7" t="s">
        <v>66</v>
      </c>
      <c r="CC163" s="7">
        <v>2023</v>
      </c>
      <c r="CD163" s="8" t="s">
        <v>67</v>
      </c>
      <c r="CE163" s="8" t="s">
        <v>68</v>
      </c>
      <c r="CF163" s="8" t="s">
        <v>69</v>
      </c>
      <c r="CG163" s="8" t="s">
        <v>70</v>
      </c>
      <c r="CH163" s="8">
        <v>2024</v>
      </c>
      <c r="CI163" s="7" t="s">
        <v>71</v>
      </c>
      <c r="CJ163" s="7" t="s">
        <v>72</v>
      </c>
      <c r="CK163" s="7" t="s">
        <v>73</v>
      </c>
      <c r="CL163" s="7" t="s">
        <v>74</v>
      </c>
      <c r="CM163" s="7">
        <v>2025</v>
      </c>
      <c r="CN163" s="8" t="s">
        <v>75</v>
      </c>
      <c r="CO163" s="8" t="s">
        <v>76</v>
      </c>
      <c r="CP163" s="8" t="s">
        <v>77</v>
      </c>
      <c r="CQ163" s="8" t="s">
        <v>78</v>
      </c>
      <c r="CR163" s="8">
        <v>2026</v>
      </c>
    </row>
    <row r="164" spans="1:96" s="9" customFormat="1" ht="13.5" thickBot="1" x14ac:dyDescent="0.35">
      <c r="A164" s="10">
        <v>-1</v>
      </c>
      <c r="B164" s="11">
        <f>Table336101918101434445464748494104114124[[#This Row],[Komponen Pengeluaran]]-1</f>
        <v>-2</v>
      </c>
      <c r="C164" s="11">
        <f>B164-1</f>
        <v>-3</v>
      </c>
      <c r="D164" s="11">
        <f t="shared" ref="D164:BO164" si="720">C164-1</f>
        <v>-4</v>
      </c>
      <c r="E164" s="11">
        <f t="shared" si="720"/>
        <v>-5</v>
      </c>
      <c r="F164" s="11">
        <f t="shared" si="720"/>
        <v>-6</v>
      </c>
      <c r="G164" s="11">
        <f t="shared" si="720"/>
        <v>-7</v>
      </c>
      <c r="H164" s="11">
        <f t="shared" si="720"/>
        <v>-8</v>
      </c>
      <c r="I164" s="11">
        <f t="shared" si="720"/>
        <v>-9</v>
      </c>
      <c r="J164" s="11">
        <f t="shared" si="720"/>
        <v>-10</v>
      </c>
      <c r="K164" s="11">
        <f t="shared" si="720"/>
        <v>-11</v>
      </c>
      <c r="L164" s="11">
        <f t="shared" si="720"/>
        <v>-12</v>
      </c>
      <c r="M164" s="11">
        <f t="shared" si="720"/>
        <v>-13</v>
      </c>
      <c r="N164" s="11">
        <f t="shared" si="720"/>
        <v>-14</v>
      </c>
      <c r="O164" s="11">
        <f t="shared" si="720"/>
        <v>-15</v>
      </c>
      <c r="P164" s="11">
        <f t="shared" si="720"/>
        <v>-16</v>
      </c>
      <c r="Q164" s="11">
        <f t="shared" si="720"/>
        <v>-17</v>
      </c>
      <c r="R164" s="11">
        <f t="shared" si="720"/>
        <v>-18</v>
      </c>
      <c r="S164" s="11">
        <f t="shared" si="720"/>
        <v>-19</v>
      </c>
      <c r="T164" s="11">
        <f t="shared" si="720"/>
        <v>-20</v>
      </c>
      <c r="U164" s="11">
        <f t="shared" si="720"/>
        <v>-21</v>
      </c>
      <c r="V164" s="11">
        <f t="shared" si="720"/>
        <v>-22</v>
      </c>
      <c r="W164" s="11">
        <f t="shared" si="720"/>
        <v>-23</v>
      </c>
      <c r="X164" s="11">
        <f t="shared" si="720"/>
        <v>-24</v>
      </c>
      <c r="Y164" s="11">
        <f t="shared" si="720"/>
        <v>-25</v>
      </c>
      <c r="Z164" s="11">
        <f t="shared" si="720"/>
        <v>-26</v>
      </c>
      <c r="AA164" s="11">
        <f t="shared" si="720"/>
        <v>-27</v>
      </c>
      <c r="AB164" s="11">
        <f t="shared" si="720"/>
        <v>-28</v>
      </c>
      <c r="AC164" s="11">
        <f t="shared" si="720"/>
        <v>-29</v>
      </c>
      <c r="AD164" s="11">
        <f t="shared" si="720"/>
        <v>-30</v>
      </c>
      <c r="AE164" s="11">
        <f t="shared" si="720"/>
        <v>-31</v>
      </c>
      <c r="AF164" s="11">
        <f t="shared" si="720"/>
        <v>-32</v>
      </c>
      <c r="AG164" s="11">
        <f t="shared" si="720"/>
        <v>-33</v>
      </c>
      <c r="AH164" s="11">
        <f t="shared" si="720"/>
        <v>-34</v>
      </c>
      <c r="AI164" s="11">
        <f t="shared" si="720"/>
        <v>-35</v>
      </c>
      <c r="AJ164" s="11">
        <f t="shared" si="720"/>
        <v>-36</v>
      </c>
      <c r="AK164" s="11">
        <f t="shared" si="720"/>
        <v>-37</v>
      </c>
      <c r="AL164" s="11">
        <f t="shared" si="720"/>
        <v>-38</v>
      </c>
      <c r="AM164" s="11">
        <f t="shared" si="720"/>
        <v>-39</v>
      </c>
      <c r="AN164" s="11">
        <f t="shared" si="720"/>
        <v>-40</v>
      </c>
      <c r="AO164" s="11">
        <f t="shared" si="720"/>
        <v>-41</v>
      </c>
      <c r="AP164" s="11">
        <f t="shared" si="720"/>
        <v>-42</v>
      </c>
      <c r="AQ164" s="11">
        <f t="shared" si="720"/>
        <v>-43</v>
      </c>
      <c r="AR164" s="11">
        <f t="shared" si="720"/>
        <v>-44</v>
      </c>
      <c r="AS164" s="11">
        <f t="shared" si="720"/>
        <v>-45</v>
      </c>
      <c r="AT164" s="11">
        <f t="shared" si="720"/>
        <v>-46</v>
      </c>
      <c r="AU164" s="11">
        <f t="shared" si="720"/>
        <v>-47</v>
      </c>
      <c r="AV164" s="11">
        <f t="shared" si="720"/>
        <v>-48</v>
      </c>
      <c r="AW164" s="11">
        <f t="shared" si="720"/>
        <v>-49</v>
      </c>
      <c r="AX164" s="11">
        <f t="shared" si="720"/>
        <v>-50</v>
      </c>
      <c r="AY164" s="11">
        <f t="shared" si="720"/>
        <v>-51</v>
      </c>
      <c r="AZ164" s="11">
        <f t="shared" si="720"/>
        <v>-52</v>
      </c>
      <c r="BA164" s="11">
        <f t="shared" si="720"/>
        <v>-53</v>
      </c>
      <c r="BB164" s="11">
        <f t="shared" si="720"/>
        <v>-54</v>
      </c>
      <c r="BC164" s="11">
        <f t="shared" si="720"/>
        <v>-55</v>
      </c>
      <c r="BD164" s="11">
        <f t="shared" si="720"/>
        <v>-56</v>
      </c>
      <c r="BE164" s="11">
        <f t="shared" si="720"/>
        <v>-57</v>
      </c>
      <c r="BF164" s="11">
        <f t="shared" si="720"/>
        <v>-58</v>
      </c>
      <c r="BG164" s="11">
        <f t="shared" si="720"/>
        <v>-59</v>
      </c>
      <c r="BH164" s="11">
        <f t="shared" si="720"/>
        <v>-60</v>
      </c>
      <c r="BI164" s="11">
        <f t="shared" si="720"/>
        <v>-61</v>
      </c>
      <c r="BJ164" s="11">
        <f t="shared" si="720"/>
        <v>-62</v>
      </c>
      <c r="BK164" s="11">
        <f t="shared" si="720"/>
        <v>-63</v>
      </c>
      <c r="BL164" s="11">
        <f t="shared" si="720"/>
        <v>-64</v>
      </c>
      <c r="BM164" s="11">
        <f t="shared" si="720"/>
        <v>-65</v>
      </c>
      <c r="BN164" s="11">
        <f t="shared" si="720"/>
        <v>-66</v>
      </c>
      <c r="BO164" s="11">
        <f t="shared" si="720"/>
        <v>-67</v>
      </c>
      <c r="BP164" s="11">
        <f t="shared" ref="BP164:CR164" si="721">BO164-1</f>
        <v>-68</v>
      </c>
      <c r="BQ164" s="11">
        <f t="shared" si="721"/>
        <v>-69</v>
      </c>
      <c r="BR164" s="11">
        <f t="shared" si="721"/>
        <v>-70</v>
      </c>
      <c r="BS164" s="11">
        <f t="shared" si="721"/>
        <v>-71</v>
      </c>
      <c r="BT164" s="11">
        <f t="shared" si="721"/>
        <v>-72</v>
      </c>
      <c r="BU164" s="11">
        <f t="shared" si="721"/>
        <v>-73</v>
      </c>
      <c r="BV164" s="11">
        <f t="shared" si="721"/>
        <v>-74</v>
      </c>
      <c r="BW164" s="11">
        <f t="shared" si="721"/>
        <v>-75</v>
      </c>
      <c r="BX164" s="11">
        <f t="shared" si="721"/>
        <v>-76</v>
      </c>
      <c r="BY164" s="11">
        <f t="shared" si="721"/>
        <v>-77</v>
      </c>
      <c r="BZ164" s="11">
        <f t="shared" si="721"/>
        <v>-78</v>
      </c>
      <c r="CA164" s="11">
        <f t="shared" si="721"/>
        <v>-79</v>
      </c>
      <c r="CB164" s="11">
        <f t="shared" si="721"/>
        <v>-80</v>
      </c>
      <c r="CC164" s="11">
        <f t="shared" si="721"/>
        <v>-81</v>
      </c>
      <c r="CD164" s="11">
        <f t="shared" si="721"/>
        <v>-82</v>
      </c>
      <c r="CE164" s="11">
        <f t="shared" si="721"/>
        <v>-83</v>
      </c>
      <c r="CF164" s="11">
        <f t="shared" si="721"/>
        <v>-84</v>
      </c>
      <c r="CG164" s="11">
        <f t="shared" si="721"/>
        <v>-85</v>
      </c>
      <c r="CH164" s="11">
        <f t="shared" si="721"/>
        <v>-86</v>
      </c>
      <c r="CI164" s="11">
        <f t="shared" si="721"/>
        <v>-87</v>
      </c>
      <c r="CJ164" s="11">
        <f t="shared" si="721"/>
        <v>-88</v>
      </c>
      <c r="CK164" s="11">
        <f t="shared" si="721"/>
        <v>-89</v>
      </c>
      <c r="CL164" s="11">
        <f t="shared" si="721"/>
        <v>-90</v>
      </c>
      <c r="CM164" s="11">
        <f t="shared" si="721"/>
        <v>-91</v>
      </c>
      <c r="CN164" s="11">
        <f t="shared" si="721"/>
        <v>-92</v>
      </c>
      <c r="CO164" s="11">
        <f t="shared" si="721"/>
        <v>-93</v>
      </c>
      <c r="CP164" s="11">
        <f t="shared" si="721"/>
        <v>-94</v>
      </c>
      <c r="CQ164" s="11">
        <f t="shared" si="721"/>
        <v>-95</v>
      </c>
      <c r="CR164" s="11">
        <f t="shared" si="721"/>
        <v>-96</v>
      </c>
    </row>
    <row r="165" spans="1:96" s="9" customFormat="1" ht="16.5" thickTop="1" x14ac:dyDescent="0.4">
      <c r="A165" s="12"/>
      <c r="B165" s="13"/>
      <c r="C165" s="13"/>
      <c r="D165" s="13"/>
      <c r="E165" s="13"/>
      <c r="F165" s="14"/>
      <c r="G165" s="13"/>
      <c r="H165" s="13"/>
      <c r="I165" s="13"/>
      <c r="J165" s="13"/>
      <c r="K165" s="14"/>
      <c r="L165" s="13"/>
      <c r="M165" s="13"/>
      <c r="N165" s="13"/>
      <c r="O165" s="13"/>
      <c r="P165" s="14"/>
      <c r="Q165" s="13"/>
      <c r="R165" s="13"/>
      <c r="S165" s="13"/>
      <c r="T165" s="13"/>
      <c r="U165" s="14"/>
      <c r="V165" s="13"/>
      <c r="W165" s="13"/>
      <c r="X165" s="13"/>
      <c r="Y165" s="13"/>
      <c r="Z165" s="14"/>
      <c r="AA165" s="13"/>
      <c r="AB165" s="13"/>
      <c r="AC165" s="13"/>
      <c r="AD165" s="13"/>
      <c r="AE165" s="14"/>
      <c r="AF165" s="13"/>
      <c r="AG165" s="13"/>
      <c r="AH165" s="13"/>
      <c r="AI165" s="13"/>
      <c r="AJ165" s="14"/>
      <c r="AK165" s="13"/>
      <c r="AL165" s="13"/>
      <c r="AM165" s="13"/>
      <c r="AN165" s="13"/>
      <c r="AO165" s="14"/>
      <c r="AP165" s="13"/>
      <c r="AQ165" s="13"/>
      <c r="AR165" s="13"/>
      <c r="AS165" s="13"/>
      <c r="AT165" s="14"/>
      <c r="AU165" s="13"/>
      <c r="AV165" s="13"/>
      <c r="AW165" s="13"/>
      <c r="AX165" s="13"/>
      <c r="AY165" s="14"/>
      <c r="AZ165" s="13"/>
      <c r="BA165" s="13"/>
      <c r="BB165" s="13"/>
      <c r="BC165" s="13"/>
      <c r="BD165" s="14"/>
      <c r="BE165" s="13"/>
      <c r="BF165" s="13"/>
      <c r="BG165" s="13"/>
      <c r="BH165" s="13"/>
      <c r="BI165" s="14"/>
      <c r="BJ165" s="13"/>
      <c r="BK165" s="13"/>
      <c r="BL165" s="13"/>
      <c r="BM165" s="13"/>
      <c r="BN165" s="14"/>
      <c r="BO165" s="13"/>
      <c r="BP165" s="13"/>
      <c r="BQ165" s="13"/>
      <c r="BR165" s="13"/>
      <c r="BS165" s="14"/>
      <c r="BT165" s="13"/>
      <c r="BU165" s="13"/>
      <c r="BV165" s="13"/>
      <c r="BW165" s="13"/>
      <c r="BX165" s="14"/>
      <c r="BY165" s="13"/>
      <c r="BZ165" s="13"/>
      <c r="CA165" s="13"/>
      <c r="CB165" s="13"/>
      <c r="CC165" s="14"/>
      <c r="CD165" s="13"/>
      <c r="CE165" s="13"/>
      <c r="CF165" s="13"/>
      <c r="CG165" s="13"/>
      <c r="CH165" s="14"/>
      <c r="CI165" s="13"/>
      <c r="CJ165" s="13"/>
      <c r="CK165" s="13"/>
      <c r="CL165" s="13"/>
      <c r="CM165" s="14"/>
      <c r="CN165" s="13"/>
      <c r="CO165" s="13"/>
      <c r="CP165" s="13"/>
      <c r="CQ165" s="13"/>
      <c r="CR165" s="14"/>
    </row>
    <row r="166" spans="1:96" s="17" customFormat="1" ht="15" x14ac:dyDescent="0.4">
      <c r="A166" s="15" t="s">
        <v>79</v>
      </c>
      <c r="B166" s="16">
        <f>IFERROR(B6/B38*100,"")</f>
        <v>90.651816133900979</v>
      </c>
      <c r="C166" s="16">
        <f t="shared" ref="C166:F167" si="722">IFERROR(C6/C38*100,"")</f>
        <v>90.647801228585365</v>
      </c>
      <c r="D166" s="16">
        <f t="shared" si="722"/>
        <v>93.470111598553004</v>
      </c>
      <c r="E166" s="16">
        <f t="shared" si="722"/>
        <v>94.682879653442882</v>
      </c>
      <c r="F166" s="16">
        <f t="shared" si="722"/>
        <v>92.42014590627781</v>
      </c>
      <c r="G166" s="16">
        <f>IFERROR(G6/G38*100,"")</f>
        <v>94.778298893621098</v>
      </c>
      <c r="H166" s="16">
        <f t="shared" ref="H166:K167" si="723">IFERROR(H6/H38*100,"")</f>
        <v>94.992414185008101</v>
      </c>
      <c r="I166" s="16">
        <f t="shared" si="723"/>
        <v>96.605819101446784</v>
      </c>
      <c r="J166" s="16">
        <f t="shared" si="723"/>
        <v>97.176460177917917</v>
      </c>
      <c r="K166" s="16">
        <f t="shared" si="723"/>
        <v>95.934467371002356</v>
      </c>
      <c r="L166" s="16">
        <f>IFERROR(L6/L38*100,"")</f>
        <v>98.075521116056692</v>
      </c>
      <c r="M166" s="16">
        <f t="shared" ref="M166:P167" si="724">IFERROR(M6/M38*100,"")</f>
        <v>101.05505032553148</v>
      </c>
      <c r="N166" s="16">
        <f t="shared" si="724"/>
        <v>101.22388564627502</v>
      </c>
      <c r="O166" s="16">
        <f t="shared" si="724"/>
        <v>99.595612444463583</v>
      </c>
      <c r="P166" s="16">
        <f t="shared" si="724"/>
        <v>99.999999999999986</v>
      </c>
      <c r="Q166" s="16">
        <f>IFERROR(Q6/Q38*100,"")</f>
        <v>94.749855643715293</v>
      </c>
      <c r="R166" s="16" t="str">
        <f t="shared" ref="R166:U167" si="725">IFERROR(R6/R38*100,"")</f>
        <v/>
      </c>
      <c r="S166" s="16">
        <f t="shared" si="725"/>
        <v>108.35269173811442</v>
      </c>
      <c r="T166" s="16">
        <f t="shared" si="725"/>
        <v>104.80408443927513</v>
      </c>
      <c r="U166" s="16" t="str">
        <f t="shared" si="725"/>
        <v/>
      </c>
      <c r="V166" s="16">
        <f>IFERROR(V6/V38*100,"")</f>
        <v>116.01051614521847</v>
      </c>
      <c r="W166" s="16">
        <f t="shared" ref="W166:Z167" si="726">IFERROR(W6/W38*100,"")</f>
        <v>116.62633297288558</v>
      </c>
      <c r="X166" s="16">
        <f t="shared" si="726"/>
        <v>114.64457375562347</v>
      </c>
      <c r="Y166" s="16">
        <f t="shared" si="726"/>
        <v>115.24128250726773</v>
      </c>
      <c r="Z166" s="16">
        <f t="shared" si="726"/>
        <v>115.60254804876966</v>
      </c>
      <c r="AA166" s="16">
        <f>IFERROR(AA6/AA38*100,"")</f>
        <v>118.42192436693449</v>
      </c>
      <c r="AB166" s="16">
        <f t="shared" ref="AB166:AE167" si="727">IFERROR(AB6/AB38*100,"")</f>
        <v>122.16158470636726</v>
      </c>
      <c r="AC166" s="16">
        <f t="shared" si="727"/>
        <v>127.20111369362412</v>
      </c>
      <c r="AD166" s="16">
        <f t="shared" si="727"/>
        <v>130.00617703319682</v>
      </c>
      <c r="AE166" s="16">
        <f t="shared" si="727"/>
        <v>124.69101243463763</v>
      </c>
      <c r="AF166" s="16">
        <f>IFERROR(AF6/AF38*100,"")</f>
        <v>131.85446382768728</v>
      </c>
      <c r="AG166" s="16">
        <f t="shared" ref="AG166:AJ167" si="728">IFERROR(AG6/AG38*100,"")</f>
        <v>132.34194989474372</v>
      </c>
      <c r="AH166" s="16">
        <f t="shared" si="728"/>
        <v>133.34641540914015</v>
      </c>
      <c r="AI166" s="16">
        <f t="shared" si="728"/>
        <v>135.84020463498396</v>
      </c>
      <c r="AJ166" s="16">
        <f t="shared" si="728"/>
        <v>133.43065092149129</v>
      </c>
      <c r="AK166" s="16">
        <f>IFERROR(AK6/AK38*100,"")</f>
        <v>138.49022980571033</v>
      </c>
      <c r="AL166" s="16">
        <f t="shared" ref="AL166:AO167" si="729">IFERROR(AL6/AL38*100,"")</f>
        <v>141.08361895803182</v>
      </c>
      <c r="AM166" s="16">
        <f t="shared" si="729"/>
        <v>142.95496241788314</v>
      </c>
      <c r="AN166" s="16">
        <f t="shared" si="729"/>
        <v>145.37381656197584</v>
      </c>
      <c r="AO166" s="16">
        <f t="shared" si="729"/>
        <v>142.11733094561492</v>
      </c>
      <c r="AP166" s="16">
        <f>IFERROR(AP6/AP38*100,"")</f>
        <v>149.19646431173913</v>
      </c>
      <c r="AQ166" s="16">
        <f t="shared" ref="AQ166:AT167" si="730">IFERROR(AQ6/AQ38*100,"")</f>
        <v>148.71000274152792</v>
      </c>
      <c r="AR166" s="16">
        <f t="shared" si="730"/>
        <v>150.07379025334757</v>
      </c>
      <c r="AS166" s="16">
        <f t="shared" si="730"/>
        <v>151.83755706602597</v>
      </c>
      <c r="AT166" s="16">
        <f t="shared" si="730"/>
        <v>149.98760765872527</v>
      </c>
      <c r="AU166" s="16">
        <f>IFERROR(AU6/AU38*100,"")</f>
        <v>152.97123988138645</v>
      </c>
      <c r="AV166" s="16">
        <f t="shared" ref="AV166:AY167" si="731">IFERROR(AV6/AV38*100,"")</f>
        <v>153.94219059727919</v>
      </c>
      <c r="AW166" s="16">
        <f t="shared" si="731"/>
        <v>155.37289906067414</v>
      </c>
      <c r="AX166" s="16">
        <f t="shared" si="731"/>
        <v>155.95445520953751</v>
      </c>
      <c r="AY166" s="16">
        <f t="shared" si="731"/>
        <v>154.61203132238856</v>
      </c>
      <c r="AZ166" s="16">
        <f>IFERROR(AZ6/AZ38*100,"")</f>
        <v>156.70716970765034</v>
      </c>
      <c r="BA166" s="16">
        <f t="shared" ref="BA166:BD167" si="732">IFERROR(BA6/BA38*100,"")</f>
        <v>156.8454215196605</v>
      </c>
      <c r="BB166" s="16">
        <f t="shared" si="732"/>
        <v>156.87834697205918</v>
      </c>
      <c r="BC166" s="16">
        <f t="shared" si="732"/>
        <v>156.93048294519994</v>
      </c>
      <c r="BD166" s="16">
        <f t="shared" si="732"/>
        <v>156.84437687793002</v>
      </c>
      <c r="BE166" s="16">
        <f>IFERROR(BE6/BE38*100,"")</f>
        <v>161.08664293235003</v>
      </c>
      <c r="BF166" s="16">
        <f t="shared" ref="BF166:BI167" si="733">IFERROR(BF6/BF38*100,"")</f>
        <v>161.5692693828266</v>
      </c>
      <c r="BG166" s="16">
        <f t="shared" si="733"/>
        <v>165.85159656707998</v>
      </c>
      <c r="BH166" s="16">
        <f t="shared" si="733"/>
        <v>164.73492980058094</v>
      </c>
      <c r="BI166" s="16">
        <f t="shared" si="733"/>
        <v>163.37720103773128</v>
      </c>
      <c r="BJ166" s="16">
        <f>IFERROR(BJ6/BJ38*100,"")</f>
        <v>162.38387385528262</v>
      </c>
      <c r="BK166" s="16">
        <f t="shared" ref="BK166:BZ170" si="734">IFERROR(BK6/BK38*100,"")</f>
        <v>165.32620115408753</v>
      </c>
      <c r="BL166" s="16">
        <f t="shared" si="734"/>
        <v>169.96327670935275</v>
      </c>
      <c r="BM166" s="16">
        <f t="shared" si="734"/>
        <v>170.26659157620139</v>
      </c>
      <c r="BN166" s="16">
        <f t="shared" si="734"/>
        <v>166.99362721923299</v>
      </c>
      <c r="BO166" s="16">
        <f>IFERROR(BO6/BO38*100,"")</f>
        <v>172.36471543497498</v>
      </c>
      <c r="BP166" s="16">
        <f t="shared" ref="BP166:BS167" si="735">IFERROR(BP6/BP38*100,"")</f>
        <v>175.64338517485655</v>
      </c>
      <c r="BQ166" s="16">
        <f t="shared" si="735"/>
        <v>171.1555249925548</v>
      </c>
      <c r="BR166" s="16">
        <f t="shared" si="735"/>
        <v>176.59472076434483</v>
      </c>
      <c r="BS166" s="16">
        <f t="shared" si="735"/>
        <v>173.97157921071152</v>
      </c>
      <c r="BT166" s="16">
        <f>IFERROR(BT6/BT38*100,"")</f>
        <v>180.35688463939707</v>
      </c>
      <c r="BU166" s="16">
        <f t="shared" ref="BU166:BX167" si="736">IFERROR(BU6/BU38*100,"")</f>
        <v>181.39379697835747</v>
      </c>
      <c r="BV166" s="16">
        <f t="shared" si="736"/>
        <v>183.29011063704104</v>
      </c>
      <c r="BW166" s="16">
        <f t="shared" si="736"/>
        <v>184.10610971703426</v>
      </c>
      <c r="BX166" s="16">
        <f t="shared" si="736"/>
        <v>182.31238486607694</v>
      </c>
      <c r="BY166" s="16">
        <f>IFERROR(BY6/BY38*100,"")</f>
        <v>185.88369737048279</v>
      </c>
      <c r="BZ166" s="16">
        <f t="shared" ref="BZ166:CG173" si="737">IFERROR(BZ6/BZ38*100,"")</f>
        <v>187.78142815249959</v>
      </c>
      <c r="CA166" s="16">
        <f t="shared" si="737"/>
        <v>188.94353682889988</v>
      </c>
      <c r="CB166" s="16">
        <f t="shared" si="737"/>
        <v>189.88710628440847</v>
      </c>
      <c r="CC166" s="16">
        <f t="shared" si="737"/>
        <v>188.14631916558116</v>
      </c>
      <c r="CD166" s="16">
        <f>IFERROR(CD6/CD38*100,"")</f>
        <v>189.66407868632004</v>
      </c>
      <c r="CE166" s="16">
        <f t="shared" ref="CE166:CL173" si="738">IFERROR(CE6/CE38*100,"")</f>
        <v>192.90585353905016</v>
      </c>
      <c r="CF166" s="16">
        <f t="shared" si="738"/>
        <v>193.70950524890821</v>
      </c>
      <c r="CG166" s="16">
        <f t="shared" si="738"/>
        <v>191.76947195401434</v>
      </c>
      <c r="CH166" s="16">
        <f t="shared" si="738"/>
        <v>192.01271223554716</v>
      </c>
      <c r="CI166" s="16">
        <f>IFERROR(CI6/CI38*100,"")</f>
        <v>193.25937802207437</v>
      </c>
      <c r="CJ166" s="16">
        <f t="shared" ref="CJ166:CR173" si="739">IFERROR(CJ6/CJ38*100,"")</f>
        <v>198.99377969539219</v>
      </c>
      <c r="CK166" s="16">
        <f t="shared" si="739"/>
        <v>203.98946073041083</v>
      </c>
      <c r="CL166" s="16">
        <f t="shared" si="739"/>
        <v>202.96087238203935</v>
      </c>
      <c r="CM166" s="16">
        <f t="shared" si="739"/>
        <v>199.83946807518839</v>
      </c>
      <c r="CN166" s="16" t="str">
        <f>IFERROR(CN6/CN38*100,"")</f>
        <v/>
      </c>
      <c r="CO166" s="16" t="str">
        <f t="shared" ref="CO166:CR167" si="740">IFERROR(CO6/CO38*100,"")</f>
        <v/>
      </c>
      <c r="CP166" s="16" t="str">
        <f t="shared" si="740"/>
        <v/>
      </c>
      <c r="CQ166" s="16" t="str">
        <f t="shared" si="740"/>
        <v/>
      </c>
      <c r="CR166" s="16" t="str">
        <f t="shared" si="740"/>
        <v/>
      </c>
    </row>
    <row r="167" spans="1:96" s="9" customFormat="1" ht="15" x14ac:dyDescent="0.4">
      <c r="A167" s="18" t="s">
        <v>80</v>
      </c>
      <c r="B167" s="39">
        <f>IFERROR(B7/B39*100,"")</f>
        <v>91.238818623338986</v>
      </c>
      <c r="C167" s="39">
        <f t="shared" si="722"/>
        <v>90.803711591129542</v>
      </c>
      <c r="D167" s="39">
        <f t="shared" si="722"/>
        <v>93.789342598230817</v>
      </c>
      <c r="E167" s="39">
        <f t="shared" si="722"/>
        <v>95.248475838779271</v>
      </c>
      <c r="F167" s="40">
        <f t="shared" si="722"/>
        <v>92.81121046029017</v>
      </c>
      <c r="G167" s="39">
        <f>IFERROR(G7/G39*100,"")</f>
        <v>96.005334875433888</v>
      </c>
      <c r="H167" s="39">
        <f t="shared" si="723"/>
        <v>96.097652760871696</v>
      </c>
      <c r="I167" s="39">
        <f t="shared" si="723"/>
        <v>96.139523461521037</v>
      </c>
      <c r="J167" s="39">
        <f t="shared" si="723"/>
        <v>96.277338859362843</v>
      </c>
      <c r="K167" s="40">
        <f t="shared" si="723"/>
        <v>96.134146359888518</v>
      </c>
      <c r="L167" s="39">
        <f>IFERROR(L7/L39*100,"")</f>
        <v>99.317895885947351</v>
      </c>
      <c r="M167" s="39">
        <f t="shared" si="724"/>
        <v>102.43764286813392</v>
      </c>
      <c r="N167" s="39">
        <f t="shared" si="724"/>
        <v>100.68290848671926</v>
      </c>
      <c r="O167" s="39">
        <f t="shared" si="724"/>
        <v>97.74252089505751</v>
      </c>
      <c r="P167" s="40">
        <f t="shared" si="724"/>
        <v>100.00000000000003</v>
      </c>
      <c r="Q167" s="39">
        <f>IFERROR(Q7/Q39*100,"")</f>
        <v>92.991712684985757</v>
      </c>
      <c r="R167" s="39" t="str">
        <f t="shared" si="725"/>
        <v/>
      </c>
      <c r="S167" s="39">
        <f t="shared" si="725"/>
        <v>109.09945765978031</v>
      </c>
      <c r="T167" s="39">
        <f t="shared" si="725"/>
        <v>100.37553572746762</v>
      </c>
      <c r="U167" s="40" t="str">
        <f t="shared" si="725"/>
        <v/>
      </c>
      <c r="V167" s="39">
        <f>IFERROR(V7/V39*100,"")</f>
        <v>121.3562837426218</v>
      </c>
      <c r="W167" s="39">
        <f t="shared" si="726"/>
        <v>119.64560811158587</v>
      </c>
      <c r="X167" s="39">
        <f t="shared" si="726"/>
        <v>113.2754952048914</v>
      </c>
      <c r="Y167" s="39">
        <f t="shared" si="726"/>
        <v>113.55318682837692</v>
      </c>
      <c r="Z167" s="40">
        <f t="shared" si="726"/>
        <v>116.79265185413965</v>
      </c>
      <c r="AA167" s="39">
        <f>IFERROR(AA7/AA39*100,"")</f>
        <v>117.72250258545239</v>
      </c>
      <c r="AB167" s="39">
        <f t="shared" si="727"/>
        <v>122.43046448655687</v>
      </c>
      <c r="AC167" s="39">
        <f t="shared" si="727"/>
        <v>128.79550135960531</v>
      </c>
      <c r="AD167" s="39">
        <f t="shared" si="727"/>
        <v>131.99349111103137</v>
      </c>
      <c r="AE167" s="40">
        <f t="shared" si="727"/>
        <v>125.53987718796999</v>
      </c>
      <c r="AF167" s="39">
        <f>IFERROR(AF7/AF39*100,"")</f>
        <v>133.04898734781563</v>
      </c>
      <c r="AG167" s="39">
        <f t="shared" si="728"/>
        <v>133.07041817334354</v>
      </c>
      <c r="AH167" s="39">
        <f t="shared" si="728"/>
        <v>133.95589104757451</v>
      </c>
      <c r="AI167" s="39">
        <f t="shared" si="728"/>
        <v>136.93616507277147</v>
      </c>
      <c r="AJ167" s="40">
        <f t="shared" si="728"/>
        <v>134.33533884844331</v>
      </c>
      <c r="AK167" s="39">
        <f>IFERROR(AK7/AK39*100,"")</f>
        <v>140.11926711231058</v>
      </c>
      <c r="AL167" s="39">
        <f t="shared" si="729"/>
        <v>143.14544964931602</v>
      </c>
      <c r="AM167" s="39">
        <f t="shared" si="729"/>
        <v>145.04913036558429</v>
      </c>
      <c r="AN167" s="39">
        <f t="shared" si="729"/>
        <v>147.74536373885061</v>
      </c>
      <c r="AO167" s="40">
        <f t="shared" si="729"/>
        <v>144.17916710863327</v>
      </c>
      <c r="AP167" s="39">
        <f>IFERROR(AP7/AP39*100,"")</f>
        <v>152.26130561353625</v>
      </c>
      <c r="AQ167" s="39">
        <f t="shared" si="730"/>
        <v>151.01241271838776</v>
      </c>
      <c r="AR167" s="39">
        <f t="shared" si="730"/>
        <v>152.26367025976361</v>
      </c>
      <c r="AS167" s="39">
        <f t="shared" si="730"/>
        <v>154.06924534653373</v>
      </c>
      <c r="AT167" s="40">
        <f t="shared" si="730"/>
        <v>152.42272855320687</v>
      </c>
      <c r="AU167" s="39">
        <f>IFERROR(AU7/AU39*100,"")</f>
        <v>155.38925892657062</v>
      </c>
      <c r="AV167" s="39">
        <f t="shared" si="731"/>
        <v>156.17667361769904</v>
      </c>
      <c r="AW167" s="39">
        <f t="shared" si="731"/>
        <v>157.53397616099969</v>
      </c>
      <c r="AX167" s="39">
        <f t="shared" si="731"/>
        <v>157.6808308035842</v>
      </c>
      <c r="AY167" s="40">
        <f t="shared" si="731"/>
        <v>156.74315825836663</v>
      </c>
      <c r="AZ167" s="39">
        <f>IFERROR(AZ7/AZ39*100,"")</f>
        <v>158.3409007918836</v>
      </c>
      <c r="BA167" s="39">
        <f t="shared" si="732"/>
        <v>157.74923002902156</v>
      </c>
      <c r="BB167" s="39">
        <f t="shared" si="732"/>
        <v>157.20286061874162</v>
      </c>
      <c r="BC167" s="39">
        <f t="shared" si="732"/>
        <v>156.79221163722755</v>
      </c>
      <c r="BD167" s="40">
        <f t="shared" si="732"/>
        <v>157.48753002146054</v>
      </c>
      <c r="BE167" s="39">
        <f>IFERROR(BE7/BE39*100,"")</f>
        <v>162.27613731774332</v>
      </c>
      <c r="BF167" s="39">
        <f t="shared" si="733"/>
        <v>162.62249378860238</v>
      </c>
      <c r="BG167" s="39">
        <f t="shared" si="733"/>
        <v>168.68941833710289</v>
      </c>
      <c r="BH167" s="39">
        <f t="shared" si="733"/>
        <v>166.71922883401328</v>
      </c>
      <c r="BI167" s="40">
        <f t="shared" si="733"/>
        <v>165.16441478500937</v>
      </c>
      <c r="BJ167" s="39">
        <f>IFERROR(BJ7/BJ39*100,"")</f>
        <v>162.40178300610754</v>
      </c>
      <c r="BK167" s="39">
        <f t="shared" si="734"/>
        <v>166.46471919375168</v>
      </c>
      <c r="BL167" s="39">
        <f t="shared" si="734"/>
        <v>172.55628678226631</v>
      </c>
      <c r="BM167" s="39">
        <f t="shared" si="734"/>
        <v>172.46822399163486</v>
      </c>
      <c r="BN167" s="40">
        <f t="shared" si="734"/>
        <v>168.50184042042036</v>
      </c>
      <c r="BO167" s="39">
        <f>IFERROR(BO7/BO39*100,"")</f>
        <v>174.94244329614969</v>
      </c>
      <c r="BP167" s="39">
        <f t="shared" si="735"/>
        <v>178.80098198540608</v>
      </c>
      <c r="BQ167" s="39">
        <f t="shared" si="735"/>
        <v>172.43857292807573</v>
      </c>
      <c r="BR167" s="39">
        <f t="shared" si="735"/>
        <v>178.8551017231465</v>
      </c>
      <c r="BS167" s="40">
        <f t="shared" si="735"/>
        <v>176.29415103012116</v>
      </c>
      <c r="BT167" s="39">
        <f>IFERROR(BT7/BT39*100,"")</f>
        <v>183.05529922954557</v>
      </c>
      <c r="BU167" s="39">
        <f t="shared" si="736"/>
        <v>183.59761523948555</v>
      </c>
      <c r="BV167" s="39">
        <f t="shared" si="736"/>
        <v>185.72800421506028</v>
      </c>
      <c r="BW167" s="39">
        <f t="shared" si="736"/>
        <v>186.40202789555724</v>
      </c>
      <c r="BX167" s="40">
        <f t="shared" si="736"/>
        <v>184.71266693646325</v>
      </c>
      <c r="BY167" s="39">
        <f>IFERROR(BY7/BY39*100,"")</f>
        <v>188.75599157414487</v>
      </c>
      <c r="BZ167" s="39">
        <f t="shared" si="737"/>
        <v>190.97123784636628</v>
      </c>
      <c r="CA167" s="39">
        <f t="shared" si="737"/>
        <v>192.26821797174838</v>
      </c>
      <c r="CB167" s="39">
        <f t="shared" si="737"/>
        <v>193.1492339063274</v>
      </c>
      <c r="CC167" s="40">
        <f t="shared" si="737"/>
        <v>191.31088939364028</v>
      </c>
      <c r="CD167" s="39">
        <f>IFERROR(CD7/CD39*100,"")</f>
        <v>192.6551930622019</v>
      </c>
      <c r="CE167" s="39">
        <f t="shared" si="738"/>
        <v>196.52628882414155</v>
      </c>
      <c r="CF167" s="39">
        <f t="shared" si="738"/>
        <v>196.96496313512503</v>
      </c>
      <c r="CG167" s="39">
        <f t="shared" si="738"/>
        <v>193.59383909282838</v>
      </c>
      <c r="CH167" s="40">
        <f t="shared" si="738"/>
        <v>194.92393209525864</v>
      </c>
      <c r="CI167" s="39">
        <f>IFERROR(CI7/CI39*100,"")</f>
        <v>196.66404434873917</v>
      </c>
      <c r="CJ167" s="39">
        <f t="shared" si="739"/>
        <v>202.80663017091172</v>
      </c>
      <c r="CK167" s="39">
        <f t="shared" si="739"/>
        <v>209.14442286975151</v>
      </c>
      <c r="CL167" s="39">
        <f t="shared" si="739"/>
        <v>206.81240130001419</v>
      </c>
      <c r="CM167" s="40">
        <f t="shared" si="739"/>
        <v>203.89080725980313</v>
      </c>
      <c r="CN167" s="39" t="str">
        <f>IFERROR(CN7/CN39*100,"")</f>
        <v/>
      </c>
      <c r="CO167" s="39" t="str">
        <f t="shared" si="740"/>
        <v/>
      </c>
      <c r="CP167" s="39" t="str">
        <f t="shared" si="740"/>
        <v/>
      </c>
      <c r="CQ167" s="39" t="str">
        <f t="shared" si="740"/>
        <v/>
      </c>
      <c r="CR167" s="40" t="str">
        <f t="shared" si="740"/>
        <v/>
      </c>
    </row>
    <row r="168" spans="1:96" s="9" customFormat="1" ht="15" x14ac:dyDescent="0.4">
      <c r="A168" s="18" t="s">
        <v>81</v>
      </c>
      <c r="B168" s="39">
        <f t="shared" ref="B168:BM171" si="741">IFERROR(B8/B40*100,"")</f>
        <v>81.039375767807826</v>
      </c>
      <c r="C168" s="39">
        <f t="shared" si="741"/>
        <v>84.662367357788398</v>
      </c>
      <c r="D168" s="39">
        <f t="shared" si="741"/>
        <v>91.161522856371548</v>
      </c>
      <c r="E168" s="39">
        <f t="shared" si="741"/>
        <v>96.398220168614941</v>
      </c>
      <c r="F168" s="40">
        <f t="shared" si="741"/>
        <v>89.156869754030382</v>
      </c>
      <c r="G168" s="39">
        <f t="shared" si="741"/>
        <v>83.797802354586608</v>
      </c>
      <c r="H168" s="39">
        <f t="shared" si="741"/>
        <v>86.362405787807646</v>
      </c>
      <c r="I168" s="39">
        <f t="shared" si="741"/>
        <v>99.192223014945853</v>
      </c>
      <c r="J168" s="39">
        <f t="shared" si="741"/>
        <v>97.962201838463059</v>
      </c>
      <c r="K168" s="40">
        <f t="shared" si="741"/>
        <v>92.663008597238701</v>
      </c>
      <c r="L168" s="39">
        <f t="shared" si="741"/>
        <v>85.142334073900912</v>
      </c>
      <c r="M168" s="39">
        <f t="shared" si="741"/>
        <v>94.158053507362922</v>
      </c>
      <c r="N168" s="39">
        <f t="shared" si="741"/>
        <v>109.17331559914467</v>
      </c>
      <c r="O168" s="39">
        <f t="shared" si="741"/>
        <v>111.14731750465371</v>
      </c>
      <c r="P168" s="40">
        <f t="shared" si="741"/>
        <v>100</v>
      </c>
      <c r="Q168" s="39">
        <f t="shared" si="741"/>
        <v>91.757176842483418</v>
      </c>
      <c r="R168" s="39" t="str">
        <f t="shared" si="741"/>
        <v/>
      </c>
      <c r="S168" s="39">
        <f t="shared" si="741"/>
        <v>112.72096884352885</v>
      </c>
      <c r="T168" s="39">
        <f t="shared" si="741"/>
        <v>120.04830551846936</v>
      </c>
      <c r="U168" s="40" t="str">
        <f t="shared" si="741"/>
        <v/>
      </c>
      <c r="V168" s="39">
        <f t="shared" si="741"/>
        <v>96.878023267728949</v>
      </c>
      <c r="W168" s="39">
        <f t="shared" si="741"/>
        <v>108.09283407810551</v>
      </c>
      <c r="X168" s="39">
        <f t="shared" si="741"/>
        <v>117.48676217751574</v>
      </c>
      <c r="Y168" s="39">
        <f t="shared" si="741"/>
        <v>116.60093417786173</v>
      </c>
      <c r="Z168" s="40">
        <f t="shared" si="741"/>
        <v>110.38137074230654</v>
      </c>
      <c r="AA168" s="39">
        <f t="shared" si="741"/>
        <v>117.52847559704558</v>
      </c>
      <c r="AB168" s="39">
        <f t="shared" si="741"/>
        <v>118.08689030975026</v>
      </c>
      <c r="AC168" s="39">
        <f t="shared" si="741"/>
        <v>123.34709426958122</v>
      </c>
      <c r="AD168" s="39">
        <f t="shared" si="741"/>
        <v>125.33470608274936</v>
      </c>
      <c r="AE168" s="40">
        <f t="shared" si="741"/>
        <v>121.25757583779124</v>
      </c>
      <c r="AF168" s="39">
        <f t="shared" si="741"/>
        <v>130.08354545792602</v>
      </c>
      <c r="AG168" s="39">
        <f t="shared" si="741"/>
        <v>133.50907187676373</v>
      </c>
      <c r="AH168" s="39">
        <f t="shared" si="741"/>
        <v>134.32137569229661</v>
      </c>
      <c r="AI168" s="39">
        <f t="shared" si="741"/>
        <v>134.93725953916481</v>
      </c>
      <c r="AJ168" s="40">
        <f t="shared" si="741"/>
        <v>133.33010590375284</v>
      </c>
      <c r="AK168" s="39">
        <f t="shared" si="741"/>
        <v>134.14933187933653</v>
      </c>
      <c r="AL168" s="39">
        <f t="shared" si="741"/>
        <v>134.92997440233367</v>
      </c>
      <c r="AM168" s="39">
        <f t="shared" si="741"/>
        <v>137.54191876725352</v>
      </c>
      <c r="AN168" s="39">
        <f t="shared" si="741"/>
        <v>138.61471541345563</v>
      </c>
      <c r="AO168" s="40">
        <f t="shared" si="741"/>
        <v>136.44985272282491</v>
      </c>
      <c r="AP168" s="39">
        <f t="shared" si="741"/>
        <v>143.78203897591965</v>
      </c>
      <c r="AQ168" s="39">
        <f t="shared" si="741"/>
        <v>146.06111479517577</v>
      </c>
      <c r="AR168" s="39">
        <f t="shared" si="741"/>
        <v>147.34774066568423</v>
      </c>
      <c r="AS168" s="39">
        <f t="shared" si="741"/>
        <v>148.26869708407688</v>
      </c>
      <c r="AT168" s="40">
        <f t="shared" si="741"/>
        <v>146.44274528529357</v>
      </c>
      <c r="AU168" s="39">
        <f t="shared" si="741"/>
        <v>148.93964109764724</v>
      </c>
      <c r="AV168" s="39">
        <f t="shared" si="741"/>
        <v>149.99628546059358</v>
      </c>
      <c r="AW168" s="39">
        <f t="shared" si="741"/>
        <v>150.41114399037542</v>
      </c>
      <c r="AX168" s="39">
        <f t="shared" si="741"/>
        <v>150.60196829766642</v>
      </c>
      <c r="AY168" s="40">
        <f t="shared" si="741"/>
        <v>150.01094390210605</v>
      </c>
      <c r="AZ168" s="39">
        <f t="shared" si="741"/>
        <v>151.616912181674</v>
      </c>
      <c r="BA168" s="39">
        <f t="shared" si="741"/>
        <v>152.93912819322566</v>
      </c>
      <c r="BB168" s="39">
        <f t="shared" si="741"/>
        <v>157.62838368780208</v>
      </c>
      <c r="BC168" s="39">
        <f t="shared" si="741"/>
        <v>157.45495512918407</v>
      </c>
      <c r="BD168" s="40">
        <f t="shared" si="741"/>
        <v>155.01393552234032</v>
      </c>
      <c r="BE168" s="39">
        <f t="shared" si="741"/>
        <v>160.16945018436485</v>
      </c>
      <c r="BF168" s="39">
        <f t="shared" si="741"/>
        <v>165.36510222361673</v>
      </c>
      <c r="BG168" s="39">
        <f t="shared" si="741"/>
        <v>164.7012419745603</v>
      </c>
      <c r="BH168" s="39">
        <f t="shared" si="741"/>
        <v>165.15135256830683</v>
      </c>
      <c r="BI168" s="40">
        <f t="shared" si="741"/>
        <v>163.93103227627481</v>
      </c>
      <c r="BJ168" s="39">
        <f t="shared" si="741"/>
        <v>167.92867972023208</v>
      </c>
      <c r="BK168" s="39">
        <f t="shared" si="741"/>
        <v>169.71965857481104</v>
      </c>
      <c r="BL168" s="39">
        <f t="shared" si="741"/>
        <v>171.02803068606286</v>
      </c>
      <c r="BM168" s="39">
        <f t="shared" si="741"/>
        <v>172.8454187429453</v>
      </c>
      <c r="BN168" s="40">
        <f t="shared" si="734"/>
        <v>170.19277840492333</v>
      </c>
      <c r="BO168" s="39">
        <f t="shared" si="734"/>
        <v>173.30984647239836</v>
      </c>
      <c r="BP168" s="39">
        <f t="shared" si="734"/>
        <v>174.78435032253913</v>
      </c>
      <c r="BQ168" s="39">
        <f t="shared" si="734"/>
        <v>175.68231362634961</v>
      </c>
      <c r="BR168" s="39">
        <f t="shared" si="734"/>
        <v>176.17858435022612</v>
      </c>
      <c r="BS168" s="40">
        <f t="shared" si="734"/>
        <v>175.01993767998027</v>
      </c>
      <c r="BT168" s="39">
        <f t="shared" si="734"/>
        <v>179.93451367160083</v>
      </c>
      <c r="BU168" s="39">
        <f t="shared" si="734"/>
        <v>183.43135727087184</v>
      </c>
      <c r="BV168" s="39">
        <f t="shared" si="734"/>
        <v>186.82232645286552</v>
      </c>
      <c r="BW168" s="39">
        <f t="shared" si="734"/>
        <v>187.0846170796346</v>
      </c>
      <c r="BX168" s="40">
        <f t="shared" si="734"/>
        <v>184.44444444444426</v>
      </c>
      <c r="BY168" s="39">
        <f t="shared" si="734"/>
        <v>185.89476550393812</v>
      </c>
      <c r="BZ168" s="39">
        <f t="shared" si="734"/>
        <v>186.10663680059812</v>
      </c>
      <c r="CA168" s="39">
        <f t="shared" si="737"/>
        <v>185.70138438973513</v>
      </c>
      <c r="CB168" s="39">
        <f t="shared" si="737"/>
        <v>185.93466297090288</v>
      </c>
      <c r="CC168" s="40">
        <f t="shared" si="737"/>
        <v>185.90955525489531</v>
      </c>
      <c r="CD168" s="39">
        <f t="shared" si="737"/>
        <v>185.97429941973442</v>
      </c>
      <c r="CE168" s="39">
        <f t="shared" si="737"/>
        <v>187.6072527500194</v>
      </c>
      <c r="CF168" s="39">
        <f t="shared" si="738"/>
        <v>188.45431311002341</v>
      </c>
      <c r="CG168" s="39">
        <f t="shared" si="738"/>
        <v>188.75633264903882</v>
      </c>
      <c r="CH168" s="40">
        <f t="shared" si="738"/>
        <v>187.70858266491302</v>
      </c>
      <c r="CI168" s="39">
        <f t="shared" si="738"/>
        <v>189.59676244451401</v>
      </c>
      <c r="CJ168" s="39">
        <f t="shared" si="738"/>
        <v>188.59525329281661</v>
      </c>
      <c r="CK168" s="39">
        <f t="shared" si="739"/>
        <v>190.13623347087039</v>
      </c>
      <c r="CL168" s="39">
        <f t="shared" si="739"/>
        <v>188.74430373749854</v>
      </c>
      <c r="CM168" s="40">
        <f t="shared" si="739"/>
        <v>189.25793377167622</v>
      </c>
      <c r="CN168" s="39" t="str">
        <f t="shared" si="739"/>
        <v/>
      </c>
      <c r="CO168" s="39" t="str">
        <f t="shared" si="739"/>
        <v/>
      </c>
      <c r="CP168" s="39" t="str">
        <f t="shared" si="739"/>
        <v/>
      </c>
      <c r="CQ168" s="39" t="str">
        <f t="shared" si="739"/>
        <v/>
      </c>
      <c r="CR168" s="40" t="str">
        <f t="shared" si="739"/>
        <v/>
      </c>
    </row>
    <row r="169" spans="1:96" s="9" customFormat="1" ht="15" x14ac:dyDescent="0.4">
      <c r="A169" s="18" t="s">
        <v>82</v>
      </c>
      <c r="B169" s="39">
        <f t="shared" si="741"/>
        <v>93.34157959730075</v>
      </c>
      <c r="C169" s="39">
        <f t="shared" si="741"/>
        <v>91.899297462430809</v>
      </c>
      <c r="D169" s="39">
        <f t="shared" si="741"/>
        <v>93.962287689317719</v>
      </c>
      <c r="E169" s="39">
        <f t="shared" si="741"/>
        <v>90.758556239042179</v>
      </c>
      <c r="F169" s="40">
        <f t="shared" si="741"/>
        <v>92.441063414846624</v>
      </c>
      <c r="G169" s="39">
        <f t="shared" si="741"/>
        <v>95.712645170347344</v>
      </c>
      <c r="H169" s="39">
        <f t="shared" si="741"/>
        <v>95.634943378414789</v>
      </c>
      <c r="I169" s="39">
        <f t="shared" si="741"/>
        <v>95.246747911221533</v>
      </c>
      <c r="J169" s="39">
        <f t="shared" si="741"/>
        <v>98.513805670274294</v>
      </c>
      <c r="K169" s="40">
        <f t="shared" si="741"/>
        <v>96.289778866860772</v>
      </c>
      <c r="L169" s="39">
        <f t="shared" si="741"/>
        <v>99.030299743300603</v>
      </c>
      <c r="M169" s="39">
        <f t="shared" si="741"/>
        <v>100.177997278896</v>
      </c>
      <c r="N169" s="39">
        <f t="shared" si="741"/>
        <v>100.95912889330914</v>
      </c>
      <c r="O169" s="39">
        <f t="shared" si="741"/>
        <v>99.810265214889171</v>
      </c>
      <c r="P169" s="40">
        <f t="shared" si="741"/>
        <v>100.00000000000003</v>
      </c>
      <c r="Q169" s="39">
        <f t="shared" si="741"/>
        <v>101.80370954634074</v>
      </c>
      <c r="R169" s="39" t="str">
        <f t="shared" si="741"/>
        <v/>
      </c>
      <c r="S169" s="39">
        <f t="shared" si="741"/>
        <v>107.66688141471619</v>
      </c>
      <c r="T169" s="39">
        <f t="shared" si="741"/>
        <v>105.01641739838415</v>
      </c>
      <c r="U169" s="40" t="str">
        <f t="shared" si="741"/>
        <v/>
      </c>
      <c r="V169" s="39">
        <f t="shared" si="741"/>
        <v>102.09606735401144</v>
      </c>
      <c r="W169" s="39">
        <f t="shared" si="741"/>
        <v>115.24683699322256</v>
      </c>
      <c r="X169" s="39">
        <f t="shared" si="741"/>
        <v>123.8180471953076</v>
      </c>
      <c r="Y169" s="39">
        <f t="shared" si="741"/>
        <v>122.21637096713198</v>
      </c>
      <c r="Z169" s="40">
        <f t="shared" si="741"/>
        <v>116.17683268538957</v>
      </c>
      <c r="AA169" s="39">
        <f t="shared" si="741"/>
        <v>123.44502551815843</v>
      </c>
      <c r="AB169" s="39">
        <f t="shared" si="741"/>
        <v>124.92055163658986</v>
      </c>
      <c r="AC169" s="39">
        <f t="shared" si="741"/>
        <v>126.2721855466371</v>
      </c>
      <c r="AD169" s="39">
        <f t="shared" si="741"/>
        <v>127.10471793358866</v>
      </c>
      <c r="AE169" s="40">
        <f t="shared" si="741"/>
        <v>125.4980537515976</v>
      </c>
      <c r="AF169" s="39">
        <f t="shared" si="741"/>
        <v>130.09338480779104</v>
      </c>
      <c r="AG169" s="39">
        <f t="shared" si="741"/>
        <v>132.11166987183981</v>
      </c>
      <c r="AH169" s="39">
        <f t="shared" si="741"/>
        <v>133.60239620050217</v>
      </c>
      <c r="AI169" s="39">
        <f t="shared" si="741"/>
        <v>133.53340089891859</v>
      </c>
      <c r="AJ169" s="40">
        <f t="shared" si="741"/>
        <v>132.41531864282808</v>
      </c>
      <c r="AK169" s="39">
        <f t="shared" si="741"/>
        <v>134.42699014715882</v>
      </c>
      <c r="AL169" s="39">
        <f t="shared" si="741"/>
        <v>134.94078016918277</v>
      </c>
      <c r="AM169" s="39">
        <f t="shared" si="741"/>
        <v>136.15261552578141</v>
      </c>
      <c r="AN169" s="39">
        <f t="shared" si="741"/>
        <v>137.80780201491814</v>
      </c>
      <c r="AO169" s="40">
        <f t="shared" si="741"/>
        <v>135.89025476385018</v>
      </c>
      <c r="AP169" s="39">
        <f t="shared" si="741"/>
        <v>140.22837792262769</v>
      </c>
      <c r="AQ169" s="39">
        <f t="shared" si="741"/>
        <v>140.52678180671759</v>
      </c>
      <c r="AR169" s="39">
        <f t="shared" si="741"/>
        <v>142.04106125491182</v>
      </c>
      <c r="AS169" s="39">
        <f t="shared" si="741"/>
        <v>143.08386697045731</v>
      </c>
      <c r="AT169" s="40">
        <f t="shared" si="741"/>
        <v>141.50681923444307</v>
      </c>
      <c r="AU169" s="39">
        <f t="shared" si="741"/>
        <v>143.26583046919248</v>
      </c>
      <c r="AV169" s="39">
        <f t="shared" si="741"/>
        <v>144.60633543960631</v>
      </c>
      <c r="AW169" s="39">
        <f t="shared" si="741"/>
        <v>145.76230472982854</v>
      </c>
      <c r="AX169" s="39">
        <f t="shared" si="741"/>
        <v>147.58919018844924</v>
      </c>
      <c r="AY169" s="40">
        <f t="shared" si="741"/>
        <v>145.3444209474101</v>
      </c>
      <c r="AZ169" s="39">
        <f t="shared" si="741"/>
        <v>147.66237622710739</v>
      </c>
      <c r="BA169" s="39">
        <f t="shared" si="741"/>
        <v>148.80485849469105</v>
      </c>
      <c r="BB169" s="39">
        <f t="shared" si="741"/>
        <v>148.87632623311063</v>
      </c>
      <c r="BC169" s="39">
        <f t="shared" si="741"/>
        <v>149.94570436816591</v>
      </c>
      <c r="BD169" s="40">
        <f t="shared" si="741"/>
        <v>148.8441418455385</v>
      </c>
      <c r="BE169" s="39">
        <f t="shared" si="741"/>
        <v>150.83538256203553</v>
      </c>
      <c r="BF169" s="39">
        <f t="shared" si="741"/>
        <v>150.44249899267959</v>
      </c>
      <c r="BG169" s="39">
        <f t="shared" si="741"/>
        <v>150.91107893260536</v>
      </c>
      <c r="BH169" s="39">
        <f t="shared" si="741"/>
        <v>151.16889033607359</v>
      </c>
      <c r="BI169" s="40">
        <f t="shared" si="741"/>
        <v>150.84342007000521</v>
      </c>
      <c r="BJ169" s="39">
        <f t="shared" si="741"/>
        <v>152.85512945060387</v>
      </c>
      <c r="BK169" s="39">
        <f t="shared" si="741"/>
        <v>150.74639367540985</v>
      </c>
      <c r="BL169" s="39">
        <f t="shared" si="741"/>
        <v>153.89380691198997</v>
      </c>
      <c r="BM169" s="39">
        <f t="shared" si="741"/>
        <v>152.41338394076791</v>
      </c>
      <c r="BN169" s="40">
        <f t="shared" si="734"/>
        <v>152.47502487700785</v>
      </c>
      <c r="BO169" s="39">
        <f t="shared" si="734"/>
        <v>156.08091116185781</v>
      </c>
      <c r="BP169" s="39">
        <f t="shared" si="734"/>
        <v>156.34593798460105</v>
      </c>
      <c r="BQ169" s="39">
        <f t="shared" si="734"/>
        <v>156.48716306695204</v>
      </c>
      <c r="BR169" s="39">
        <f t="shared" si="734"/>
        <v>158.99372237398296</v>
      </c>
      <c r="BS169" s="40">
        <f t="shared" si="734"/>
        <v>156.98236348349312</v>
      </c>
      <c r="BT169" s="39">
        <f t="shared" si="734"/>
        <v>159.65930787414314</v>
      </c>
      <c r="BU169" s="39">
        <f t="shared" si="734"/>
        <v>161.96315423058704</v>
      </c>
      <c r="BV169" s="39">
        <f t="shared" si="734"/>
        <v>162.02002679531677</v>
      </c>
      <c r="BW169" s="39">
        <f t="shared" si="734"/>
        <v>162.99343242389864</v>
      </c>
      <c r="BX169" s="40">
        <f t="shared" si="734"/>
        <v>161.69978590875303</v>
      </c>
      <c r="BY169" s="39">
        <f t="shared" si="734"/>
        <v>163.4721647186006</v>
      </c>
      <c r="BZ169" s="39">
        <f t="shared" si="734"/>
        <v>163.82972258587819</v>
      </c>
      <c r="CA169" s="39">
        <f t="shared" si="737"/>
        <v>165.73790310708546</v>
      </c>
      <c r="CB169" s="39">
        <f t="shared" si="737"/>
        <v>166.15495400579883</v>
      </c>
      <c r="CC169" s="40">
        <f t="shared" si="737"/>
        <v>164.81460838262942</v>
      </c>
      <c r="CD169" s="39">
        <f t="shared" si="737"/>
        <v>166.78009108151642</v>
      </c>
      <c r="CE169" s="39">
        <f t="shared" si="737"/>
        <v>167.88610373421614</v>
      </c>
      <c r="CF169" s="39">
        <f t="shared" si="738"/>
        <v>169.48449739898231</v>
      </c>
      <c r="CG169" s="39">
        <f t="shared" si="738"/>
        <v>169.61171656473891</v>
      </c>
      <c r="CH169" s="40">
        <f t="shared" si="738"/>
        <v>168.44249336487385</v>
      </c>
      <c r="CI169" s="39">
        <f t="shared" si="738"/>
        <v>155.88959837156199</v>
      </c>
      <c r="CJ169" s="39">
        <f t="shared" si="738"/>
        <v>171.49407612258833</v>
      </c>
      <c r="CK169" s="39">
        <f t="shared" si="739"/>
        <v>170.91231788747584</v>
      </c>
      <c r="CL169" s="39">
        <f t="shared" si="739"/>
        <v>171.24990049065465</v>
      </c>
      <c r="CM169" s="40">
        <f t="shared" si="739"/>
        <v>167.45078416133529</v>
      </c>
      <c r="CN169" s="39" t="str">
        <f t="shared" si="739"/>
        <v/>
      </c>
      <c r="CO169" s="39" t="str">
        <f t="shared" si="739"/>
        <v/>
      </c>
      <c r="CP169" s="39" t="str">
        <f t="shared" si="739"/>
        <v/>
      </c>
      <c r="CQ169" s="39" t="str">
        <f t="shared" si="739"/>
        <v/>
      </c>
      <c r="CR169" s="40" t="str">
        <f t="shared" si="739"/>
        <v/>
      </c>
    </row>
    <row r="170" spans="1:96" s="9" customFormat="1" ht="15" x14ac:dyDescent="0.4">
      <c r="A170" s="18" t="s">
        <v>83</v>
      </c>
      <c r="B170" s="39">
        <f t="shared" si="741"/>
        <v>86.744272454053856</v>
      </c>
      <c r="C170" s="39">
        <f t="shared" si="741"/>
        <v>89.741689031216097</v>
      </c>
      <c r="D170" s="39">
        <f t="shared" si="741"/>
        <v>90.893889563485502</v>
      </c>
      <c r="E170" s="39">
        <f t="shared" si="741"/>
        <v>92.31646314108059</v>
      </c>
      <c r="F170" s="40">
        <f t="shared" si="741"/>
        <v>90.032654620649339</v>
      </c>
      <c r="G170" s="39">
        <f t="shared" si="741"/>
        <v>91.154670813562944</v>
      </c>
      <c r="H170" s="39">
        <f t="shared" si="741"/>
        <v>90.514037454726875</v>
      </c>
      <c r="I170" s="39">
        <f t="shared" si="741"/>
        <v>96.397299248566213</v>
      </c>
      <c r="J170" s="39">
        <f t="shared" si="741"/>
        <v>99.318274026198424</v>
      </c>
      <c r="K170" s="40">
        <f t="shared" si="741"/>
        <v>94.532172117171712</v>
      </c>
      <c r="L170" s="39">
        <f t="shared" si="741"/>
        <v>89.851059139606335</v>
      </c>
      <c r="M170" s="39">
        <f t="shared" si="741"/>
        <v>100.10987789884416</v>
      </c>
      <c r="N170" s="39">
        <f t="shared" si="741"/>
        <v>106.4239986854942</v>
      </c>
      <c r="O170" s="39">
        <f t="shared" si="741"/>
        <v>103.25793710041253</v>
      </c>
      <c r="P170" s="40">
        <f t="shared" si="741"/>
        <v>99.999999999999972</v>
      </c>
      <c r="Q170" s="39">
        <f t="shared" si="741"/>
        <v>96.957899646840914</v>
      </c>
      <c r="R170" s="39" t="str">
        <f t="shared" si="741"/>
        <v/>
      </c>
      <c r="S170" s="39">
        <f t="shared" si="741"/>
        <v>107.74446163678779</v>
      </c>
      <c r="T170" s="39">
        <f t="shared" si="741"/>
        <v>115.06648470186838</v>
      </c>
      <c r="U170" s="40" t="str">
        <f t="shared" si="741"/>
        <v/>
      </c>
      <c r="V170" s="39">
        <f t="shared" si="741"/>
        <v>105.36154325688163</v>
      </c>
      <c r="W170" s="39">
        <f t="shared" si="741"/>
        <v>108.29705052805497</v>
      </c>
      <c r="X170" s="39">
        <f t="shared" si="741"/>
        <v>116.71717695834303</v>
      </c>
      <c r="Y170" s="39">
        <f t="shared" si="741"/>
        <v>118.71138383769232</v>
      </c>
      <c r="Z170" s="40">
        <f t="shared" si="741"/>
        <v>112.65348577448353</v>
      </c>
      <c r="AA170" s="39">
        <f t="shared" si="741"/>
        <v>119.23516733727959</v>
      </c>
      <c r="AB170" s="39">
        <f t="shared" si="741"/>
        <v>120.41127447187685</v>
      </c>
      <c r="AC170" s="39">
        <f t="shared" si="741"/>
        <v>122.94591832357784</v>
      </c>
      <c r="AD170" s="39">
        <f t="shared" si="741"/>
        <v>126.73685850818819</v>
      </c>
      <c r="AE170" s="40">
        <f t="shared" si="741"/>
        <v>122.47951523901777</v>
      </c>
      <c r="AF170" s="39">
        <f t="shared" si="741"/>
        <v>132.32971524038953</v>
      </c>
      <c r="AG170" s="39">
        <f t="shared" si="741"/>
        <v>133.27757578140117</v>
      </c>
      <c r="AH170" s="39">
        <f t="shared" si="741"/>
        <v>134.52522793142109</v>
      </c>
      <c r="AI170" s="39">
        <f t="shared" si="741"/>
        <v>136.31294978906382</v>
      </c>
      <c r="AJ170" s="40">
        <f t="shared" si="741"/>
        <v>134.17525727643033</v>
      </c>
      <c r="AK170" s="39">
        <f t="shared" si="741"/>
        <v>136.65954646004835</v>
      </c>
      <c r="AL170" s="39">
        <f t="shared" si="741"/>
        <v>137.78667385970388</v>
      </c>
      <c r="AM170" s="39">
        <f t="shared" si="741"/>
        <v>139.00956328019956</v>
      </c>
      <c r="AN170" s="39">
        <f t="shared" si="741"/>
        <v>141.1556725960578</v>
      </c>
      <c r="AO170" s="40">
        <f t="shared" si="741"/>
        <v>138.73218738600008</v>
      </c>
      <c r="AP170" s="39">
        <f t="shared" si="741"/>
        <v>141.41612964242125</v>
      </c>
      <c r="AQ170" s="39">
        <f t="shared" si="741"/>
        <v>141.7488201119256</v>
      </c>
      <c r="AR170" s="39">
        <f t="shared" si="741"/>
        <v>142.21306871498132</v>
      </c>
      <c r="AS170" s="39">
        <f t="shared" si="741"/>
        <v>144.19241732630812</v>
      </c>
      <c r="AT170" s="40">
        <f t="shared" si="741"/>
        <v>142.42022632676844</v>
      </c>
      <c r="AU170" s="39">
        <f t="shared" si="741"/>
        <v>146.2664157835614</v>
      </c>
      <c r="AV170" s="39">
        <f t="shared" si="741"/>
        <v>148.16533950319436</v>
      </c>
      <c r="AW170" s="39">
        <f t="shared" si="741"/>
        <v>150.11788041323393</v>
      </c>
      <c r="AX170" s="39">
        <f t="shared" si="741"/>
        <v>151.68059564753321</v>
      </c>
      <c r="AY170" s="40">
        <f t="shared" si="741"/>
        <v>149.11710461632347</v>
      </c>
      <c r="AZ170" s="39">
        <f t="shared" si="741"/>
        <v>152.59694114366383</v>
      </c>
      <c r="BA170" s="39">
        <f t="shared" si="741"/>
        <v>154.17633986665322</v>
      </c>
      <c r="BB170" s="39">
        <f t="shared" si="741"/>
        <v>155.45675229030707</v>
      </c>
      <c r="BC170" s="39">
        <f t="shared" si="741"/>
        <v>156.50150401352735</v>
      </c>
      <c r="BD170" s="40">
        <f t="shared" si="741"/>
        <v>154.74796075311338</v>
      </c>
      <c r="BE170" s="39">
        <f t="shared" si="741"/>
        <v>157.21970367201982</v>
      </c>
      <c r="BF170" s="39">
        <f t="shared" si="741"/>
        <v>157.58237980976659</v>
      </c>
      <c r="BG170" s="39">
        <f t="shared" si="741"/>
        <v>158.09975937429803</v>
      </c>
      <c r="BH170" s="39">
        <f t="shared" si="741"/>
        <v>160.04765334110772</v>
      </c>
      <c r="BI170" s="40">
        <f t="shared" si="741"/>
        <v>158.28697177467049</v>
      </c>
      <c r="BJ170" s="39">
        <f t="shared" si="741"/>
        <v>162.55763905292133</v>
      </c>
      <c r="BK170" s="39">
        <f t="shared" si="741"/>
        <v>164.60384413322024</v>
      </c>
      <c r="BL170" s="39">
        <f t="shared" si="741"/>
        <v>164.07283168381321</v>
      </c>
      <c r="BM170" s="39">
        <f t="shared" si="741"/>
        <v>166.95967266544511</v>
      </c>
      <c r="BN170" s="40">
        <f t="shared" si="734"/>
        <v>164.60565467535258</v>
      </c>
      <c r="BO170" s="39">
        <f t="shared" si="734"/>
        <v>165.82265772708448</v>
      </c>
      <c r="BP170" s="39">
        <f t="shared" si="734"/>
        <v>170.56066972922909</v>
      </c>
      <c r="BQ170" s="39">
        <f t="shared" si="734"/>
        <v>167.73872310457841</v>
      </c>
      <c r="BR170" s="39">
        <f t="shared" si="734"/>
        <v>172.61385850896437</v>
      </c>
      <c r="BS170" s="40">
        <f t="shared" si="734"/>
        <v>169.24642690323969</v>
      </c>
      <c r="BT170" s="39">
        <f t="shared" si="734"/>
        <v>173.188197184014</v>
      </c>
      <c r="BU170" s="39">
        <f t="shared" si="734"/>
        <v>173.92199586011884</v>
      </c>
      <c r="BV170" s="39">
        <f t="shared" si="734"/>
        <v>174.88484074300027</v>
      </c>
      <c r="BW170" s="39">
        <f t="shared" si="734"/>
        <v>175.76231948759738</v>
      </c>
      <c r="BX170" s="40">
        <f t="shared" si="734"/>
        <v>174.46808510638331</v>
      </c>
      <c r="BY170" s="39">
        <f t="shared" si="734"/>
        <v>176.42381211720374</v>
      </c>
      <c r="BZ170" s="39">
        <f t="shared" si="734"/>
        <v>177.70959143475235</v>
      </c>
      <c r="CA170" s="39">
        <f t="shared" si="737"/>
        <v>178.81013401590596</v>
      </c>
      <c r="CB170" s="39">
        <f t="shared" si="737"/>
        <v>180.22726102035844</v>
      </c>
      <c r="CC170" s="40">
        <f t="shared" si="737"/>
        <v>178.32001525437974</v>
      </c>
      <c r="CD170" s="39">
        <f t="shared" si="737"/>
        <v>180.59448066568581</v>
      </c>
      <c r="CE170" s="39">
        <f t="shared" si="737"/>
        <v>181.35406642578903</v>
      </c>
      <c r="CF170" s="39">
        <f t="shared" si="738"/>
        <v>182.29806875183388</v>
      </c>
      <c r="CG170" s="39">
        <f t="shared" si="738"/>
        <v>185.03553339132731</v>
      </c>
      <c r="CH170" s="40">
        <f t="shared" si="738"/>
        <v>182.34031231481339</v>
      </c>
      <c r="CI170" s="39">
        <f t="shared" si="738"/>
        <v>186.22151284609714</v>
      </c>
      <c r="CJ170" s="39">
        <f t="shared" si="738"/>
        <v>190.71733883386105</v>
      </c>
      <c r="CK170" s="39">
        <f t="shared" si="739"/>
        <v>193.49012262510243</v>
      </c>
      <c r="CL170" s="39">
        <f t="shared" si="739"/>
        <v>198.79759435656814</v>
      </c>
      <c r="CM170" s="40">
        <f t="shared" si="739"/>
        <v>192.36159520255373</v>
      </c>
      <c r="CN170" s="39" t="str">
        <f t="shared" si="739"/>
        <v/>
      </c>
      <c r="CO170" s="39" t="str">
        <f t="shared" si="739"/>
        <v/>
      </c>
      <c r="CP170" s="39" t="str">
        <f t="shared" si="739"/>
        <v/>
      </c>
      <c r="CQ170" s="39" t="str">
        <f t="shared" si="739"/>
        <v/>
      </c>
      <c r="CR170" s="40" t="str">
        <f t="shared" si="739"/>
        <v/>
      </c>
    </row>
    <row r="171" spans="1:96" s="9" customFormat="1" ht="15" x14ac:dyDescent="0.4">
      <c r="A171" s="18" t="s">
        <v>84</v>
      </c>
      <c r="B171" s="39">
        <f t="shared" si="741"/>
        <v>89.877067187138522</v>
      </c>
      <c r="C171" s="39">
        <f t="shared" si="741"/>
        <v>89.625715441153247</v>
      </c>
      <c r="D171" s="39">
        <f t="shared" si="741"/>
        <v>92.533962695750091</v>
      </c>
      <c r="E171" s="39">
        <f t="shared" si="741"/>
        <v>91.946504047041216</v>
      </c>
      <c r="F171" s="40">
        <f t="shared" si="741"/>
        <v>91.014394778216797</v>
      </c>
      <c r="G171" s="39">
        <f t="shared" si="741"/>
        <v>92.469560103283172</v>
      </c>
      <c r="H171" s="39">
        <f t="shared" si="741"/>
        <v>90.3104691740552</v>
      </c>
      <c r="I171" s="39">
        <f t="shared" si="741"/>
        <v>95.048043210397068</v>
      </c>
      <c r="J171" s="39">
        <f t="shared" si="741"/>
        <v>97.217999919954295</v>
      </c>
      <c r="K171" s="40">
        <f t="shared" si="741"/>
        <v>93.864820838572825</v>
      </c>
      <c r="L171" s="39">
        <f t="shared" si="741"/>
        <v>103.33893524559494</v>
      </c>
      <c r="M171" s="39">
        <f t="shared" si="741"/>
        <v>96.283715992123902</v>
      </c>
      <c r="N171" s="39">
        <f t="shared" si="741"/>
        <v>96.848597036802374</v>
      </c>
      <c r="O171" s="39">
        <f t="shared" si="741"/>
        <v>103.36060670394289</v>
      </c>
      <c r="P171" s="40">
        <f t="shared" si="741"/>
        <v>100.00000000000003</v>
      </c>
      <c r="Q171" s="39">
        <f t="shared" si="741"/>
        <v>107.25365683122519</v>
      </c>
      <c r="R171" s="39" t="str">
        <f t="shared" si="741"/>
        <v/>
      </c>
      <c r="S171" s="39">
        <f t="shared" si="741"/>
        <v>97.612020639009032</v>
      </c>
      <c r="T171" s="39">
        <f t="shared" si="741"/>
        <v>125.0758602852229</v>
      </c>
      <c r="U171" s="40" t="str">
        <f t="shared" si="741"/>
        <v/>
      </c>
      <c r="V171" s="39">
        <f t="shared" si="741"/>
        <v>110.74005634156312</v>
      </c>
      <c r="W171" s="39">
        <f t="shared" si="741"/>
        <v>106.91861190853149</v>
      </c>
      <c r="X171" s="39">
        <f t="shared" si="741"/>
        <v>114.73555964640047</v>
      </c>
      <c r="Y171" s="39">
        <f t="shared" si="741"/>
        <v>116.15511677086249</v>
      </c>
      <c r="Z171" s="40">
        <f t="shared" si="741"/>
        <v>112.41926620433675</v>
      </c>
      <c r="AA171" s="39">
        <f t="shared" si="741"/>
        <v>117.27132908842188</v>
      </c>
      <c r="AB171" s="39">
        <f t="shared" si="741"/>
        <v>120.68627894088586</v>
      </c>
      <c r="AC171" s="39">
        <f t="shared" si="741"/>
        <v>122.57550273201903</v>
      </c>
      <c r="AD171" s="39">
        <f t="shared" si="741"/>
        <v>125.13001310272169</v>
      </c>
      <c r="AE171" s="40">
        <f t="shared" si="741"/>
        <v>121.5796604761245</v>
      </c>
      <c r="AF171" s="39">
        <f t="shared" si="741"/>
        <v>125.40532360030573</v>
      </c>
      <c r="AG171" s="39">
        <f t="shared" si="741"/>
        <v>126.36699086951751</v>
      </c>
      <c r="AH171" s="39">
        <f t="shared" si="741"/>
        <v>127.84299956192224</v>
      </c>
      <c r="AI171" s="39">
        <f t="shared" si="741"/>
        <v>130.69170571934353</v>
      </c>
      <c r="AJ171" s="40">
        <f t="shared" si="741"/>
        <v>127.69701855765373</v>
      </c>
      <c r="AK171" s="39">
        <f t="shared" si="741"/>
        <v>135.18483220200943</v>
      </c>
      <c r="AL171" s="39">
        <f t="shared" si="741"/>
        <v>138.53863877629519</v>
      </c>
      <c r="AM171" s="39">
        <f t="shared" si="741"/>
        <v>141.68556428195376</v>
      </c>
      <c r="AN171" s="39">
        <f t="shared" si="741"/>
        <v>143.90165002488914</v>
      </c>
      <c r="AO171" s="40">
        <f t="shared" si="741"/>
        <v>139.95832332600489</v>
      </c>
      <c r="AP171" s="39">
        <f t="shared" si="741"/>
        <v>144.30304831332492</v>
      </c>
      <c r="AQ171" s="39">
        <f t="shared" si="741"/>
        <v>146.54949898823889</v>
      </c>
      <c r="AR171" s="39">
        <f t="shared" si="741"/>
        <v>151.90920870801224</v>
      </c>
      <c r="AS171" s="39">
        <f t="shared" si="741"/>
        <v>154.36877249719927</v>
      </c>
      <c r="AT171" s="40">
        <f t="shared" si="741"/>
        <v>149.44134251742454</v>
      </c>
      <c r="AU171" s="39">
        <f t="shared" si="741"/>
        <v>155.22900219268959</v>
      </c>
      <c r="AV171" s="39">
        <f t="shared" si="741"/>
        <v>156.47123976002391</v>
      </c>
      <c r="AW171" s="39">
        <f t="shared" si="741"/>
        <v>158.15624908871379</v>
      </c>
      <c r="AX171" s="39">
        <f t="shared" si="741"/>
        <v>159.79451925781609</v>
      </c>
      <c r="AY171" s="40">
        <f t="shared" si="741"/>
        <v>157.46340299642833</v>
      </c>
      <c r="AZ171" s="39">
        <f t="shared" si="741"/>
        <v>160.88039475212906</v>
      </c>
      <c r="BA171" s="39">
        <f t="shared" si="741"/>
        <v>163.45488988644001</v>
      </c>
      <c r="BB171" s="39">
        <f t="shared" si="741"/>
        <v>163.94391310641669</v>
      </c>
      <c r="BC171" s="39">
        <f t="shared" si="741"/>
        <v>166.63953231136239</v>
      </c>
      <c r="BD171" s="40">
        <f t="shared" si="741"/>
        <v>163.79869607002442</v>
      </c>
      <c r="BE171" s="39">
        <f t="shared" si="741"/>
        <v>167.13641723693803</v>
      </c>
      <c r="BF171" s="39">
        <f t="shared" si="741"/>
        <v>167.2432801643163</v>
      </c>
      <c r="BG171" s="39">
        <f t="shared" si="741"/>
        <v>165.58177713906019</v>
      </c>
      <c r="BH171" s="39">
        <f t="shared" si="741"/>
        <v>166.02545490336388</v>
      </c>
      <c r="BI171" s="40">
        <f t="shared" si="741"/>
        <v>166.47435906179814</v>
      </c>
      <c r="BJ171" s="39">
        <f t="shared" si="741"/>
        <v>168.86932379813314</v>
      </c>
      <c r="BK171" s="39">
        <f t="shared" si="741"/>
        <v>167.83918130493399</v>
      </c>
      <c r="BL171" s="39">
        <f t="shared" si="741"/>
        <v>167.21144490940699</v>
      </c>
      <c r="BM171" s="39">
        <f t="shared" ref="BM171:CB173" si="742">IFERROR(BM11/BM43*100,"")</f>
        <v>171.82304695662864</v>
      </c>
      <c r="BN171" s="40">
        <f t="shared" si="742"/>
        <v>168.96377115237811</v>
      </c>
      <c r="BO171" s="39">
        <f t="shared" si="742"/>
        <v>172.61519478553004</v>
      </c>
      <c r="BP171" s="39">
        <f t="shared" si="742"/>
        <v>174.96796700448047</v>
      </c>
      <c r="BQ171" s="39">
        <f t="shared" si="742"/>
        <v>178.31730531268815</v>
      </c>
      <c r="BR171" s="39">
        <f t="shared" si="742"/>
        <v>181.24455604435894</v>
      </c>
      <c r="BS171" s="40">
        <f t="shared" si="742"/>
        <v>176.86746538178633</v>
      </c>
      <c r="BT171" s="39">
        <f t="shared" si="742"/>
        <v>182.4513557842742</v>
      </c>
      <c r="BU171" s="39">
        <f t="shared" si="742"/>
        <v>187.91293656825087</v>
      </c>
      <c r="BV171" s="39">
        <f t="shared" si="742"/>
        <v>190.85752046902263</v>
      </c>
      <c r="BW171" s="39">
        <f t="shared" si="742"/>
        <v>192.91533322139921</v>
      </c>
      <c r="BX171" s="40">
        <f t="shared" si="742"/>
        <v>188.62018700158177</v>
      </c>
      <c r="BY171" s="39">
        <f t="shared" si="742"/>
        <v>191.24345193241294</v>
      </c>
      <c r="BZ171" s="39">
        <f t="shared" si="742"/>
        <v>191.60511371118639</v>
      </c>
      <c r="CA171" s="39">
        <f t="shared" si="742"/>
        <v>192.09247717790493</v>
      </c>
      <c r="CB171" s="39">
        <f t="shared" si="742"/>
        <v>193.93483664978663</v>
      </c>
      <c r="CC171" s="40">
        <f t="shared" si="737"/>
        <v>192.22855399288437</v>
      </c>
      <c r="CD171" s="39">
        <f t="shared" si="737"/>
        <v>192.04581282621805</v>
      </c>
      <c r="CE171" s="39">
        <f t="shared" si="737"/>
        <v>192.83781296697083</v>
      </c>
      <c r="CF171" s="39">
        <f t="shared" si="737"/>
        <v>194.33640488736378</v>
      </c>
      <c r="CG171" s="39">
        <f t="shared" si="737"/>
        <v>194.08926795902985</v>
      </c>
      <c r="CH171" s="40">
        <f t="shared" si="738"/>
        <v>193.33571348469437</v>
      </c>
      <c r="CI171" s="39">
        <f t="shared" si="738"/>
        <v>193.56686872072163</v>
      </c>
      <c r="CJ171" s="39">
        <f t="shared" si="738"/>
        <v>192.61320834070776</v>
      </c>
      <c r="CK171" s="39">
        <f t="shared" si="738"/>
        <v>192.369958439979</v>
      </c>
      <c r="CL171" s="39">
        <f t="shared" si="738"/>
        <v>194.62576090170373</v>
      </c>
      <c r="CM171" s="40">
        <f t="shared" si="739"/>
        <v>193.30433866117374</v>
      </c>
      <c r="CN171" s="39" t="str">
        <f t="shared" si="739"/>
        <v/>
      </c>
      <c r="CO171" s="39" t="str">
        <f t="shared" si="739"/>
        <v/>
      </c>
      <c r="CP171" s="39" t="str">
        <f t="shared" si="739"/>
        <v/>
      </c>
      <c r="CQ171" s="39" t="str">
        <f t="shared" si="739"/>
        <v/>
      </c>
      <c r="CR171" s="40" t="str">
        <f t="shared" si="739"/>
        <v/>
      </c>
    </row>
    <row r="172" spans="1:96" s="9" customFormat="1" ht="15" x14ac:dyDescent="0.4">
      <c r="A172" s="18" t="s">
        <v>85</v>
      </c>
      <c r="B172" s="39">
        <f t="shared" ref="B172:BM173" si="743">IFERROR(B12/B44*100,"")</f>
        <v>87.562613847753184</v>
      </c>
      <c r="C172" s="39">
        <f t="shared" si="743"/>
        <v>89.642310678994946</v>
      </c>
      <c r="D172" s="39">
        <f t="shared" si="743"/>
        <v>93.724679998412313</v>
      </c>
      <c r="E172" s="39">
        <f t="shared" si="743"/>
        <v>97.831121355833545</v>
      </c>
      <c r="F172" s="40">
        <f t="shared" si="743"/>
        <v>92.346380653298183</v>
      </c>
      <c r="G172" s="39">
        <f t="shared" si="743"/>
        <v>89.831238661076014</v>
      </c>
      <c r="H172" s="39">
        <f t="shared" si="743"/>
        <v>95.412603702866605</v>
      </c>
      <c r="I172" s="39">
        <f t="shared" si="743"/>
        <v>102.51596282697051</v>
      </c>
      <c r="J172" s="39">
        <f t="shared" si="743"/>
        <v>101.81631977764492</v>
      </c>
      <c r="K172" s="40">
        <f t="shared" si="743"/>
        <v>97.578214691586268</v>
      </c>
      <c r="L172" s="39">
        <f t="shared" si="743"/>
        <v>96.441023486120471</v>
      </c>
      <c r="M172" s="39">
        <f t="shared" si="743"/>
        <v>96.913429466668106</v>
      </c>
      <c r="N172" s="39">
        <f t="shared" si="743"/>
        <v>101.17661940487798</v>
      </c>
      <c r="O172" s="39">
        <f t="shared" si="743"/>
        <v>105.06797695437109</v>
      </c>
      <c r="P172" s="40">
        <f t="shared" si="743"/>
        <v>100.00000000000003</v>
      </c>
      <c r="Q172" s="39">
        <f t="shared" si="743"/>
        <v>88.338034407465344</v>
      </c>
      <c r="R172" s="39" t="str">
        <f t="shared" si="743"/>
        <v/>
      </c>
      <c r="S172" s="39">
        <f t="shared" si="743"/>
        <v>111.29816483438863</v>
      </c>
      <c r="T172" s="39">
        <f t="shared" si="743"/>
        <v>121.45597093478186</v>
      </c>
      <c r="U172" s="40" t="str">
        <f t="shared" si="743"/>
        <v/>
      </c>
      <c r="V172" s="39">
        <f t="shared" si="743"/>
        <v>105.18774150071523</v>
      </c>
      <c r="W172" s="39">
        <f t="shared" si="743"/>
        <v>111.49326133890231</v>
      </c>
      <c r="X172" s="39">
        <f t="shared" si="743"/>
        <v>117.5129917831196</v>
      </c>
      <c r="Y172" s="39">
        <f t="shared" si="743"/>
        <v>123.10432334696286</v>
      </c>
      <c r="Z172" s="40">
        <f t="shared" si="743"/>
        <v>114.58835284648872</v>
      </c>
      <c r="AA172" s="39">
        <f t="shared" si="743"/>
        <v>122.92168678410542</v>
      </c>
      <c r="AB172" s="39">
        <f t="shared" si="743"/>
        <v>125.10813709623369</v>
      </c>
      <c r="AC172" s="39">
        <f t="shared" si="743"/>
        <v>126.46473711427586</v>
      </c>
      <c r="AD172" s="39">
        <f t="shared" si="743"/>
        <v>127.37787447098835</v>
      </c>
      <c r="AE172" s="40">
        <f t="shared" si="743"/>
        <v>125.57513576724024</v>
      </c>
      <c r="AF172" s="39">
        <f t="shared" si="743"/>
        <v>129.70396289993661</v>
      </c>
      <c r="AG172" s="39">
        <f t="shared" si="743"/>
        <v>129.60033971740486</v>
      </c>
      <c r="AH172" s="39">
        <f t="shared" si="743"/>
        <v>130.32463890315893</v>
      </c>
      <c r="AI172" s="39">
        <f t="shared" si="743"/>
        <v>132.49736362032868</v>
      </c>
      <c r="AJ172" s="40">
        <f t="shared" si="743"/>
        <v>130.60469216558201</v>
      </c>
      <c r="AK172" s="39">
        <f t="shared" si="743"/>
        <v>135.51066080848236</v>
      </c>
      <c r="AL172" s="39">
        <f t="shared" si="743"/>
        <v>137.72429276981677</v>
      </c>
      <c r="AM172" s="39">
        <f t="shared" si="743"/>
        <v>139.21157944051893</v>
      </c>
      <c r="AN172" s="39">
        <f t="shared" si="743"/>
        <v>140.50515730729427</v>
      </c>
      <c r="AO172" s="40">
        <f t="shared" si="743"/>
        <v>138.32270852147846</v>
      </c>
      <c r="AP172" s="39">
        <f t="shared" si="743"/>
        <v>144.11251219528506</v>
      </c>
      <c r="AQ172" s="39">
        <f t="shared" si="743"/>
        <v>144.85163148190944</v>
      </c>
      <c r="AR172" s="39">
        <f t="shared" si="743"/>
        <v>144.84641714018409</v>
      </c>
      <c r="AS172" s="39">
        <f t="shared" si="743"/>
        <v>146.54689989580055</v>
      </c>
      <c r="AT172" s="40">
        <f t="shared" si="743"/>
        <v>145.11861893945996</v>
      </c>
      <c r="AU172" s="39">
        <f t="shared" si="743"/>
        <v>146.4989830804515</v>
      </c>
      <c r="AV172" s="39">
        <f t="shared" si="743"/>
        <v>147.16993955206129</v>
      </c>
      <c r="AW172" s="39">
        <f t="shared" si="743"/>
        <v>148.60033931338745</v>
      </c>
      <c r="AX172" s="39">
        <f t="shared" si="743"/>
        <v>150.41406842437169</v>
      </c>
      <c r="AY172" s="40">
        <f t="shared" si="743"/>
        <v>148.19341140905593</v>
      </c>
      <c r="AZ172" s="39">
        <f t="shared" si="743"/>
        <v>152.60815173399445</v>
      </c>
      <c r="BA172" s="39">
        <f t="shared" si="743"/>
        <v>154.75764569396696</v>
      </c>
      <c r="BB172" s="39">
        <f t="shared" si="743"/>
        <v>155.75047429622043</v>
      </c>
      <c r="BC172" s="39">
        <f t="shared" si="743"/>
        <v>156.56329306664455</v>
      </c>
      <c r="BD172" s="40">
        <f t="shared" si="743"/>
        <v>154.98462757967459</v>
      </c>
      <c r="BE172" s="39">
        <f t="shared" si="743"/>
        <v>157.81745325649098</v>
      </c>
      <c r="BF172" s="39">
        <f t="shared" si="743"/>
        <v>158.00191424531619</v>
      </c>
      <c r="BG172" s="39">
        <f t="shared" si="743"/>
        <v>159.24005256396509</v>
      </c>
      <c r="BH172" s="39">
        <f t="shared" si="743"/>
        <v>160.84790159599197</v>
      </c>
      <c r="BI172" s="40">
        <f t="shared" si="743"/>
        <v>159.0137275146997</v>
      </c>
      <c r="BJ172" s="39">
        <f t="shared" si="743"/>
        <v>161.50192166357598</v>
      </c>
      <c r="BK172" s="39">
        <f t="shared" si="743"/>
        <v>162.06164822041058</v>
      </c>
      <c r="BL172" s="39">
        <f t="shared" si="743"/>
        <v>163.32128448933457</v>
      </c>
      <c r="BM172" s="39">
        <f t="shared" si="743"/>
        <v>163.53617568662392</v>
      </c>
      <c r="BN172" s="40">
        <f t="shared" si="742"/>
        <v>162.57942148622405</v>
      </c>
      <c r="BO172" s="39">
        <f t="shared" si="742"/>
        <v>164.85042867227892</v>
      </c>
      <c r="BP172" s="39">
        <f t="shared" si="742"/>
        <v>167.05894332752197</v>
      </c>
      <c r="BQ172" s="39">
        <f t="shared" si="742"/>
        <v>167.10555405151985</v>
      </c>
      <c r="BR172" s="39">
        <f t="shared" si="742"/>
        <v>169.74068766714851</v>
      </c>
      <c r="BS172" s="40">
        <f t="shared" si="742"/>
        <v>167.21837055325568</v>
      </c>
      <c r="BT172" s="39">
        <f t="shared" si="742"/>
        <v>177.42208002563117</v>
      </c>
      <c r="BU172" s="39">
        <f t="shared" si="742"/>
        <v>178.38020151341482</v>
      </c>
      <c r="BV172" s="39">
        <f t="shared" si="742"/>
        <v>180.090417760501</v>
      </c>
      <c r="BW172" s="39">
        <f t="shared" si="742"/>
        <v>181.27270758027544</v>
      </c>
      <c r="BX172" s="40">
        <f t="shared" si="742"/>
        <v>179.3233306493303</v>
      </c>
      <c r="BY172" s="39">
        <f t="shared" si="742"/>
        <v>182.43292458541117</v>
      </c>
      <c r="BZ172" s="39">
        <f t="shared" si="742"/>
        <v>184.64337957163013</v>
      </c>
      <c r="CA172" s="39">
        <f t="shared" si="742"/>
        <v>185.67068304153875</v>
      </c>
      <c r="CB172" s="39">
        <f t="shared" si="742"/>
        <v>186.50092898690667</v>
      </c>
      <c r="CC172" s="40">
        <f t="shared" si="737"/>
        <v>184.83524790662716</v>
      </c>
      <c r="CD172" s="39">
        <f t="shared" si="737"/>
        <v>188.41755225347634</v>
      </c>
      <c r="CE172" s="39">
        <f t="shared" si="737"/>
        <v>192.66590353950605</v>
      </c>
      <c r="CF172" s="39">
        <f t="shared" si="737"/>
        <v>195.16047001415939</v>
      </c>
      <c r="CG172" s="39">
        <f t="shared" si="737"/>
        <v>198.11420406556263</v>
      </c>
      <c r="CH172" s="40">
        <f t="shared" si="738"/>
        <v>193.62555508732871</v>
      </c>
      <c r="CI172" s="39">
        <f t="shared" si="738"/>
        <v>198.20271502120951</v>
      </c>
      <c r="CJ172" s="39">
        <f t="shared" si="738"/>
        <v>199.37830348357897</v>
      </c>
      <c r="CK172" s="39">
        <f t="shared" si="738"/>
        <v>205.33090242013503</v>
      </c>
      <c r="CL172" s="39">
        <f t="shared" si="738"/>
        <v>205.89926523758689</v>
      </c>
      <c r="CM172" s="40">
        <f t="shared" si="739"/>
        <v>202.22738065518851</v>
      </c>
      <c r="CN172" s="39" t="str">
        <f t="shared" si="739"/>
        <v/>
      </c>
      <c r="CO172" s="39" t="str">
        <f t="shared" si="739"/>
        <v/>
      </c>
      <c r="CP172" s="39" t="str">
        <f t="shared" si="739"/>
        <v/>
      </c>
      <c r="CQ172" s="39" t="str">
        <f t="shared" si="739"/>
        <v/>
      </c>
      <c r="CR172" s="40" t="str">
        <f t="shared" si="739"/>
        <v/>
      </c>
    </row>
    <row r="173" spans="1:96" s="9" customFormat="1" ht="15" x14ac:dyDescent="0.4">
      <c r="A173" s="18" t="s">
        <v>86</v>
      </c>
      <c r="B173" s="39">
        <f t="shared" si="743"/>
        <v>95.003014079739614</v>
      </c>
      <c r="C173" s="39">
        <f t="shared" si="743"/>
        <v>95.300092336652128</v>
      </c>
      <c r="D173" s="39">
        <f t="shared" si="743"/>
        <v>94.87614966381291</v>
      </c>
      <c r="E173" s="39">
        <f t="shared" si="743"/>
        <v>95.884910764381885</v>
      </c>
      <c r="F173" s="40">
        <f t="shared" si="743"/>
        <v>95.266821260332364</v>
      </c>
      <c r="G173" s="39">
        <f t="shared" si="743"/>
        <v>100.56113391015691</v>
      </c>
      <c r="H173" s="39">
        <f t="shared" si="743"/>
        <v>97.704468987394165</v>
      </c>
      <c r="I173" s="39">
        <f t="shared" si="743"/>
        <v>99.414194583231534</v>
      </c>
      <c r="J173" s="39">
        <f t="shared" si="743"/>
        <v>99.21435456002564</v>
      </c>
      <c r="K173" s="40">
        <f t="shared" si="743"/>
        <v>99.233330079985947</v>
      </c>
      <c r="L173" s="39">
        <f t="shared" si="743"/>
        <v>99.835502704619444</v>
      </c>
      <c r="M173" s="39">
        <f t="shared" si="743"/>
        <v>100.3985490935741</v>
      </c>
      <c r="N173" s="39">
        <f t="shared" si="743"/>
        <v>100.00703397756934</v>
      </c>
      <c r="O173" s="39">
        <f t="shared" si="743"/>
        <v>99.781206715801744</v>
      </c>
      <c r="P173" s="40">
        <f t="shared" si="743"/>
        <v>100.00000000000003</v>
      </c>
      <c r="Q173" s="39">
        <f t="shared" si="743"/>
        <v>103.07390193001105</v>
      </c>
      <c r="R173" s="39" t="str">
        <f t="shared" si="743"/>
        <v/>
      </c>
      <c r="S173" s="39">
        <f t="shared" si="743"/>
        <v>99.374305245604901</v>
      </c>
      <c r="T173" s="39">
        <f t="shared" si="743"/>
        <v>94.858616064173518</v>
      </c>
      <c r="U173" s="40" t="str">
        <f t="shared" si="743"/>
        <v/>
      </c>
      <c r="V173" s="39">
        <f t="shared" si="743"/>
        <v>110.95635529789698</v>
      </c>
      <c r="W173" s="39">
        <f t="shared" si="743"/>
        <v>107.5609058216142</v>
      </c>
      <c r="X173" s="39">
        <f t="shared" si="743"/>
        <v>108.56057620770909</v>
      </c>
      <c r="Y173" s="39">
        <f t="shared" si="743"/>
        <v>108.95478024538947</v>
      </c>
      <c r="Z173" s="40">
        <f t="shared" si="743"/>
        <v>109.00717279105272</v>
      </c>
      <c r="AA173" s="39">
        <f t="shared" si="743"/>
        <v>114.57121923704388</v>
      </c>
      <c r="AB173" s="39">
        <f t="shared" si="743"/>
        <v>115.64801189980707</v>
      </c>
      <c r="AC173" s="39">
        <f t="shared" si="743"/>
        <v>116.89389815691476</v>
      </c>
      <c r="AD173" s="39">
        <f t="shared" si="743"/>
        <v>119.51366622380468</v>
      </c>
      <c r="AE173" s="40">
        <f t="shared" si="743"/>
        <v>116.72662594333987</v>
      </c>
      <c r="AF173" s="39">
        <f t="shared" si="743"/>
        <v>124.80118925854396</v>
      </c>
      <c r="AG173" s="39">
        <f t="shared" si="743"/>
        <v>126.56988007753552</v>
      </c>
      <c r="AH173" s="39">
        <f t="shared" si="743"/>
        <v>128.84124137999703</v>
      </c>
      <c r="AI173" s="39">
        <f t="shared" si="743"/>
        <v>131.18930328063399</v>
      </c>
      <c r="AJ173" s="40">
        <f t="shared" si="743"/>
        <v>127.92498489581503</v>
      </c>
      <c r="AK173" s="39">
        <f t="shared" si="743"/>
        <v>131.51185828820221</v>
      </c>
      <c r="AL173" s="39">
        <f t="shared" si="743"/>
        <v>134.06437409748241</v>
      </c>
      <c r="AM173" s="39">
        <f t="shared" si="743"/>
        <v>135.79611396083664</v>
      </c>
      <c r="AN173" s="39">
        <f t="shared" si="743"/>
        <v>137.57525416472734</v>
      </c>
      <c r="AO173" s="40">
        <f t="shared" si="743"/>
        <v>134.82297567224182</v>
      </c>
      <c r="AP173" s="39">
        <f t="shared" si="743"/>
        <v>141.85946353960753</v>
      </c>
      <c r="AQ173" s="39">
        <f t="shared" si="743"/>
        <v>144.06877100405657</v>
      </c>
      <c r="AR173" s="39">
        <f t="shared" si="743"/>
        <v>145.89228271850763</v>
      </c>
      <c r="AS173" s="39">
        <f t="shared" si="743"/>
        <v>148.95521814114073</v>
      </c>
      <c r="AT173" s="40">
        <f t="shared" si="743"/>
        <v>145.27194989852217</v>
      </c>
      <c r="AU173" s="39">
        <f t="shared" si="743"/>
        <v>149.57177295928255</v>
      </c>
      <c r="AV173" s="39">
        <f t="shared" si="743"/>
        <v>151.03905538061474</v>
      </c>
      <c r="AW173" s="39">
        <f t="shared" si="743"/>
        <v>153.13716350225735</v>
      </c>
      <c r="AX173" s="39">
        <f t="shared" si="743"/>
        <v>154.22596674074308</v>
      </c>
      <c r="AY173" s="40">
        <f t="shared" si="743"/>
        <v>152.0456130852304</v>
      </c>
      <c r="AZ173" s="39">
        <f t="shared" si="743"/>
        <v>155.98671044070545</v>
      </c>
      <c r="BA173" s="39">
        <f t="shared" si="743"/>
        <v>158.25441650103679</v>
      </c>
      <c r="BB173" s="39">
        <f t="shared" si="743"/>
        <v>159.86636249221488</v>
      </c>
      <c r="BC173" s="39">
        <f t="shared" si="743"/>
        <v>161.06589021475145</v>
      </c>
      <c r="BD173" s="40">
        <f t="shared" si="743"/>
        <v>158.84447930243391</v>
      </c>
      <c r="BE173" s="39">
        <f t="shared" si="743"/>
        <v>161.44508874223379</v>
      </c>
      <c r="BF173" s="39">
        <f t="shared" si="743"/>
        <v>161.74562092679315</v>
      </c>
      <c r="BG173" s="39">
        <f t="shared" si="743"/>
        <v>162.32354466141899</v>
      </c>
      <c r="BH173" s="39">
        <f t="shared" si="743"/>
        <v>162.58300295509014</v>
      </c>
      <c r="BI173" s="40">
        <f t="shared" si="743"/>
        <v>162.03029303438265</v>
      </c>
      <c r="BJ173" s="39">
        <f t="shared" si="743"/>
        <v>165.99819610215914</v>
      </c>
      <c r="BK173" s="39">
        <f t="shared" si="743"/>
        <v>168.33987115035026</v>
      </c>
      <c r="BL173" s="39">
        <f t="shared" si="743"/>
        <v>170.27875167590352</v>
      </c>
      <c r="BM173" s="39">
        <f t="shared" si="743"/>
        <v>171.21012105773681</v>
      </c>
      <c r="BN173" s="40">
        <f t="shared" si="742"/>
        <v>168.95518959386126</v>
      </c>
      <c r="BO173" s="39">
        <f t="shared" si="742"/>
        <v>172.98109265158809</v>
      </c>
      <c r="BP173" s="39">
        <f t="shared" si="742"/>
        <v>173.05349496396528</v>
      </c>
      <c r="BQ173" s="39">
        <f t="shared" si="742"/>
        <v>173.17366357935185</v>
      </c>
      <c r="BR173" s="39">
        <f t="shared" si="742"/>
        <v>173.21358077014068</v>
      </c>
      <c r="BS173" s="40">
        <f t="shared" si="742"/>
        <v>173.10557284031182</v>
      </c>
      <c r="BT173" s="39">
        <f t="shared" si="742"/>
        <v>178.36438617622505</v>
      </c>
      <c r="BU173" s="39">
        <f t="shared" si="742"/>
        <v>180.93578198132511</v>
      </c>
      <c r="BV173" s="39">
        <f t="shared" si="742"/>
        <v>183.3659595073548</v>
      </c>
      <c r="BW173" s="39">
        <f t="shared" si="742"/>
        <v>184.27543407058519</v>
      </c>
      <c r="BX173" s="40">
        <f t="shared" si="742"/>
        <v>181.79147996976755</v>
      </c>
      <c r="BY173" s="39">
        <f t="shared" si="742"/>
        <v>186.79045724263241</v>
      </c>
      <c r="BZ173" s="39">
        <f t="shared" si="742"/>
        <v>189.04952897283155</v>
      </c>
      <c r="CA173" s="39">
        <f t="shared" si="742"/>
        <v>189.64602707849971</v>
      </c>
      <c r="CB173" s="39">
        <f t="shared" si="742"/>
        <v>190.5973288651019</v>
      </c>
      <c r="CC173" s="40">
        <f t="shared" si="737"/>
        <v>189.03717994363487</v>
      </c>
      <c r="CD173" s="39">
        <f t="shared" si="737"/>
        <v>192.09780781527999</v>
      </c>
      <c r="CE173" s="39">
        <f t="shared" si="737"/>
        <v>194.22589754295961</v>
      </c>
      <c r="CF173" s="39">
        <f t="shared" si="737"/>
        <v>198.26483695082757</v>
      </c>
      <c r="CG173" s="39">
        <f t="shared" si="737"/>
        <v>201.22110183576285</v>
      </c>
      <c r="CH173" s="40">
        <f t="shared" si="738"/>
        <v>196.50118203513381</v>
      </c>
      <c r="CI173" s="39">
        <f t="shared" si="738"/>
        <v>201.68876298235961</v>
      </c>
      <c r="CJ173" s="39">
        <f t="shared" si="738"/>
        <v>206.06031184118936</v>
      </c>
      <c r="CK173" s="39">
        <f t="shared" si="738"/>
        <v>205.99983607359022</v>
      </c>
      <c r="CL173" s="39">
        <f t="shared" si="738"/>
        <v>209.4831324925222</v>
      </c>
      <c r="CM173" s="40">
        <f t="shared" si="739"/>
        <v>205.85058263611029</v>
      </c>
      <c r="CN173" s="39" t="str">
        <f t="shared" si="739"/>
        <v/>
      </c>
      <c r="CO173" s="39" t="str">
        <f t="shared" si="739"/>
        <v/>
      </c>
      <c r="CP173" s="39" t="str">
        <f t="shared" si="739"/>
        <v/>
      </c>
      <c r="CQ173" s="39" t="str">
        <f t="shared" si="739"/>
        <v/>
      </c>
      <c r="CR173" s="40" t="str">
        <f t="shared" si="739"/>
        <v/>
      </c>
    </row>
    <row r="174" spans="1:96" s="9" customFormat="1" ht="15" x14ac:dyDescent="0.4">
      <c r="A174" s="18"/>
      <c r="B174" s="22"/>
      <c r="C174" s="22"/>
      <c r="D174" s="23"/>
      <c r="E174" s="22"/>
      <c r="F174" s="24"/>
      <c r="G174" s="22"/>
      <c r="H174" s="22"/>
      <c r="I174" s="23"/>
      <c r="J174" s="22"/>
      <c r="K174" s="24"/>
      <c r="L174" s="22"/>
      <c r="M174" s="22"/>
      <c r="N174" s="23"/>
      <c r="O174" s="22"/>
      <c r="P174" s="24"/>
      <c r="Q174" s="22"/>
      <c r="R174" s="22"/>
      <c r="S174" s="23"/>
      <c r="T174" s="22"/>
      <c r="U174" s="24"/>
      <c r="V174" s="22"/>
      <c r="W174" s="22"/>
      <c r="X174" s="23"/>
      <c r="Y174" s="22"/>
      <c r="Z174" s="24"/>
      <c r="AA174" s="22"/>
      <c r="AB174" s="22"/>
      <c r="AC174" s="23"/>
      <c r="AD174" s="22"/>
      <c r="AE174" s="24"/>
      <c r="AF174" s="22"/>
      <c r="AG174" s="22"/>
      <c r="AH174" s="23"/>
      <c r="AI174" s="22"/>
      <c r="AJ174" s="24"/>
      <c r="AK174" s="22"/>
      <c r="AL174" s="22"/>
      <c r="AM174" s="23"/>
      <c r="AN174" s="22"/>
      <c r="AO174" s="24"/>
      <c r="AP174" s="22"/>
      <c r="AQ174" s="22"/>
      <c r="AR174" s="23"/>
      <c r="AS174" s="22"/>
      <c r="AT174" s="24"/>
      <c r="AU174" s="22"/>
      <c r="AV174" s="22"/>
      <c r="AW174" s="23"/>
      <c r="AX174" s="22"/>
      <c r="AY174" s="24"/>
      <c r="AZ174" s="22"/>
      <c r="BA174" s="22"/>
      <c r="BB174" s="23"/>
      <c r="BC174" s="22"/>
      <c r="BD174" s="24"/>
      <c r="BE174" s="22"/>
      <c r="BF174" s="22"/>
      <c r="BG174" s="23"/>
      <c r="BH174" s="22"/>
      <c r="BI174" s="24"/>
      <c r="BJ174" s="22"/>
      <c r="BK174" s="22"/>
      <c r="BL174" s="23"/>
      <c r="BM174" s="22"/>
      <c r="BN174" s="24"/>
      <c r="BO174" s="22"/>
      <c r="BP174" s="22"/>
      <c r="BQ174" s="23"/>
      <c r="BR174" s="22"/>
      <c r="BS174" s="24"/>
      <c r="BT174" s="22"/>
      <c r="BU174" s="22"/>
      <c r="BV174" s="23"/>
      <c r="BW174" s="22"/>
      <c r="BX174" s="24"/>
      <c r="BY174" s="22"/>
      <c r="BZ174" s="22"/>
      <c r="CA174" s="23"/>
      <c r="CB174" s="22"/>
      <c r="CC174" s="24"/>
      <c r="CD174" s="22"/>
      <c r="CE174" s="22"/>
      <c r="CF174" s="23"/>
      <c r="CG174" s="22"/>
      <c r="CH174" s="24"/>
      <c r="CI174" s="22"/>
      <c r="CJ174" s="22"/>
      <c r="CK174" s="23"/>
      <c r="CL174" s="22"/>
      <c r="CM174" s="24"/>
      <c r="CN174" s="22"/>
      <c r="CO174" s="22"/>
      <c r="CP174" s="23"/>
      <c r="CQ174" s="22"/>
      <c r="CR174" s="24"/>
    </row>
    <row r="175" spans="1:96" s="17" customFormat="1" ht="15" x14ac:dyDescent="0.4">
      <c r="A175" s="15" t="s">
        <v>87</v>
      </c>
      <c r="B175" s="16">
        <f>IFERROR(B15/B47*100,"")</f>
        <v>68.917596917792991</v>
      </c>
      <c r="C175" s="16">
        <f t="shared" ref="C175:F175" si="744">IFERROR(C15/C47*100,"")</f>
        <v>77.273640225026526</v>
      </c>
      <c r="D175" s="16">
        <f t="shared" si="744"/>
        <v>92.60627097054099</v>
      </c>
      <c r="E175" s="16">
        <f t="shared" si="744"/>
        <v>93.422082005589061</v>
      </c>
      <c r="F175" s="16">
        <f t="shared" si="744"/>
        <v>83.352934881596227</v>
      </c>
      <c r="G175" s="16">
        <f>IFERROR(G15/G47*100,"")</f>
        <v>92.92869184597329</v>
      </c>
      <c r="H175" s="16">
        <f t="shared" ref="H175:K175" si="745">IFERROR(H15/H47*100,"")</f>
        <v>95.340214776090704</v>
      </c>
      <c r="I175" s="16">
        <f t="shared" si="745"/>
        <v>91.760230237385215</v>
      </c>
      <c r="J175" s="16">
        <f t="shared" si="745"/>
        <v>96.990266151002643</v>
      </c>
      <c r="K175" s="16">
        <f t="shared" si="745"/>
        <v>94.334168226920582</v>
      </c>
      <c r="L175" s="16">
        <f>IFERROR(L15/L47*100,"")</f>
        <v>99.576183376337184</v>
      </c>
      <c r="M175" s="16">
        <f t="shared" ref="M175:P175" si="746">IFERROR(M15/M47*100,"")</f>
        <v>99.84821974180457</v>
      </c>
      <c r="N175" s="16">
        <f t="shared" si="746"/>
        <v>100.28473335496733</v>
      </c>
      <c r="O175" s="16">
        <f t="shared" si="746"/>
        <v>100.2658001770522</v>
      </c>
      <c r="P175" s="16">
        <f t="shared" si="746"/>
        <v>100</v>
      </c>
      <c r="Q175" s="16">
        <f>IFERROR(Q15/Q47*100,"")</f>
        <v>102.41146415042472</v>
      </c>
      <c r="R175" s="16" t="str">
        <f t="shared" ref="R175:U175" si="747">IFERROR(R15/R47*100,"")</f>
        <v/>
      </c>
      <c r="S175" s="16">
        <f t="shared" si="747"/>
        <v>105.27450127473534</v>
      </c>
      <c r="T175" s="16">
        <f t="shared" si="747"/>
        <v>106.88843159356</v>
      </c>
      <c r="U175" s="16" t="str">
        <f t="shared" si="747"/>
        <v/>
      </c>
      <c r="V175" s="16">
        <f>IFERROR(V15/V47*100,"")</f>
        <v>106.35568751161925</v>
      </c>
      <c r="W175" s="16">
        <f t="shared" ref="W175:Z175" si="748">IFERROR(W15/W47*100,"")</f>
        <v>107.74739771699875</v>
      </c>
      <c r="X175" s="16">
        <f t="shared" si="748"/>
        <v>109.59794903475779</v>
      </c>
      <c r="Y175" s="16">
        <f t="shared" si="748"/>
        <v>111.12818631938475</v>
      </c>
      <c r="Z175" s="16">
        <f t="shared" si="748"/>
        <v>108.72880229441013</v>
      </c>
      <c r="AA175" s="16">
        <f>IFERROR(AA15/AA47*100,"")</f>
        <v>114.572792555514</v>
      </c>
      <c r="AB175" s="16">
        <f t="shared" ref="AB175:AE175" si="749">IFERROR(AB15/AB47*100,"")</f>
        <v>113.90121536617276</v>
      </c>
      <c r="AC175" s="16">
        <f t="shared" si="749"/>
        <v>113.96051844540698</v>
      </c>
      <c r="AD175" s="16">
        <f t="shared" si="749"/>
        <v>113.63900723411379</v>
      </c>
      <c r="AE175" s="16">
        <f t="shared" si="749"/>
        <v>114.0139628051478</v>
      </c>
      <c r="AF175" s="16">
        <f>IFERROR(AF15/AF47*100,"")</f>
        <v>111.73006688990898</v>
      </c>
      <c r="AG175" s="16">
        <f t="shared" ref="AG175:AJ175" si="750">IFERROR(AG15/AG47*100,"")</f>
        <v>117.39810951781689</v>
      </c>
      <c r="AH175" s="16">
        <f t="shared" si="750"/>
        <v>121.89243732217996</v>
      </c>
      <c r="AI175" s="16">
        <f t="shared" si="750"/>
        <v>123.72143857419803</v>
      </c>
      <c r="AJ175" s="16">
        <f t="shared" si="750"/>
        <v>118.5918441445084</v>
      </c>
      <c r="AK175" s="16">
        <f>IFERROR(AK15/AK47*100,"")</f>
        <v>125.15272733905149</v>
      </c>
      <c r="AL175" s="16">
        <f t="shared" ref="AL175:AO175" si="751">IFERROR(AL15/AL47*100,"")</f>
        <v>127.06093593107097</v>
      </c>
      <c r="AM175" s="16">
        <f t="shared" si="751"/>
        <v>128.71787164339662</v>
      </c>
      <c r="AN175" s="16">
        <f t="shared" si="751"/>
        <v>131.69280743408743</v>
      </c>
      <c r="AO175" s="16">
        <f t="shared" si="751"/>
        <v>128.27364913783967</v>
      </c>
      <c r="AP175" s="16">
        <f>IFERROR(AP15/AP47*100,"")</f>
        <v>131.92243564673754</v>
      </c>
      <c r="AQ175" s="16">
        <f t="shared" ref="AQ175:AT175" si="752">IFERROR(AQ15/AQ47*100,"")</f>
        <v>133.43274070485705</v>
      </c>
      <c r="AR175" s="16">
        <f t="shared" si="752"/>
        <v>135.10269059372152</v>
      </c>
      <c r="AS175" s="16">
        <f t="shared" si="752"/>
        <v>136.06188629287334</v>
      </c>
      <c r="AT175" s="16">
        <f t="shared" si="752"/>
        <v>134.21872508084778</v>
      </c>
      <c r="AU175" s="16">
        <f>IFERROR(AU15/AU47*100,"")</f>
        <v>138.35217149707557</v>
      </c>
      <c r="AV175" s="16">
        <f t="shared" ref="AV175:AY175" si="753">IFERROR(AV15/AV47*100,"")</f>
        <v>139.36415064277537</v>
      </c>
      <c r="AW175" s="16">
        <f t="shared" si="753"/>
        <v>142.51925157521012</v>
      </c>
      <c r="AX175" s="16">
        <f t="shared" si="753"/>
        <v>143.59143142417088</v>
      </c>
      <c r="AY175" s="16">
        <f t="shared" si="753"/>
        <v>141.00665420652243</v>
      </c>
      <c r="AZ175" s="16">
        <f>IFERROR(AZ15/AZ47*100,"")</f>
        <v>145.06206140183892</v>
      </c>
      <c r="BA175" s="16">
        <f t="shared" ref="BA175:BD175" si="754">IFERROR(BA15/BA47*100,"")</f>
        <v>149.75005337534665</v>
      </c>
      <c r="BB175" s="16">
        <f t="shared" si="754"/>
        <v>150.47691241782647</v>
      </c>
      <c r="BC175" s="16">
        <f t="shared" si="754"/>
        <v>150.61206023477962</v>
      </c>
      <c r="BD175" s="16">
        <f t="shared" si="754"/>
        <v>149.01887883230981</v>
      </c>
      <c r="BE175" s="16">
        <f>IFERROR(BE15/BE47*100,"")</f>
        <v>152.09364085804046</v>
      </c>
      <c r="BF175" s="16">
        <f t="shared" ref="BF175:BI175" si="755">IFERROR(BF15/BF47*100,"")</f>
        <v>154.32973437442564</v>
      </c>
      <c r="BG175" s="16">
        <f t="shared" si="755"/>
        <v>158.5297630014706</v>
      </c>
      <c r="BH175" s="16">
        <f t="shared" si="755"/>
        <v>162.85065157793446</v>
      </c>
      <c r="BI175" s="16">
        <f t="shared" si="755"/>
        <v>157.05045212861737</v>
      </c>
      <c r="BJ175" s="16">
        <f>IFERROR(BJ15/BJ47*100,"")</f>
        <v>163.73877271945571</v>
      </c>
      <c r="BK175" s="16">
        <f t="shared" ref="BK175:BN175" si="756">IFERROR(BK15/BK47*100,"")</f>
        <v>165.51075240861607</v>
      </c>
      <c r="BL175" s="16">
        <f t="shared" si="756"/>
        <v>167.33642767069159</v>
      </c>
      <c r="BM175" s="16">
        <f t="shared" si="756"/>
        <v>170.89701149198717</v>
      </c>
      <c r="BN175" s="16">
        <f t="shared" si="756"/>
        <v>166.84306250506265</v>
      </c>
      <c r="BO175" s="16">
        <f>IFERROR(BO15/BO47*100,"")</f>
        <v>170.46037604740116</v>
      </c>
      <c r="BP175" s="16">
        <f t="shared" ref="BP175:BS175" si="757">IFERROR(BP15/BP47*100,"")</f>
        <v>170.30325978409607</v>
      </c>
      <c r="BQ175" s="16">
        <f t="shared" si="757"/>
        <v>172.43533457578053</v>
      </c>
      <c r="BR175" s="16">
        <f t="shared" si="757"/>
        <v>174.90970203039748</v>
      </c>
      <c r="BS175" s="16">
        <f t="shared" si="757"/>
        <v>172.04925453676896</v>
      </c>
      <c r="BT175" s="16">
        <f>IFERROR(BT15/BT47*100,"")</f>
        <v>175.94756178167395</v>
      </c>
      <c r="BU175" s="16">
        <f t="shared" ref="BU175:BX175" si="758">IFERROR(BU15/BU47*100,"")</f>
        <v>177.34066762764198</v>
      </c>
      <c r="BV175" s="16">
        <f t="shared" si="758"/>
        <v>178.72280325929015</v>
      </c>
      <c r="BW175" s="16">
        <f t="shared" si="758"/>
        <v>181.2009564193983</v>
      </c>
      <c r="BX175" s="16">
        <f t="shared" si="758"/>
        <v>178.35125333575277</v>
      </c>
      <c r="BY175" s="16">
        <f>IFERROR(BY15/BY47*100,"")</f>
        <v>183.00214118676686</v>
      </c>
      <c r="BZ175" s="16">
        <f t="shared" ref="BZ175:CC175" si="759">IFERROR(BZ15/BZ47*100,"")</f>
        <v>184.72965066392487</v>
      </c>
      <c r="CA175" s="16">
        <f t="shared" si="759"/>
        <v>186.27869495398886</v>
      </c>
      <c r="CB175" s="16">
        <f t="shared" si="759"/>
        <v>187.37177055755504</v>
      </c>
      <c r="CC175" s="16">
        <f t="shared" si="759"/>
        <v>185.39763659872392</v>
      </c>
      <c r="CD175" s="16">
        <f>IFERROR(CD15/CD47*100,"")</f>
        <v>189.94490059150519</v>
      </c>
      <c r="CE175" s="16">
        <f t="shared" ref="CE175:CH175" si="760">IFERROR(CE15/CE47*100,"")</f>
        <v>190.59048262611614</v>
      </c>
      <c r="CF175" s="16">
        <f t="shared" si="760"/>
        <v>191.23069048095155</v>
      </c>
      <c r="CG175" s="16">
        <f t="shared" si="760"/>
        <v>193.1761397770405</v>
      </c>
      <c r="CH175" s="16">
        <f t="shared" si="760"/>
        <v>191.26641438758043</v>
      </c>
      <c r="CI175" s="16">
        <f>IFERROR(CI15/CI47*100,"")</f>
        <v>193.0904814736158</v>
      </c>
      <c r="CJ175" s="16">
        <f t="shared" ref="CJ175:CM175" si="761">IFERROR(CJ15/CJ47*100,"")</f>
        <v>194.03366848961974</v>
      </c>
      <c r="CK175" s="16">
        <f t="shared" si="761"/>
        <v>198.53988401128501</v>
      </c>
      <c r="CL175" s="16">
        <f t="shared" si="761"/>
        <v>200.48447173642967</v>
      </c>
      <c r="CM175" s="16">
        <f t="shared" si="761"/>
        <v>196.48225642263387</v>
      </c>
      <c r="CN175" s="16" t="str">
        <f>IFERROR(CN15/CN47*100,"")</f>
        <v/>
      </c>
      <c r="CO175" s="16" t="str">
        <f t="shared" ref="CO175:CR175" si="762">IFERROR(CO15/CO47*100,"")</f>
        <v/>
      </c>
      <c r="CP175" s="16" t="str">
        <f t="shared" si="762"/>
        <v/>
      </c>
      <c r="CQ175" s="16" t="str">
        <f t="shared" si="762"/>
        <v/>
      </c>
      <c r="CR175" s="16" t="str">
        <f t="shared" si="762"/>
        <v/>
      </c>
    </row>
    <row r="176" spans="1:96" s="9" customFormat="1" ht="15" x14ac:dyDescent="0.4">
      <c r="A176" s="25"/>
      <c r="B176" s="22"/>
      <c r="C176" s="22"/>
      <c r="D176" s="22"/>
      <c r="E176" s="22"/>
      <c r="F176" s="24"/>
      <c r="G176" s="22"/>
      <c r="H176" s="22"/>
      <c r="I176" s="22"/>
      <c r="J176" s="22"/>
      <c r="K176" s="24"/>
      <c r="L176" s="22"/>
      <c r="M176" s="22"/>
      <c r="N176" s="22"/>
      <c r="O176" s="22"/>
      <c r="P176" s="24"/>
      <c r="Q176" s="22"/>
      <c r="R176" s="22"/>
      <c r="S176" s="22"/>
      <c r="T176" s="22"/>
      <c r="U176" s="24"/>
      <c r="V176" s="22"/>
      <c r="W176" s="22"/>
      <c r="X176" s="22"/>
      <c r="Y176" s="22"/>
      <c r="Z176" s="24"/>
      <c r="AA176" s="22"/>
      <c r="AB176" s="22"/>
      <c r="AC176" s="22"/>
      <c r="AD176" s="22"/>
      <c r="AE176" s="24"/>
      <c r="AF176" s="22"/>
      <c r="AG176" s="22"/>
      <c r="AH176" s="22"/>
      <c r="AI176" s="22"/>
      <c r="AJ176" s="24"/>
      <c r="AK176" s="22"/>
      <c r="AL176" s="22"/>
      <c r="AM176" s="22"/>
      <c r="AN176" s="22"/>
      <c r="AO176" s="24"/>
      <c r="AP176" s="22"/>
      <c r="AQ176" s="22"/>
      <c r="AR176" s="22"/>
      <c r="AS176" s="22"/>
      <c r="AT176" s="24"/>
      <c r="AU176" s="22"/>
      <c r="AV176" s="22"/>
      <c r="AW176" s="22"/>
      <c r="AX176" s="22"/>
      <c r="AY176" s="24"/>
      <c r="AZ176" s="22"/>
      <c r="BA176" s="22"/>
      <c r="BB176" s="22"/>
      <c r="BC176" s="22"/>
      <c r="BD176" s="24"/>
      <c r="BE176" s="22"/>
      <c r="BF176" s="22"/>
      <c r="BG176" s="22"/>
      <c r="BH176" s="22"/>
      <c r="BI176" s="24"/>
      <c r="BJ176" s="22"/>
      <c r="BK176" s="22"/>
      <c r="BL176" s="22"/>
      <c r="BM176" s="22"/>
      <c r="BN176" s="24"/>
      <c r="BO176" s="22"/>
      <c r="BP176" s="22"/>
      <c r="BQ176" s="22"/>
      <c r="BR176" s="22"/>
      <c r="BS176" s="24"/>
      <c r="BT176" s="22"/>
      <c r="BU176" s="22"/>
      <c r="BV176" s="22"/>
      <c r="BW176" s="22"/>
      <c r="BX176" s="24"/>
      <c r="BY176" s="22"/>
      <c r="BZ176" s="22"/>
      <c r="CA176" s="22"/>
      <c r="CB176" s="22"/>
      <c r="CC176" s="24"/>
      <c r="CD176" s="22"/>
      <c r="CE176" s="22"/>
      <c r="CF176" s="22"/>
      <c r="CG176" s="22"/>
      <c r="CH176" s="24"/>
      <c r="CI176" s="22"/>
      <c r="CJ176" s="22"/>
      <c r="CK176" s="22"/>
      <c r="CL176" s="22"/>
      <c r="CM176" s="24"/>
      <c r="CN176" s="22"/>
      <c r="CO176" s="22"/>
      <c r="CP176" s="22"/>
      <c r="CQ176" s="22"/>
      <c r="CR176" s="24"/>
    </row>
    <row r="177" spans="1:96" s="17" customFormat="1" ht="15" x14ac:dyDescent="0.4">
      <c r="A177" s="15" t="s">
        <v>88</v>
      </c>
      <c r="B177" s="16">
        <f>IFERROR(B17/B49*100,"")</f>
        <v>79.724871390637162</v>
      </c>
      <c r="C177" s="16">
        <f t="shared" ref="C177:F177" si="763">IFERROR(C17/C49*100,"")</f>
        <v>80.265770558869789</v>
      </c>
      <c r="D177" s="16">
        <f t="shared" si="763"/>
        <v>78.44753969567293</v>
      </c>
      <c r="E177" s="16">
        <f t="shared" si="763"/>
        <v>80.901495822233542</v>
      </c>
      <c r="F177" s="16">
        <f t="shared" si="763"/>
        <v>79.839876126279322</v>
      </c>
      <c r="G177" s="16">
        <f>IFERROR(G17/G49*100,"")</f>
        <v>90.637666299032929</v>
      </c>
      <c r="H177" s="16">
        <f t="shared" ref="H177:K177" si="764">IFERROR(H17/H49*100,"")</f>
        <v>93.000593459580031</v>
      </c>
      <c r="I177" s="16">
        <f t="shared" si="764"/>
        <v>94.052109452057735</v>
      </c>
      <c r="J177" s="16">
        <f t="shared" si="764"/>
        <v>95.603927265834756</v>
      </c>
      <c r="K177" s="16">
        <f t="shared" si="764"/>
        <v>93.497257356873419</v>
      </c>
      <c r="L177" s="16">
        <f>IFERROR(L17/L49*100,"")</f>
        <v>97.248509197755908</v>
      </c>
      <c r="M177" s="16">
        <f t="shared" ref="M177:P177" si="765">IFERROR(M17/M49*100,"")</f>
        <v>99.22362724409534</v>
      </c>
      <c r="N177" s="16">
        <f t="shared" si="765"/>
        <v>101.79429466266663</v>
      </c>
      <c r="O177" s="16">
        <f t="shared" si="765"/>
        <v>101.12173424247575</v>
      </c>
      <c r="P177" s="16">
        <f t="shared" si="765"/>
        <v>100.00000000000003</v>
      </c>
      <c r="Q177" s="16">
        <f>IFERROR(Q17/Q49*100,"")</f>
        <v>115.18838677430392</v>
      </c>
      <c r="R177" s="16" t="str">
        <f t="shared" ref="R177:U177" si="766">IFERROR(R17/R49*100,"")</f>
        <v/>
      </c>
      <c r="S177" s="16">
        <f t="shared" si="766"/>
        <v>123.25125618851092</v>
      </c>
      <c r="T177" s="16">
        <f t="shared" si="766"/>
        <v>118.82646272717012</v>
      </c>
      <c r="U177" s="16" t="str">
        <f t="shared" si="766"/>
        <v/>
      </c>
      <c r="V177" s="16">
        <f>IFERROR(V17/V49*100,"")</f>
        <v>117.11692629215256</v>
      </c>
      <c r="W177" s="16">
        <f t="shared" ref="W177:Z177" si="767">IFERROR(W17/W49*100,"")</f>
        <v>117.98450774997657</v>
      </c>
      <c r="X177" s="16">
        <f t="shared" si="767"/>
        <v>116.32864489460081</v>
      </c>
      <c r="Y177" s="16">
        <f t="shared" si="767"/>
        <v>122.97338321474174</v>
      </c>
      <c r="Z177" s="16">
        <f t="shared" si="767"/>
        <v>118.778634869595</v>
      </c>
      <c r="AA177" s="16">
        <f>IFERROR(AA17/AA49*100,"")</f>
        <v>115.39371863416554</v>
      </c>
      <c r="AB177" s="16">
        <f t="shared" ref="AB177:AE177" si="768">IFERROR(AB17/AB49*100,"")</f>
        <v>118.27362542952902</v>
      </c>
      <c r="AC177" s="16">
        <f t="shared" si="768"/>
        <v>121.40973674701578</v>
      </c>
      <c r="AD177" s="16">
        <f t="shared" si="768"/>
        <v>123.36392866256809</v>
      </c>
      <c r="AE177" s="16">
        <f t="shared" si="768"/>
        <v>119.91994510687154</v>
      </c>
      <c r="AF177" s="16">
        <f>IFERROR(AF17/AF49*100,"")</f>
        <v>124.43764440062115</v>
      </c>
      <c r="AG177" s="16">
        <f t="shared" ref="AG177:AJ177" si="769">IFERROR(AG17/AG49*100,"")</f>
        <v>126.10801422572997</v>
      </c>
      <c r="AH177" s="16">
        <f t="shared" si="769"/>
        <v>127.8603871988457</v>
      </c>
      <c r="AI177" s="16">
        <f t="shared" si="769"/>
        <v>128.37430150747971</v>
      </c>
      <c r="AJ177" s="16">
        <f t="shared" si="769"/>
        <v>126.85939327586657</v>
      </c>
      <c r="AK177" s="16">
        <f>IFERROR(AK17/AK49*100,"")</f>
        <v>130.84547435841009</v>
      </c>
      <c r="AL177" s="16">
        <f t="shared" ref="AL177:AO177" si="770">IFERROR(AL17/AL49*100,"")</f>
        <v>130.70593469266385</v>
      </c>
      <c r="AM177" s="16">
        <f t="shared" si="770"/>
        <v>131.99376087521685</v>
      </c>
      <c r="AN177" s="16">
        <f t="shared" si="770"/>
        <v>134.59008189190322</v>
      </c>
      <c r="AO177" s="16">
        <f t="shared" si="770"/>
        <v>132.1717453159637</v>
      </c>
      <c r="AP177" s="16">
        <f>IFERROR(AP17/AP49*100,"")</f>
        <v>136.14819292990353</v>
      </c>
      <c r="AQ177" s="16">
        <f t="shared" ref="AQ177:AT177" si="771">IFERROR(AQ17/AQ49*100,"")</f>
        <v>139.47280976798254</v>
      </c>
      <c r="AR177" s="16">
        <f t="shared" si="771"/>
        <v>142.39936456413352</v>
      </c>
      <c r="AS177" s="16">
        <f t="shared" si="771"/>
        <v>143.28214852299124</v>
      </c>
      <c r="AT177" s="16">
        <f t="shared" si="771"/>
        <v>140.52927814456257</v>
      </c>
      <c r="AU177" s="16">
        <f>IFERROR(AU17/AU49*100,"")</f>
        <v>143.57815436909385</v>
      </c>
      <c r="AV177" s="16">
        <f t="shared" ref="AV177:AY177" si="772">IFERROR(AV17/AV49*100,"")</f>
        <v>145.5056774442557</v>
      </c>
      <c r="AW177" s="16">
        <f t="shared" si="772"/>
        <v>145.74244295621918</v>
      </c>
      <c r="AX177" s="16">
        <f t="shared" si="772"/>
        <v>146.08020367577842</v>
      </c>
      <c r="AY177" s="16">
        <f t="shared" si="772"/>
        <v>145.29106917316795</v>
      </c>
      <c r="AZ177" s="16">
        <f>IFERROR(AZ17/AZ49*100,"")</f>
        <v>146.18066627991294</v>
      </c>
      <c r="BA177" s="16">
        <f t="shared" ref="BA177:BD177" si="773">IFERROR(BA17/BA49*100,"")</f>
        <v>148.48206714010499</v>
      </c>
      <c r="BB177" s="16">
        <f t="shared" si="773"/>
        <v>149.88068116243079</v>
      </c>
      <c r="BC177" s="16">
        <f t="shared" si="773"/>
        <v>150.25010674495536</v>
      </c>
      <c r="BD177" s="16">
        <f t="shared" si="773"/>
        <v>148.81412371595428</v>
      </c>
      <c r="BE177" s="16">
        <f>IFERROR(BE17/BE49*100,"")</f>
        <v>152.63276455771998</v>
      </c>
      <c r="BF177" s="16">
        <f t="shared" ref="BF177:BI177" si="774">IFERROR(BF17/BF49*100,"")</f>
        <v>163.01108623622548</v>
      </c>
      <c r="BG177" s="16">
        <f t="shared" si="774"/>
        <v>168.72448149789193</v>
      </c>
      <c r="BH177" s="16">
        <f t="shared" si="774"/>
        <v>177.74195780879816</v>
      </c>
      <c r="BI177" s="16">
        <f t="shared" si="774"/>
        <v>166.16909292345306</v>
      </c>
      <c r="BJ177" s="16">
        <f>IFERROR(BJ17/BJ49*100,"")</f>
        <v>168.67653250827277</v>
      </c>
      <c r="BK177" s="16">
        <f t="shared" ref="BK177:BN177" si="775">IFERROR(BK17/BK49*100,"")</f>
        <v>169.85506709142672</v>
      </c>
      <c r="BL177" s="16">
        <f t="shared" si="775"/>
        <v>172.12660117263346</v>
      </c>
      <c r="BM177" s="16">
        <f t="shared" si="775"/>
        <v>165.83573448120032</v>
      </c>
      <c r="BN177" s="16">
        <f t="shared" si="775"/>
        <v>168.91771519483041</v>
      </c>
      <c r="BO177" s="16">
        <f>IFERROR(BO17/BO49*100,"")</f>
        <v>169.58861662501309</v>
      </c>
      <c r="BP177" s="16">
        <f t="shared" ref="BP177:BS177" si="776">IFERROR(BP17/BP49*100,"")</f>
        <v>172.6875354726667</v>
      </c>
      <c r="BQ177" s="16">
        <f t="shared" si="776"/>
        <v>169.99472467674849</v>
      </c>
      <c r="BR177" s="16">
        <f t="shared" si="776"/>
        <v>173.93827944360032</v>
      </c>
      <c r="BS177" s="16">
        <f t="shared" si="776"/>
        <v>172.11354762738682</v>
      </c>
      <c r="BT177" s="16">
        <f>IFERROR(BT17/BT49*100,"")</f>
        <v>174.51592210834175</v>
      </c>
      <c r="BU177" s="16">
        <f t="shared" ref="BU177:BX177" si="777">IFERROR(BU17/BU49*100,"")</f>
        <v>175.32711078006531</v>
      </c>
      <c r="BV177" s="16">
        <f t="shared" si="777"/>
        <v>176.16154364506488</v>
      </c>
      <c r="BW177" s="16">
        <f t="shared" si="777"/>
        <v>171.14562775199147</v>
      </c>
      <c r="BX177" s="16">
        <f t="shared" si="777"/>
        <v>173.86184953809564</v>
      </c>
      <c r="BY177" s="16">
        <f>IFERROR(BY17/BY49*100,"")</f>
        <v>173.61626554631044</v>
      </c>
      <c r="BZ177" s="16">
        <f t="shared" ref="BZ177:CC177" si="778">IFERROR(BZ17/BZ49*100,"")</f>
        <v>175.11875325120769</v>
      </c>
      <c r="CA177" s="16">
        <f t="shared" si="778"/>
        <v>175.79257126752236</v>
      </c>
      <c r="CB177" s="16">
        <f t="shared" si="778"/>
        <v>175.956351173744</v>
      </c>
      <c r="CC177" s="16">
        <f t="shared" si="778"/>
        <v>175.34229479796105</v>
      </c>
      <c r="CD177" s="16">
        <f>IFERROR(CD17/CD49*100,"")</f>
        <v>178.17928256015296</v>
      </c>
      <c r="CE177" s="16">
        <f t="shared" ref="CE177:CH177" si="779">IFERROR(CE17/CE49*100,"")</f>
        <v>178.96795453744852</v>
      </c>
      <c r="CF177" s="16">
        <f t="shared" si="779"/>
        <v>178.33404128974394</v>
      </c>
      <c r="CG177" s="16">
        <f t="shared" si="779"/>
        <v>177.792662937789</v>
      </c>
      <c r="CH177" s="16">
        <f t="shared" si="779"/>
        <v>178.27954459545924</v>
      </c>
      <c r="CI177" s="16">
        <f>IFERROR(CI17/CI49*100,"")</f>
        <v>180.29947418784417</v>
      </c>
      <c r="CJ177" s="16">
        <f t="shared" ref="CJ177:CM177" si="780">IFERROR(CJ17/CJ49*100,"")</f>
        <v>183.03850135398775</v>
      </c>
      <c r="CK177" s="16">
        <f t="shared" si="780"/>
        <v>184.59874265798334</v>
      </c>
      <c r="CL177" s="16">
        <f t="shared" si="780"/>
        <v>185.58668114771177</v>
      </c>
      <c r="CM177" s="16">
        <f t="shared" si="780"/>
        <v>183.65747749392466</v>
      </c>
      <c r="CN177" s="16" t="str">
        <f>IFERROR(CN17/CN49*100,"")</f>
        <v/>
      </c>
      <c r="CO177" s="16" t="str">
        <f t="shared" ref="CO177:CR177" si="781">IFERROR(CO17/CO49*100,"")</f>
        <v/>
      </c>
      <c r="CP177" s="16" t="str">
        <f t="shared" si="781"/>
        <v/>
      </c>
      <c r="CQ177" s="16" t="str">
        <f t="shared" si="781"/>
        <v/>
      </c>
      <c r="CR177" s="16" t="str">
        <f t="shared" si="781"/>
        <v/>
      </c>
    </row>
    <row r="178" spans="1:96" s="9" customFormat="1" ht="15" x14ac:dyDescent="0.4">
      <c r="A178" s="25"/>
      <c r="B178" s="22"/>
      <c r="C178" s="22"/>
      <c r="D178" s="22"/>
      <c r="E178" s="22"/>
      <c r="F178" s="24"/>
      <c r="G178" s="22"/>
      <c r="H178" s="22"/>
      <c r="I178" s="22"/>
      <c r="J178" s="22"/>
      <c r="K178" s="24"/>
      <c r="L178" s="22"/>
      <c r="M178" s="22"/>
      <c r="N178" s="22"/>
      <c r="O178" s="22"/>
      <c r="P178" s="24"/>
      <c r="Q178" s="22"/>
      <c r="R178" s="22"/>
      <c r="S178" s="22"/>
      <c r="T178" s="22"/>
      <c r="U178" s="24"/>
      <c r="V178" s="22"/>
      <c r="W178" s="22"/>
      <c r="X178" s="22"/>
      <c r="Y178" s="22"/>
      <c r="Z178" s="24"/>
      <c r="AA178" s="22"/>
      <c r="AB178" s="22"/>
      <c r="AC178" s="22"/>
      <c r="AD178" s="22"/>
      <c r="AE178" s="24"/>
      <c r="AF178" s="22"/>
      <c r="AG178" s="22"/>
      <c r="AH178" s="22"/>
      <c r="AI178" s="22"/>
      <c r="AJ178" s="24"/>
      <c r="AK178" s="22"/>
      <c r="AL178" s="22"/>
      <c r="AM178" s="22"/>
      <c r="AN178" s="22"/>
      <c r="AO178" s="24"/>
      <c r="AP178" s="22"/>
      <c r="AQ178" s="22"/>
      <c r="AR178" s="22"/>
      <c r="AS178" s="22"/>
      <c r="AT178" s="24"/>
      <c r="AU178" s="22"/>
      <c r="AV178" s="22"/>
      <c r="AW178" s="22"/>
      <c r="AX178" s="22"/>
      <c r="AY178" s="24"/>
      <c r="AZ178" s="22"/>
      <c r="BA178" s="22"/>
      <c r="BB178" s="22"/>
      <c r="BC178" s="22"/>
      <c r="BD178" s="24"/>
      <c r="BE178" s="22"/>
      <c r="BF178" s="22"/>
      <c r="BG178" s="22"/>
      <c r="BH178" s="22"/>
      <c r="BI178" s="24"/>
      <c r="BJ178" s="22"/>
      <c r="BK178" s="22"/>
      <c r="BL178" s="22"/>
      <c r="BM178" s="22"/>
      <c r="BN178" s="24"/>
      <c r="BO178" s="22"/>
      <c r="BP178" s="22"/>
      <c r="BQ178" s="22"/>
      <c r="BR178" s="22"/>
      <c r="BS178" s="24"/>
      <c r="BT178" s="22"/>
      <c r="BU178" s="22"/>
      <c r="BV178" s="22"/>
      <c r="BW178" s="22"/>
      <c r="BX178" s="24"/>
      <c r="BY178" s="22"/>
      <c r="BZ178" s="22"/>
      <c r="CA178" s="22"/>
      <c r="CB178" s="22"/>
      <c r="CC178" s="24"/>
      <c r="CD178" s="22"/>
      <c r="CE178" s="22"/>
      <c r="CF178" s="22"/>
      <c r="CG178" s="22"/>
      <c r="CH178" s="24"/>
      <c r="CI178" s="22"/>
      <c r="CJ178" s="22"/>
      <c r="CK178" s="22"/>
      <c r="CL178" s="22"/>
      <c r="CM178" s="24"/>
      <c r="CN178" s="22"/>
      <c r="CO178" s="22"/>
      <c r="CP178" s="22"/>
      <c r="CQ178" s="22"/>
      <c r="CR178" s="24"/>
    </row>
    <row r="179" spans="1:96" s="17" customFormat="1" ht="15" x14ac:dyDescent="0.4">
      <c r="A179" s="15" t="s">
        <v>89</v>
      </c>
      <c r="B179" s="16">
        <f>IFERROR(B19/B51*100,"")</f>
        <v>77.328708021461097</v>
      </c>
      <c r="C179" s="16">
        <f t="shared" ref="C179:F179" si="782">IFERROR(C19/C51*100,"")</f>
        <v>77.858042543547029</v>
      </c>
      <c r="D179" s="16">
        <f t="shared" si="782"/>
        <v>78.755458109552606</v>
      </c>
      <c r="E179" s="16">
        <f t="shared" si="782"/>
        <v>79.284759505181739</v>
      </c>
      <c r="F179" s="16">
        <f t="shared" si="782"/>
        <v>78.321802299026828</v>
      </c>
      <c r="G179" s="16">
        <f>IFERROR(G19/G51*100,"")</f>
        <v>86.470268118767947</v>
      </c>
      <c r="H179" s="16">
        <f t="shared" ref="H179:K179" si="783">IFERROR(H19/H51*100,"")</f>
        <v>89.132197278697191</v>
      </c>
      <c r="I179" s="16">
        <f t="shared" si="783"/>
        <v>92.495479369951013</v>
      </c>
      <c r="J179" s="16">
        <f t="shared" si="783"/>
        <v>95.236831807335903</v>
      </c>
      <c r="K179" s="16">
        <f t="shared" si="783"/>
        <v>90.958951370413516</v>
      </c>
      <c r="L179" s="16">
        <f>IFERROR(L19/L51*100,"")</f>
        <v>100.09662298092006</v>
      </c>
      <c r="M179" s="16">
        <f t="shared" ref="M179:P179" si="784">IFERROR(M19/M51*100,"")</f>
        <v>100.0074257835806</v>
      </c>
      <c r="N179" s="16">
        <f t="shared" si="784"/>
        <v>99.873600394843578</v>
      </c>
      <c r="O179" s="16">
        <f t="shared" si="784"/>
        <v>100.03597689786228</v>
      </c>
      <c r="P179" s="16">
        <f t="shared" si="784"/>
        <v>100</v>
      </c>
      <c r="Q179" s="16">
        <f>IFERROR(Q19/Q51*100,"")</f>
        <v>102.49270882412762</v>
      </c>
      <c r="R179" s="16" t="str">
        <f t="shared" ref="R179:U179" si="785">IFERROR(R19/R51*100,"")</f>
        <v/>
      </c>
      <c r="S179" s="16">
        <f t="shared" si="785"/>
        <v>104.42725259726937</v>
      </c>
      <c r="T179" s="16">
        <f t="shared" si="785"/>
        <v>105.56301561951562</v>
      </c>
      <c r="U179" s="16" t="str">
        <f t="shared" si="785"/>
        <v/>
      </c>
      <c r="V179" s="16">
        <f>IFERROR(V19/V51*100,"")</f>
        <v>106.21868330610937</v>
      </c>
      <c r="W179" s="16">
        <f t="shared" ref="W179:Z179" si="786">IFERROR(W19/W51*100,"")</f>
        <v>110.81707748354279</v>
      </c>
      <c r="X179" s="16">
        <f t="shared" si="786"/>
        <v>115.38017576703182</v>
      </c>
      <c r="Y179" s="16">
        <f t="shared" si="786"/>
        <v>118.26210271770441</v>
      </c>
      <c r="Z179" s="16">
        <f t="shared" si="786"/>
        <v>112.83121061616586</v>
      </c>
      <c r="AA179" s="16">
        <f>IFERROR(AA19/AA51*100,"")</f>
        <v>113.19498654431163</v>
      </c>
      <c r="AB179" s="16">
        <f t="shared" ref="AB179:AE179" si="787">IFERROR(AB19/AB51*100,"")</f>
        <v>117.59108713661983</v>
      </c>
      <c r="AC179" s="16">
        <f t="shared" si="787"/>
        <v>121.09479156412215</v>
      </c>
      <c r="AD179" s="16">
        <f t="shared" si="787"/>
        <v>120.48216106272589</v>
      </c>
      <c r="AE179" s="16">
        <f t="shared" si="787"/>
        <v>118.05960383990694</v>
      </c>
      <c r="AF179" s="16">
        <f>IFERROR(AF19/AF51*100,"")</f>
        <v>122.11096990729236</v>
      </c>
      <c r="AG179" s="16">
        <f t="shared" ref="AG179:AJ179" si="788">IFERROR(AG19/AG51*100,"")</f>
        <v>123.1288176541936</v>
      </c>
      <c r="AH179" s="16">
        <f t="shared" si="788"/>
        <v>123.04374056992116</v>
      </c>
      <c r="AI179" s="16">
        <f t="shared" si="788"/>
        <v>122.2795180014743</v>
      </c>
      <c r="AJ179" s="16">
        <f t="shared" si="788"/>
        <v>122.62552673066951</v>
      </c>
      <c r="AK179" s="16">
        <f>IFERROR(AK19/AK51*100,"")</f>
        <v>123.48492598351069</v>
      </c>
      <c r="AL179" s="16">
        <f t="shared" ref="AL179:AO179" si="789">IFERROR(AL19/AL51*100,"")</f>
        <v>124.69849554880852</v>
      </c>
      <c r="AM179" s="16">
        <f t="shared" si="789"/>
        <v>124.65026272650535</v>
      </c>
      <c r="AN179" s="16">
        <f t="shared" si="789"/>
        <v>126.50752089096879</v>
      </c>
      <c r="AO179" s="16">
        <f t="shared" si="789"/>
        <v>124.90769852830827</v>
      </c>
      <c r="AP179" s="16">
        <f>IFERROR(AP19/AP51*100,"")</f>
        <v>128.1048991074656</v>
      </c>
      <c r="AQ179" s="16">
        <f t="shared" ref="AQ179:AT179" si="790">IFERROR(AQ19/AQ51*100,"")</f>
        <v>130.59171997740052</v>
      </c>
      <c r="AR179" s="16">
        <f t="shared" si="790"/>
        <v>132.93726931328652</v>
      </c>
      <c r="AS179" s="16">
        <f t="shared" si="790"/>
        <v>133.86747898987295</v>
      </c>
      <c r="AT179" s="16">
        <f t="shared" si="790"/>
        <v>131.48738810332708</v>
      </c>
      <c r="AU179" s="16">
        <f>IFERROR(AU19/AU51*100,"")</f>
        <v>135.49141022664543</v>
      </c>
      <c r="AV179" s="16">
        <f t="shared" ref="AV179:AY179" si="791">IFERROR(AV19/AV51*100,"")</f>
        <v>136.89247229069474</v>
      </c>
      <c r="AW179" s="16">
        <f t="shared" si="791"/>
        <v>138.97628490668728</v>
      </c>
      <c r="AX179" s="16">
        <f t="shared" si="791"/>
        <v>140.65133844991001</v>
      </c>
      <c r="AY179" s="16">
        <f t="shared" si="791"/>
        <v>138.09442572242912</v>
      </c>
      <c r="AZ179" s="16">
        <f>IFERROR(AZ19/AZ51*100,"")</f>
        <v>140.9072379796126</v>
      </c>
      <c r="BA179" s="16">
        <f t="shared" ref="BA179:BD179" si="792">IFERROR(BA19/BA51*100,"")</f>
        <v>141.93290091103313</v>
      </c>
      <c r="BB179" s="16">
        <f t="shared" si="792"/>
        <v>142.6333360011449</v>
      </c>
      <c r="BC179" s="16">
        <f t="shared" si="792"/>
        <v>144.20176426463502</v>
      </c>
      <c r="BD179" s="16">
        <f t="shared" si="792"/>
        <v>142.44833007254906</v>
      </c>
      <c r="BE179" s="16">
        <f>IFERROR(BE19/BE51*100,"")</f>
        <v>146.23800148747094</v>
      </c>
      <c r="BF179" s="16">
        <f t="shared" ref="BF179:BI179" si="793">IFERROR(BF19/BF51*100,"")</f>
        <v>147.50117428162039</v>
      </c>
      <c r="BG179" s="16">
        <f t="shared" si="793"/>
        <v>148.93761790912038</v>
      </c>
      <c r="BH179" s="16">
        <f t="shared" si="793"/>
        <v>149.71060066282797</v>
      </c>
      <c r="BI179" s="16">
        <f t="shared" si="793"/>
        <v>148.15986955116512</v>
      </c>
      <c r="BJ179" s="16">
        <f>IFERROR(BJ19/BJ51*100,"")</f>
        <v>151.41795911636586</v>
      </c>
      <c r="BK179" s="16">
        <f t="shared" ref="BK179:BZ181" si="794">IFERROR(BK19/BK51*100,"")</f>
        <v>152.11125488309537</v>
      </c>
      <c r="BL179" s="16">
        <f t="shared" si="794"/>
        <v>152.93602471217474</v>
      </c>
      <c r="BM179" s="16">
        <f t="shared" si="794"/>
        <v>152.40743048114149</v>
      </c>
      <c r="BN179" s="16">
        <f t="shared" si="794"/>
        <v>152.23414597676509</v>
      </c>
      <c r="BO179" s="16">
        <f>IFERROR(BO19/BO51*100,"")</f>
        <v>152.28808227625001</v>
      </c>
      <c r="BP179" s="16">
        <f t="shared" ref="BP179:BS179" si="795">IFERROR(BP19/BP51*100,"")</f>
        <v>155.12451447223009</v>
      </c>
      <c r="BQ179" s="16">
        <f t="shared" si="795"/>
        <v>155.72826277125833</v>
      </c>
      <c r="BR179" s="16">
        <f t="shared" si="795"/>
        <v>156.8904737204173</v>
      </c>
      <c r="BS179" s="16">
        <f t="shared" si="795"/>
        <v>155.06016445130305</v>
      </c>
      <c r="BT179" s="16">
        <f>IFERROR(BT19/BT51*100,"")</f>
        <v>157.00022881148698</v>
      </c>
      <c r="BU179" s="16">
        <f t="shared" ref="BU179:BX179" si="796">IFERROR(BU19/BU51*100,"")</f>
        <v>158.16754133836665</v>
      </c>
      <c r="BV179" s="16">
        <f t="shared" si="796"/>
        <v>159.07023316414833</v>
      </c>
      <c r="BW179" s="16">
        <f t="shared" si="796"/>
        <v>160.82700924264404</v>
      </c>
      <c r="BX179" s="16">
        <f t="shared" si="796"/>
        <v>158.8396263806334</v>
      </c>
      <c r="BY179" s="16">
        <f>IFERROR(BY19/BY51*100,"")</f>
        <v>158.58693799777294</v>
      </c>
      <c r="BZ179" s="16">
        <f t="shared" ref="BZ179:CE181" si="797">IFERROR(BZ19/BZ51*100,"")</f>
        <v>160.34601751845221</v>
      </c>
      <c r="CA179" s="16">
        <f t="shared" si="797"/>
        <v>161.63515765338951</v>
      </c>
      <c r="CB179" s="16">
        <f t="shared" si="797"/>
        <v>162.47743540389794</v>
      </c>
      <c r="CC179" s="16">
        <f t="shared" si="797"/>
        <v>160.81549736437626</v>
      </c>
      <c r="CD179" s="16">
        <f>IFERROR(CD19/CD51*100,"")</f>
        <v>162.7532425917137</v>
      </c>
      <c r="CE179" s="16">
        <f t="shared" ref="CE179:CJ181" si="798">IFERROR(CE19/CE51*100,"")</f>
        <v>163.6410081194968</v>
      </c>
      <c r="CF179" s="16">
        <f t="shared" si="798"/>
        <v>164.57321618984091</v>
      </c>
      <c r="CG179" s="16">
        <f t="shared" si="798"/>
        <v>165.641026530452</v>
      </c>
      <c r="CH179" s="16">
        <f t="shared" si="798"/>
        <v>164.19328964265844</v>
      </c>
      <c r="CI179" s="16">
        <f>IFERROR(CI19/CI51*100,"")</f>
        <v>166.26185222155411</v>
      </c>
      <c r="CJ179" s="16">
        <f t="shared" ref="CJ179:CR181" si="799">IFERROR(CJ19/CJ51*100,"")</f>
        <v>167.20585798293962</v>
      </c>
      <c r="CK179" s="16">
        <f t="shared" si="799"/>
        <v>167.78093428943924</v>
      </c>
      <c r="CL179" s="16">
        <f t="shared" si="799"/>
        <v>168.30885306378605</v>
      </c>
      <c r="CM179" s="16">
        <f t="shared" si="799"/>
        <v>167.41438466980915</v>
      </c>
      <c r="CN179" s="16" t="str">
        <f>IFERROR(CN19/CN51*100,"")</f>
        <v/>
      </c>
      <c r="CO179" s="16" t="str">
        <f t="shared" ref="CO179:CR179" si="800">IFERROR(CO19/CO51*100,"")</f>
        <v/>
      </c>
      <c r="CP179" s="16" t="str">
        <f t="shared" si="800"/>
        <v/>
      </c>
      <c r="CQ179" s="16" t="str">
        <f t="shared" si="800"/>
        <v/>
      </c>
      <c r="CR179" s="16" t="str">
        <f t="shared" si="800"/>
        <v/>
      </c>
    </row>
    <row r="180" spans="1:96" s="9" customFormat="1" ht="15" x14ac:dyDescent="0.4">
      <c r="A180" s="18" t="s">
        <v>90</v>
      </c>
      <c r="B180" s="39">
        <f t="shared" ref="B180:BM181" si="801">IFERROR(B20/B52*100,"")</f>
        <v>73.914653785498018</v>
      </c>
      <c r="C180" s="39">
        <f t="shared" si="801"/>
        <v>75.066569320416093</v>
      </c>
      <c r="D180" s="39">
        <f t="shared" si="801"/>
        <v>75.562316195179164</v>
      </c>
      <c r="E180" s="39">
        <f t="shared" si="801"/>
        <v>76.537836777909135</v>
      </c>
      <c r="F180" s="40">
        <f t="shared" si="801"/>
        <v>75.305341546659122</v>
      </c>
      <c r="G180" s="39">
        <f t="shared" si="801"/>
        <v>77.627543261245563</v>
      </c>
      <c r="H180" s="39">
        <f t="shared" si="801"/>
        <v>84.266702788150411</v>
      </c>
      <c r="I180" s="39">
        <f t="shared" si="801"/>
        <v>89.805227529016577</v>
      </c>
      <c r="J180" s="39">
        <f t="shared" si="801"/>
        <v>95.243919962705093</v>
      </c>
      <c r="K180" s="40">
        <f t="shared" si="801"/>
        <v>87.145589754935273</v>
      </c>
      <c r="L180" s="39">
        <f t="shared" si="801"/>
        <v>100.22275554927288</v>
      </c>
      <c r="M180" s="39">
        <f t="shared" si="801"/>
        <v>99.999295979808096</v>
      </c>
      <c r="N180" s="39">
        <f t="shared" si="801"/>
        <v>99.806173637340805</v>
      </c>
      <c r="O180" s="39">
        <f t="shared" si="801"/>
        <v>99.991092907934487</v>
      </c>
      <c r="P180" s="40">
        <f t="shared" si="801"/>
        <v>100</v>
      </c>
      <c r="Q180" s="39">
        <f t="shared" si="801"/>
        <v>99.144746340866917</v>
      </c>
      <c r="R180" s="39" t="str">
        <f t="shared" si="801"/>
        <v/>
      </c>
      <c r="S180" s="39">
        <f t="shared" si="801"/>
        <v>111.28887882746635</v>
      </c>
      <c r="T180" s="39">
        <f t="shared" si="801"/>
        <v>110.22012917816957</v>
      </c>
      <c r="U180" s="40" t="str">
        <f t="shared" si="801"/>
        <v/>
      </c>
      <c r="V180" s="39">
        <f t="shared" si="801"/>
        <v>114.85343613938466</v>
      </c>
      <c r="W180" s="39">
        <f t="shared" si="801"/>
        <v>116.57668678181507</v>
      </c>
      <c r="X180" s="39">
        <f t="shared" si="801"/>
        <v>121.28368381780807</v>
      </c>
      <c r="Y180" s="39">
        <f t="shared" si="801"/>
        <v>130.79768247544234</v>
      </c>
      <c r="Z180" s="40">
        <f t="shared" si="801"/>
        <v>121.05858239429266</v>
      </c>
      <c r="AA180" s="39">
        <f t="shared" si="801"/>
        <v>122.61682465650176</v>
      </c>
      <c r="AB180" s="39">
        <f t="shared" si="801"/>
        <v>127.05132456863075</v>
      </c>
      <c r="AC180" s="39">
        <f t="shared" si="801"/>
        <v>130.95821664348577</v>
      </c>
      <c r="AD180" s="39">
        <f t="shared" si="801"/>
        <v>130.65269323522108</v>
      </c>
      <c r="AE180" s="40">
        <f t="shared" si="801"/>
        <v>127.86014291368792</v>
      </c>
      <c r="AF180" s="39">
        <f t="shared" si="801"/>
        <v>132.48505040902279</v>
      </c>
      <c r="AG180" s="39">
        <f t="shared" si="801"/>
        <v>131.81382608418099</v>
      </c>
      <c r="AH180" s="39">
        <f t="shared" si="801"/>
        <v>131.24530279778469</v>
      </c>
      <c r="AI180" s="39">
        <f t="shared" si="801"/>
        <v>129.93305139248727</v>
      </c>
      <c r="AJ180" s="40">
        <f t="shared" si="801"/>
        <v>131.33984893195785</v>
      </c>
      <c r="AK180" s="39">
        <f t="shared" si="801"/>
        <v>131.90924408170136</v>
      </c>
      <c r="AL180" s="39">
        <f t="shared" si="801"/>
        <v>133.129967034667</v>
      </c>
      <c r="AM180" s="39">
        <f t="shared" si="801"/>
        <v>133.2991238103188</v>
      </c>
      <c r="AN180" s="39">
        <f t="shared" si="801"/>
        <v>134.69158571676672</v>
      </c>
      <c r="AO180" s="40">
        <f t="shared" si="801"/>
        <v>133.32364416393554</v>
      </c>
      <c r="AP180" s="39">
        <f t="shared" si="801"/>
        <v>137.89151975647289</v>
      </c>
      <c r="AQ180" s="39">
        <f t="shared" si="801"/>
        <v>139.37886892095099</v>
      </c>
      <c r="AR180" s="39">
        <f t="shared" si="801"/>
        <v>140.81498621806108</v>
      </c>
      <c r="AS180" s="39">
        <f t="shared" si="801"/>
        <v>142.02513380475125</v>
      </c>
      <c r="AT180" s="40">
        <f t="shared" si="801"/>
        <v>140.10517943407348</v>
      </c>
      <c r="AU180" s="39">
        <f t="shared" si="801"/>
        <v>143.79032675916048</v>
      </c>
      <c r="AV180" s="39">
        <f t="shared" si="801"/>
        <v>144.72153569654074</v>
      </c>
      <c r="AW180" s="39">
        <f t="shared" si="801"/>
        <v>147.18275465593882</v>
      </c>
      <c r="AX180" s="39">
        <f t="shared" si="801"/>
        <v>149.57197197323529</v>
      </c>
      <c r="AY180" s="40">
        <f t="shared" si="801"/>
        <v>146.45005324851201</v>
      </c>
      <c r="AZ180" s="39">
        <f t="shared" si="801"/>
        <v>149.63694502608891</v>
      </c>
      <c r="BA180" s="39">
        <f t="shared" si="801"/>
        <v>149.99634198576842</v>
      </c>
      <c r="BB180" s="39">
        <f t="shared" si="801"/>
        <v>150.08120356130806</v>
      </c>
      <c r="BC180" s="39">
        <f t="shared" si="801"/>
        <v>152.36352740828218</v>
      </c>
      <c r="BD180" s="40">
        <f t="shared" si="801"/>
        <v>150.55205826338272</v>
      </c>
      <c r="BE180" s="39">
        <f t="shared" si="801"/>
        <v>154.46197755523644</v>
      </c>
      <c r="BF180" s="39">
        <f t="shared" si="801"/>
        <v>155.28130333087563</v>
      </c>
      <c r="BG180" s="39">
        <f t="shared" si="801"/>
        <v>156.86381739069881</v>
      </c>
      <c r="BH180" s="39">
        <f t="shared" si="801"/>
        <v>157.89362297140158</v>
      </c>
      <c r="BI180" s="40">
        <f t="shared" si="801"/>
        <v>156.18296389130012</v>
      </c>
      <c r="BJ180" s="39">
        <f t="shared" si="801"/>
        <v>159.62865454844081</v>
      </c>
      <c r="BK180" s="39">
        <f t="shared" si="801"/>
        <v>160.04526080165709</v>
      </c>
      <c r="BL180" s="39">
        <f t="shared" si="801"/>
        <v>161.57385971226989</v>
      </c>
      <c r="BM180" s="39">
        <f t="shared" si="801"/>
        <v>161.05714368699421</v>
      </c>
      <c r="BN180" s="40">
        <f t="shared" si="794"/>
        <v>160.60385430590185</v>
      </c>
      <c r="BO180" s="39">
        <f t="shared" si="794"/>
        <v>161.20413997375019</v>
      </c>
      <c r="BP180" s="39">
        <f t="shared" si="794"/>
        <v>164.9131473829818</v>
      </c>
      <c r="BQ180" s="39">
        <f t="shared" si="794"/>
        <v>164.96812446999766</v>
      </c>
      <c r="BR180" s="39">
        <f t="shared" si="794"/>
        <v>166.67379859744196</v>
      </c>
      <c r="BS180" s="40">
        <f t="shared" si="794"/>
        <v>164.54144222534194</v>
      </c>
      <c r="BT180" s="39">
        <f t="shared" si="794"/>
        <v>167.27397526029321</v>
      </c>
      <c r="BU180" s="39">
        <f t="shared" si="794"/>
        <v>167.5535614091128</v>
      </c>
      <c r="BV180" s="39">
        <f t="shared" si="794"/>
        <v>168.00890653466661</v>
      </c>
      <c r="BW180" s="39">
        <f t="shared" si="794"/>
        <v>170.40948050473301</v>
      </c>
      <c r="BX180" s="40">
        <f t="shared" si="794"/>
        <v>168.37988043215287</v>
      </c>
      <c r="BY180" s="39">
        <f t="shared" si="794"/>
        <v>170.26685634195599</v>
      </c>
      <c r="BZ180" s="39">
        <f t="shared" si="794"/>
        <v>171.80753515148757</v>
      </c>
      <c r="CA180" s="39">
        <f t="shared" si="797"/>
        <v>172.93188660609403</v>
      </c>
      <c r="CB180" s="39">
        <f t="shared" si="797"/>
        <v>174.11793897433296</v>
      </c>
      <c r="CC180" s="40">
        <f t="shared" si="797"/>
        <v>172.32465487511411</v>
      </c>
      <c r="CD180" s="39">
        <f t="shared" si="797"/>
        <v>174.15578070538794</v>
      </c>
      <c r="CE180" s="39">
        <f t="shared" si="797"/>
        <v>175.44316132624041</v>
      </c>
      <c r="CF180" s="39">
        <f t="shared" si="798"/>
        <v>176.11104783544627</v>
      </c>
      <c r="CG180" s="39">
        <f t="shared" si="798"/>
        <v>177.6275983982201</v>
      </c>
      <c r="CH180" s="40">
        <f t="shared" si="798"/>
        <v>175.8748402473164</v>
      </c>
      <c r="CI180" s="39">
        <f t="shared" si="798"/>
        <v>177.71575090653133</v>
      </c>
      <c r="CJ180" s="39">
        <f t="shared" si="798"/>
        <v>178.46841961810611</v>
      </c>
      <c r="CK180" s="39">
        <f t="shared" si="799"/>
        <v>178.87023817871818</v>
      </c>
      <c r="CL180" s="39">
        <f t="shared" si="799"/>
        <v>179.70454740258657</v>
      </c>
      <c r="CM180" s="40">
        <f t="shared" si="799"/>
        <v>178.71360652175557</v>
      </c>
      <c r="CN180" s="39" t="str">
        <f t="shared" si="799"/>
        <v/>
      </c>
      <c r="CO180" s="39" t="str">
        <f t="shared" si="799"/>
        <v/>
      </c>
      <c r="CP180" s="39" t="str">
        <f t="shared" si="799"/>
        <v/>
      </c>
      <c r="CQ180" s="39" t="str">
        <f t="shared" si="799"/>
        <v/>
      </c>
      <c r="CR180" s="40" t="str">
        <f t="shared" si="799"/>
        <v/>
      </c>
    </row>
    <row r="181" spans="1:96" s="9" customFormat="1" ht="15" x14ac:dyDescent="0.4">
      <c r="A181" s="18" t="s">
        <v>91</v>
      </c>
      <c r="B181" s="39">
        <f t="shared" si="801"/>
        <v>80.773559465073035</v>
      </c>
      <c r="C181" s="39">
        <f t="shared" si="801"/>
        <v>80.73362683229378</v>
      </c>
      <c r="D181" s="39">
        <f t="shared" si="801"/>
        <v>82.187659441059495</v>
      </c>
      <c r="E181" s="39">
        <f t="shared" si="801"/>
        <v>82.321412113552711</v>
      </c>
      <c r="F181" s="40">
        <f t="shared" si="801"/>
        <v>81.503981777892591</v>
      </c>
      <c r="G181" s="39">
        <f t="shared" si="801"/>
        <v>96.77428790074903</v>
      </c>
      <c r="H181" s="39">
        <f t="shared" si="801"/>
        <v>94.884679821558223</v>
      </c>
      <c r="I181" s="39">
        <f t="shared" si="801"/>
        <v>95.862147492231614</v>
      </c>
      <c r="J181" s="39">
        <f t="shared" si="801"/>
        <v>95.227230469969669</v>
      </c>
      <c r="K181" s="40">
        <f t="shared" si="801"/>
        <v>95.682759111273569</v>
      </c>
      <c r="L181" s="39">
        <f t="shared" si="801"/>
        <v>99.936313413927422</v>
      </c>
      <c r="M181" s="39">
        <f t="shared" si="801"/>
        <v>100.01568630438329</v>
      </c>
      <c r="N181" s="39">
        <f t="shared" si="801"/>
        <v>99.947582178937964</v>
      </c>
      <c r="O181" s="39">
        <f t="shared" si="801"/>
        <v>100.09361527816947</v>
      </c>
      <c r="P181" s="40">
        <f t="shared" si="801"/>
        <v>99.999999999999986</v>
      </c>
      <c r="Q181" s="39">
        <f t="shared" si="801"/>
        <v>105.78468241249345</v>
      </c>
      <c r="R181" s="39" t="str">
        <f t="shared" si="801"/>
        <v/>
      </c>
      <c r="S181" s="39">
        <f t="shared" si="801"/>
        <v>97.772126664897698</v>
      </c>
      <c r="T181" s="39">
        <f t="shared" si="801"/>
        <v>100.75660859933093</v>
      </c>
      <c r="U181" s="40" t="str">
        <f t="shared" si="801"/>
        <v/>
      </c>
      <c r="V181" s="39">
        <f t="shared" si="801"/>
        <v>97.59100291295897</v>
      </c>
      <c r="W181" s="39">
        <f t="shared" si="801"/>
        <v>105.17743761474732</v>
      </c>
      <c r="X181" s="39">
        <f t="shared" si="801"/>
        <v>109.69650552215018</v>
      </c>
      <c r="Y181" s="39">
        <f t="shared" si="801"/>
        <v>105.74388926684715</v>
      </c>
      <c r="Z181" s="40">
        <f t="shared" si="801"/>
        <v>104.73094526122782</v>
      </c>
      <c r="AA181" s="39">
        <f t="shared" si="801"/>
        <v>104.39216136742793</v>
      </c>
      <c r="AB181" s="39">
        <f t="shared" si="801"/>
        <v>106.56496284332495</v>
      </c>
      <c r="AC181" s="39">
        <f t="shared" si="801"/>
        <v>110.49834648178367</v>
      </c>
      <c r="AD181" s="39">
        <f t="shared" si="801"/>
        <v>110.22320291377012</v>
      </c>
      <c r="AE181" s="40">
        <f t="shared" si="801"/>
        <v>107.89337405777528</v>
      </c>
      <c r="AF181" s="39">
        <f t="shared" si="801"/>
        <v>112.34117385496543</v>
      </c>
      <c r="AG181" s="39">
        <f t="shared" si="801"/>
        <v>112.68532188622522</v>
      </c>
      <c r="AH181" s="39">
        <f t="shared" si="801"/>
        <v>113.59187228974206</v>
      </c>
      <c r="AI181" s="39">
        <f t="shared" si="801"/>
        <v>114.17446336509501</v>
      </c>
      <c r="AJ181" s="40">
        <f t="shared" si="801"/>
        <v>113.20283102568266</v>
      </c>
      <c r="AK181" s="39">
        <f t="shared" si="801"/>
        <v>114.43192338825645</v>
      </c>
      <c r="AL181" s="39">
        <f t="shared" si="801"/>
        <v>115.3088599305955</v>
      </c>
      <c r="AM181" s="39">
        <f t="shared" si="801"/>
        <v>115.1581019007308</v>
      </c>
      <c r="AN181" s="39">
        <f t="shared" si="801"/>
        <v>117.7233878678972</v>
      </c>
      <c r="AO181" s="40">
        <f t="shared" si="801"/>
        <v>115.73939472579937</v>
      </c>
      <c r="AP181" s="39">
        <f t="shared" si="801"/>
        <v>117.53234149750062</v>
      </c>
      <c r="AQ181" s="39">
        <f t="shared" si="801"/>
        <v>121.00840728998467</v>
      </c>
      <c r="AR181" s="39">
        <f t="shared" si="801"/>
        <v>124.32324197232749</v>
      </c>
      <c r="AS181" s="39">
        <f t="shared" si="801"/>
        <v>125.19101598213412</v>
      </c>
      <c r="AT181" s="40">
        <f t="shared" si="801"/>
        <v>122.16692712201144</v>
      </c>
      <c r="AU181" s="39">
        <f t="shared" si="801"/>
        <v>126.53155915409762</v>
      </c>
      <c r="AV181" s="39">
        <f t="shared" si="801"/>
        <v>128.46881200810856</v>
      </c>
      <c r="AW181" s="39">
        <f t="shared" si="801"/>
        <v>130.05461394740522</v>
      </c>
      <c r="AX181" s="39">
        <f t="shared" si="801"/>
        <v>130.34228689539421</v>
      </c>
      <c r="AY181" s="40">
        <f t="shared" si="801"/>
        <v>128.89956897587649</v>
      </c>
      <c r="AZ181" s="39">
        <f t="shared" si="801"/>
        <v>131.50482760821126</v>
      </c>
      <c r="BA181" s="39">
        <f t="shared" si="801"/>
        <v>133.06248115165408</v>
      </c>
      <c r="BB181" s="39">
        <f t="shared" si="801"/>
        <v>134.39423939398867</v>
      </c>
      <c r="BC181" s="39">
        <f t="shared" si="801"/>
        <v>134.94687031342627</v>
      </c>
      <c r="BD181" s="40">
        <f t="shared" si="801"/>
        <v>133.49676862036875</v>
      </c>
      <c r="BE181" s="39">
        <f t="shared" si="801"/>
        <v>137.01317948294744</v>
      </c>
      <c r="BF181" s="39">
        <f t="shared" si="801"/>
        <v>138.8515348571151</v>
      </c>
      <c r="BG181" s="39">
        <f t="shared" si="801"/>
        <v>140.18566028293282</v>
      </c>
      <c r="BH181" s="39">
        <f t="shared" si="801"/>
        <v>140.77975902435958</v>
      </c>
      <c r="BI181" s="40">
        <f t="shared" si="801"/>
        <v>139.2809335346935</v>
      </c>
      <c r="BJ181" s="39">
        <f t="shared" si="801"/>
        <v>142.63545769668295</v>
      </c>
      <c r="BK181" s="39">
        <f t="shared" si="801"/>
        <v>143.07067968595916</v>
      </c>
      <c r="BL181" s="39">
        <f t="shared" si="801"/>
        <v>143.13465459654211</v>
      </c>
      <c r="BM181" s="39">
        <f t="shared" si="801"/>
        <v>143.20598082582814</v>
      </c>
      <c r="BN181" s="40">
        <f t="shared" si="794"/>
        <v>143.01695982616874</v>
      </c>
      <c r="BO181" s="39">
        <f t="shared" si="794"/>
        <v>143.24442793503835</v>
      </c>
      <c r="BP181" s="39">
        <f t="shared" si="794"/>
        <v>144.50346546353495</v>
      </c>
      <c r="BQ181" s="39">
        <f t="shared" si="794"/>
        <v>145.26682947025503</v>
      </c>
      <c r="BR181" s="39">
        <f t="shared" si="794"/>
        <v>145.60365297041628</v>
      </c>
      <c r="BS181" s="40">
        <f t="shared" si="794"/>
        <v>144.66163879390268</v>
      </c>
      <c r="BT181" s="39">
        <f t="shared" si="794"/>
        <v>146.09454149338984</v>
      </c>
      <c r="BU181" s="39">
        <f t="shared" si="794"/>
        <v>148.24279002861934</v>
      </c>
      <c r="BV181" s="39">
        <f t="shared" si="794"/>
        <v>149.68216722992079</v>
      </c>
      <c r="BW181" s="39">
        <f t="shared" si="794"/>
        <v>150.34291140584318</v>
      </c>
      <c r="BX181" s="40">
        <f t="shared" si="794"/>
        <v>148.66699251542397</v>
      </c>
      <c r="BY181" s="39">
        <f t="shared" si="794"/>
        <v>146.03047158264346</v>
      </c>
      <c r="BZ181" s="39">
        <f t="shared" si="794"/>
        <v>149.28659258524573</v>
      </c>
      <c r="CA181" s="39">
        <f t="shared" si="797"/>
        <v>150.11697679672389</v>
      </c>
      <c r="CB181" s="39">
        <f t="shared" si="797"/>
        <v>150.54954768205565</v>
      </c>
      <c r="CC181" s="40">
        <f t="shared" si="797"/>
        <v>149.0753762342089</v>
      </c>
      <c r="CD181" s="39">
        <f t="shared" si="797"/>
        <v>151.00170748518039</v>
      </c>
      <c r="CE181" s="39">
        <f t="shared" si="797"/>
        <v>151.70292483885424</v>
      </c>
      <c r="CF181" s="39">
        <f t="shared" si="798"/>
        <v>152.9972499957087</v>
      </c>
      <c r="CG181" s="39">
        <f t="shared" si="798"/>
        <v>153.65163445537601</v>
      </c>
      <c r="CH181" s="40">
        <f t="shared" si="798"/>
        <v>152.38409244960235</v>
      </c>
      <c r="CI181" s="39">
        <f t="shared" si="798"/>
        <v>154.71159030804637</v>
      </c>
      <c r="CJ181" s="39">
        <f t="shared" si="798"/>
        <v>155.85264420791063</v>
      </c>
      <c r="CK181" s="39">
        <f t="shared" si="799"/>
        <v>156.52316582074158</v>
      </c>
      <c r="CL181" s="39">
        <f t="shared" si="799"/>
        <v>156.82667847523575</v>
      </c>
      <c r="CM181" s="40">
        <f t="shared" si="799"/>
        <v>156.0041107727219</v>
      </c>
      <c r="CN181" s="39" t="str">
        <f t="shared" si="799"/>
        <v/>
      </c>
      <c r="CO181" s="39" t="str">
        <f t="shared" si="799"/>
        <v/>
      </c>
      <c r="CP181" s="39" t="str">
        <f t="shared" si="799"/>
        <v/>
      </c>
      <c r="CQ181" s="39" t="str">
        <f t="shared" si="799"/>
        <v/>
      </c>
      <c r="CR181" s="40" t="str">
        <f t="shared" si="799"/>
        <v/>
      </c>
    </row>
    <row r="182" spans="1:96" s="9" customFormat="1" ht="15" x14ac:dyDescent="0.4">
      <c r="A182" s="25"/>
      <c r="B182" s="22"/>
      <c r="C182" s="22"/>
      <c r="D182" s="22"/>
      <c r="E182" s="22"/>
      <c r="F182" s="24"/>
      <c r="G182" s="22"/>
      <c r="H182" s="22"/>
      <c r="I182" s="22"/>
      <c r="J182" s="22"/>
      <c r="K182" s="24"/>
      <c r="L182" s="22"/>
      <c r="M182" s="22"/>
      <c r="N182" s="22"/>
      <c r="O182" s="22"/>
      <c r="P182" s="24"/>
      <c r="Q182" s="22"/>
      <c r="R182" s="22"/>
      <c r="S182" s="22"/>
      <c r="T182" s="22"/>
      <c r="U182" s="24"/>
      <c r="V182" s="22"/>
      <c r="W182" s="22"/>
      <c r="X182" s="22"/>
      <c r="Y182" s="22"/>
      <c r="Z182" s="24"/>
      <c r="AA182" s="22"/>
      <c r="AB182" s="22"/>
      <c r="AC182" s="22"/>
      <c r="AD182" s="22"/>
      <c r="AE182" s="24"/>
      <c r="AF182" s="22"/>
      <c r="AG182" s="22"/>
      <c r="AH182" s="22"/>
      <c r="AI182" s="22"/>
      <c r="AJ182" s="24"/>
      <c r="AK182" s="22"/>
      <c r="AL182" s="22"/>
      <c r="AM182" s="22"/>
      <c r="AN182" s="22"/>
      <c r="AO182" s="24"/>
      <c r="AP182" s="22"/>
      <c r="AQ182" s="22"/>
      <c r="AR182" s="22"/>
      <c r="AS182" s="22"/>
      <c r="AT182" s="24"/>
      <c r="AU182" s="22"/>
      <c r="AV182" s="22"/>
      <c r="AW182" s="22"/>
      <c r="AX182" s="22"/>
      <c r="AY182" s="24"/>
      <c r="AZ182" s="22"/>
      <c r="BA182" s="22"/>
      <c r="BB182" s="22"/>
      <c r="BC182" s="22"/>
      <c r="BD182" s="24"/>
      <c r="BE182" s="22"/>
      <c r="BF182" s="22"/>
      <c r="BG182" s="22"/>
      <c r="BH182" s="22"/>
      <c r="BI182" s="24"/>
      <c r="BJ182" s="22"/>
      <c r="BK182" s="22"/>
      <c r="BL182" s="22"/>
      <c r="BM182" s="22"/>
      <c r="BN182" s="24"/>
      <c r="BO182" s="22"/>
      <c r="BP182" s="22"/>
      <c r="BQ182" s="22"/>
      <c r="BR182" s="22"/>
      <c r="BS182" s="24"/>
      <c r="BT182" s="22"/>
      <c r="BU182" s="22"/>
      <c r="BV182" s="22"/>
      <c r="BW182" s="22"/>
      <c r="BX182" s="24"/>
      <c r="BY182" s="22"/>
      <c r="BZ182" s="22"/>
      <c r="CA182" s="22"/>
      <c r="CB182" s="22"/>
      <c r="CC182" s="24"/>
      <c r="CD182" s="22"/>
      <c r="CE182" s="22"/>
      <c r="CF182" s="22"/>
      <c r="CG182" s="22"/>
      <c r="CH182" s="24"/>
      <c r="CI182" s="22"/>
      <c r="CJ182" s="22"/>
      <c r="CK182" s="22"/>
      <c r="CL182" s="22"/>
      <c r="CM182" s="24"/>
      <c r="CN182" s="22"/>
      <c r="CO182" s="22"/>
      <c r="CP182" s="22"/>
      <c r="CQ182" s="22"/>
      <c r="CR182" s="24"/>
    </row>
    <row r="183" spans="1:96" s="17" customFormat="1" ht="15" x14ac:dyDescent="0.4">
      <c r="A183" s="15" t="s">
        <v>92</v>
      </c>
      <c r="B183" s="16">
        <f>IFERROR(B23/B55*100,"")</f>
        <v>94.06603884456824</v>
      </c>
      <c r="C183" s="16">
        <f t="shared" ref="C183:F183" si="802">IFERROR(C23/C55*100,"")</f>
        <v>95.074156403769308</v>
      </c>
      <c r="D183" s="16">
        <f t="shared" si="802"/>
        <v>95.323952276987825</v>
      </c>
      <c r="E183" s="16">
        <f t="shared" si="802"/>
        <v>104.17900370704443</v>
      </c>
      <c r="F183" s="16">
        <f t="shared" si="802"/>
        <v>95.399730297782042</v>
      </c>
      <c r="G183" s="16">
        <f>IFERROR(G23/G55*100,"")</f>
        <v>85.015635218008839</v>
      </c>
      <c r="H183" s="16">
        <f t="shared" ref="H183:K183" si="803">IFERROR(H23/H55*100,"")</f>
        <v>77.285000081325165</v>
      </c>
      <c r="I183" s="16">
        <f t="shared" si="803"/>
        <v>96.179233687083965</v>
      </c>
      <c r="J183" s="16">
        <f t="shared" si="803"/>
        <v>77.870541183164789</v>
      </c>
      <c r="K183" s="16">
        <f t="shared" si="803"/>
        <v>85.24418481808182</v>
      </c>
      <c r="L183" s="16">
        <f>IFERROR(L23/L55*100,"")</f>
        <v>92.401969939168424</v>
      </c>
      <c r="M183" s="16">
        <f t="shared" ref="M183:P183" si="804">IFERROR(M23/M55*100,"")</f>
        <v>101.89618010046857</v>
      </c>
      <c r="N183" s="16">
        <f t="shared" si="804"/>
        <v>107.66521876155863</v>
      </c>
      <c r="O183" s="16">
        <f t="shared" si="804"/>
        <v>74.857144083391717</v>
      </c>
      <c r="P183" s="16">
        <f t="shared" si="804"/>
        <v>100.00000000000003</v>
      </c>
      <c r="Q183" s="16">
        <f>IFERROR(Q23/Q55*100,"")</f>
        <v>115.53671008575527</v>
      </c>
      <c r="R183" s="16" t="str">
        <f t="shared" ref="R183:U183" si="805">IFERROR(R23/R55*100,"")</f>
        <v/>
      </c>
      <c r="S183" s="16">
        <f t="shared" si="805"/>
        <v>115.52859891211756</v>
      </c>
      <c r="T183" s="16">
        <f t="shared" si="805"/>
        <v>95.322748115977717</v>
      </c>
      <c r="U183" s="16" t="str">
        <f t="shared" si="805"/>
        <v/>
      </c>
      <c r="V183" s="16">
        <f>IFERROR(V23/V55*100,"")</f>
        <v>100.36232880130409</v>
      </c>
      <c r="W183" s="16">
        <f t="shared" ref="W183:Z183" si="806">IFERROR(W23/W55*100,"")</f>
        <v>109.54986862163585</v>
      </c>
      <c r="X183" s="16">
        <f t="shared" si="806"/>
        <v>104.31166363626141</v>
      </c>
      <c r="Y183" s="16">
        <f t="shared" si="806"/>
        <v>108.55048188878445</v>
      </c>
      <c r="Z183" s="16">
        <f t="shared" si="806"/>
        <v>104.95580326185174</v>
      </c>
      <c r="AA183" s="16">
        <f>IFERROR(AA23/AA55*100,"")</f>
        <v>129.31054125861976</v>
      </c>
      <c r="AB183" s="16">
        <f t="shared" ref="AB183:AE183" si="807">IFERROR(AB23/AB55*100,"")</f>
        <v>146.17716362458268</v>
      </c>
      <c r="AC183" s="16">
        <f t="shared" si="807"/>
        <v>167.46218681297529</v>
      </c>
      <c r="AD183" s="16">
        <f t="shared" si="807"/>
        <v>170.35597772422148</v>
      </c>
      <c r="AE183" s="16">
        <f t="shared" si="807"/>
        <v>146.62913866108198</v>
      </c>
      <c r="AF183" s="16">
        <f>IFERROR(AF23/AF55*100,"")</f>
        <v>141.05965741948657</v>
      </c>
      <c r="AG183" s="16">
        <f t="shared" ref="AG183:AJ183" si="808">IFERROR(AG23/AG55*100,"")</f>
        <v>152.49282000336822</v>
      </c>
      <c r="AH183" s="16">
        <f t="shared" si="808"/>
        <v>164.40952885693352</v>
      </c>
      <c r="AI183" s="16">
        <f t="shared" si="808"/>
        <v>158.32336976215234</v>
      </c>
      <c r="AJ183" s="16">
        <f t="shared" si="808"/>
        <v>153.38491776139546</v>
      </c>
      <c r="AK183" s="16">
        <f>IFERROR(AK23/AK55*100,"")</f>
        <v>161.12751154950698</v>
      </c>
      <c r="AL183" s="16">
        <f t="shared" ref="AL183:AO183" si="809">IFERROR(AL23/AL55*100,"")</f>
        <v>163.40324728072372</v>
      </c>
      <c r="AM183" s="16">
        <f t="shared" si="809"/>
        <v>165.65177300257622</v>
      </c>
      <c r="AN183" s="16">
        <f t="shared" si="809"/>
        <v>167.11974428455511</v>
      </c>
      <c r="AO183" s="16">
        <f t="shared" si="809"/>
        <v>164.48235820321503</v>
      </c>
      <c r="AP183" s="16">
        <f>IFERROR(AP23/AP55*100,"")</f>
        <v>166.2662289527417</v>
      </c>
      <c r="AQ183" s="16">
        <f t="shared" ref="AQ183:AT183" si="810">IFERROR(AQ23/AQ55*100,"")</f>
        <v>167.45784529193358</v>
      </c>
      <c r="AR183" s="16">
        <f t="shared" si="810"/>
        <v>171.92146744772876</v>
      </c>
      <c r="AS183" s="16">
        <f t="shared" si="810"/>
        <v>174.03993204119411</v>
      </c>
      <c r="AT183" s="16">
        <f t="shared" si="810"/>
        <v>169.90298480333402</v>
      </c>
      <c r="AU183" s="16">
        <f>IFERROR(AU23/AU55*100,"")</f>
        <v>175.82501726834343</v>
      </c>
      <c r="AV183" s="16">
        <f t="shared" ref="AV183:AY183" si="811">IFERROR(AV23/AV55*100,"")</f>
        <v>176.8399544002732</v>
      </c>
      <c r="AW183" s="16">
        <f t="shared" si="811"/>
        <v>177.86229186126539</v>
      </c>
      <c r="AX183" s="16">
        <f t="shared" si="811"/>
        <v>178.89198323585063</v>
      </c>
      <c r="AY183" s="16">
        <f t="shared" si="811"/>
        <v>177.37181686773278</v>
      </c>
      <c r="AZ183" s="16">
        <f>IFERROR(AZ23/AZ55*100,"")</f>
        <v>186.02202517272659</v>
      </c>
      <c r="BA183" s="16">
        <f t="shared" ref="BA183:BD183" si="812">IFERROR(BA23/BA55*100,"")</f>
        <v>186.96369154350973</v>
      </c>
      <c r="BB183" s="16">
        <f t="shared" si="812"/>
        <v>187.14084627150504</v>
      </c>
      <c r="BC183" s="16">
        <f t="shared" si="812"/>
        <v>194.16918543152892</v>
      </c>
      <c r="BD183" s="16">
        <f t="shared" si="812"/>
        <v>188.59400587010859</v>
      </c>
      <c r="BE183" s="16">
        <f>IFERROR(BE23/BE55*100,"")</f>
        <v>199.66995499414591</v>
      </c>
      <c r="BF183" s="16">
        <f t="shared" ref="BF183:BI183" si="813">IFERROR(BF23/BF55*100,"")</f>
        <v>201.29774918807021</v>
      </c>
      <c r="BG183" s="16">
        <f t="shared" si="813"/>
        <v>201.65146929421633</v>
      </c>
      <c r="BH183" s="16">
        <f t="shared" si="813"/>
        <v>202.18996034701337</v>
      </c>
      <c r="BI183" s="16">
        <f t="shared" si="813"/>
        <v>201.21479996832124</v>
      </c>
      <c r="BJ183" s="16">
        <f>IFERROR(BJ23/BJ55*100,"")</f>
        <v>205.07216060372389</v>
      </c>
      <c r="BK183" s="16">
        <f t="shared" ref="BK183:BN183" si="814">IFERROR(BK23/BK55*100,"")</f>
        <v>207.21754352275084</v>
      </c>
      <c r="BL183" s="16">
        <f t="shared" si="814"/>
        <v>211.10282967414338</v>
      </c>
      <c r="BM183" s="16">
        <f t="shared" si="814"/>
        <v>216.74804725052076</v>
      </c>
      <c r="BN183" s="16">
        <f t="shared" si="814"/>
        <v>210.02911154173165</v>
      </c>
      <c r="BO183" s="16">
        <f>IFERROR(BO23/BO55*100,"")</f>
        <v>216.02960051005365</v>
      </c>
      <c r="BP183" s="16">
        <f t="shared" ref="BP183:BS183" si="815">IFERROR(BP23/BP55*100,"")</f>
        <v>214.65780719192412</v>
      </c>
      <c r="BQ183" s="16">
        <f t="shared" si="815"/>
        <v>223.16649188873114</v>
      </c>
      <c r="BR183" s="16">
        <f t="shared" si="815"/>
        <v>220.18966262121586</v>
      </c>
      <c r="BS183" s="16">
        <f t="shared" si="815"/>
        <v>218.44457910085455</v>
      </c>
      <c r="BT183" s="16">
        <f>IFERROR(BT23/BT55*100,"")</f>
        <v>219.31349108834337</v>
      </c>
      <c r="BU183" s="16">
        <f t="shared" ref="BU183:BX183" si="816">IFERROR(BU23/BU55*100,"")</f>
        <v>220.92047054586379</v>
      </c>
      <c r="BV183" s="16">
        <f t="shared" si="816"/>
        <v>226.02469800882631</v>
      </c>
      <c r="BW183" s="16">
        <f t="shared" si="816"/>
        <v>232.51804267503368</v>
      </c>
      <c r="BX183" s="16">
        <f t="shared" si="816"/>
        <v>224.70170534143068</v>
      </c>
      <c r="BY183" s="16">
        <f>IFERROR(BY23/BY55*100,"")</f>
        <v>221.73627025564673</v>
      </c>
      <c r="BZ183" s="16">
        <f t="shared" ref="BZ183:CC183" si="817">IFERROR(BZ23/BZ55*100,"")</f>
        <v>223.47162143171363</v>
      </c>
      <c r="CA183" s="16">
        <f t="shared" si="817"/>
        <v>225.37831480722113</v>
      </c>
      <c r="CB183" s="16">
        <f t="shared" si="817"/>
        <v>225.45863283040583</v>
      </c>
      <c r="CC183" s="16">
        <f t="shared" si="817"/>
        <v>223.98675621432648</v>
      </c>
      <c r="CD183" s="16">
        <f>IFERROR(CD23/CD55*100,"")</f>
        <v>228.18563951669043</v>
      </c>
      <c r="CE183" s="16">
        <f t="shared" ref="CE183:CH183" si="818">IFERROR(CE23/CE55*100,"")</f>
        <v>229.4478503826717</v>
      </c>
      <c r="CF183" s="16">
        <f t="shared" si="818"/>
        <v>228.89767567345726</v>
      </c>
      <c r="CG183" s="16">
        <f t="shared" si="818"/>
        <v>230.25134129478232</v>
      </c>
      <c r="CH183" s="16">
        <f t="shared" si="818"/>
        <v>229.18592493561187</v>
      </c>
      <c r="CI183" s="16">
        <f>IFERROR(CI23/CI55*100,"")</f>
        <v>231.70509376220596</v>
      </c>
      <c r="CJ183" s="16">
        <f t="shared" ref="CJ183:CM183" si="819">IFERROR(CJ23/CJ55*100,"")</f>
        <v>232.87798195985658</v>
      </c>
      <c r="CK183" s="16">
        <f t="shared" si="819"/>
        <v>233.24346172090355</v>
      </c>
      <c r="CL183" s="16">
        <f t="shared" si="819"/>
        <v>234.09251114603671</v>
      </c>
      <c r="CM183" s="16">
        <f t="shared" si="819"/>
        <v>232.9785575965723</v>
      </c>
      <c r="CN183" s="16" t="str">
        <f>IFERROR(CN23/CN55*100,"")</f>
        <v/>
      </c>
      <c r="CO183" s="16" t="str">
        <f t="shared" ref="CO183:CR183" si="820">IFERROR(CO23/CO55*100,"")</f>
        <v/>
      </c>
      <c r="CP183" s="16" t="str">
        <f t="shared" si="820"/>
        <v/>
      </c>
      <c r="CQ183" s="16" t="str">
        <f t="shared" si="820"/>
        <v/>
      </c>
      <c r="CR183" s="16" t="str">
        <f t="shared" si="820"/>
        <v/>
      </c>
    </row>
    <row r="184" spans="1:96" s="9" customFormat="1" ht="15" x14ac:dyDescent="0.4">
      <c r="A184" s="25"/>
      <c r="B184" s="22"/>
      <c r="C184" s="22"/>
      <c r="D184" s="22"/>
      <c r="E184" s="22"/>
      <c r="F184" s="24"/>
      <c r="G184" s="22"/>
      <c r="H184" s="22"/>
      <c r="I184" s="22"/>
      <c r="J184" s="22"/>
      <c r="K184" s="24"/>
      <c r="L184" s="22"/>
      <c r="M184" s="22"/>
      <c r="N184" s="22"/>
      <c r="O184" s="22"/>
      <c r="P184" s="24"/>
      <c r="Q184" s="22"/>
      <c r="R184" s="22"/>
      <c r="S184" s="22"/>
      <c r="T184" s="22"/>
      <c r="U184" s="24"/>
      <c r="V184" s="22"/>
      <c r="W184" s="22"/>
      <c r="X184" s="22"/>
      <c r="Y184" s="22"/>
      <c r="Z184" s="24"/>
      <c r="AA184" s="22"/>
      <c r="AB184" s="22"/>
      <c r="AC184" s="22"/>
      <c r="AD184" s="22"/>
      <c r="AE184" s="24"/>
      <c r="AF184" s="22"/>
      <c r="AG184" s="22"/>
      <c r="AH184" s="22"/>
      <c r="AI184" s="22"/>
      <c r="AJ184" s="24"/>
      <c r="AK184" s="22"/>
      <c r="AL184" s="22"/>
      <c r="AM184" s="22"/>
      <c r="AN184" s="22"/>
      <c r="AO184" s="24"/>
      <c r="AP184" s="22"/>
      <c r="AQ184" s="22"/>
      <c r="AR184" s="22"/>
      <c r="AS184" s="22"/>
      <c r="AT184" s="24"/>
      <c r="AU184" s="22"/>
      <c r="AV184" s="22"/>
      <c r="AW184" s="22"/>
      <c r="AX184" s="22"/>
      <c r="AY184" s="24"/>
      <c r="AZ184" s="22"/>
      <c r="BA184" s="22"/>
      <c r="BB184" s="22"/>
      <c r="BC184" s="22"/>
      <c r="BD184" s="24"/>
      <c r="BE184" s="22"/>
      <c r="BF184" s="22"/>
      <c r="BG184" s="22"/>
      <c r="BH184" s="22"/>
      <c r="BI184" s="24"/>
      <c r="BJ184" s="22"/>
      <c r="BK184" s="22"/>
      <c r="BL184" s="22"/>
      <c r="BM184" s="22"/>
      <c r="BN184" s="24"/>
      <c r="BO184" s="22"/>
      <c r="BP184" s="22"/>
      <c r="BQ184" s="22"/>
      <c r="BR184" s="22"/>
      <c r="BS184" s="24"/>
      <c r="BT184" s="22"/>
      <c r="BU184" s="22"/>
      <c r="BV184" s="22"/>
      <c r="BW184" s="22"/>
      <c r="BX184" s="24"/>
      <c r="BY184" s="22"/>
      <c r="BZ184" s="22"/>
      <c r="CA184" s="22"/>
      <c r="CB184" s="22"/>
      <c r="CC184" s="24"/>
      <c r="CD184" s="22"/>
      <c r="CE184" s="22"/>
      <c r="CF184" s="22"/>
      <c r="CG184" s="22"/>
      <c r="CH184" s="24"/>
      <c r="CI184" s="22"/>
      <c r="CJ184" s="22"/>
      <c r="CK184" s="22"/>
      <c r="CL184" s="22"/>
      <c r="CM184" s="24"/>
      <c r="CN184" s="22"/>
      <c r="CO184" s="22"/>
      <c r="CP184" s="22"/>
      <c r="CQ184" s="22"/>
      <c r="CR184" s="24"/>
    </row>
    <row r="185" spans="1:96" s="17" customFormat="1" ht="15" x14ac:dyDescent="0.4">
      <c r="A185" s="15" t="s">
        <v>93</v>
      </c>
      <c r="B185" s="16">
        <f>IFERROR(B25/B57*100,"")</f>
        <v>122.08750558447932</v>
      </c>
      <c r="C185" s="16">
        <f t="shared" ref="C185:F185" si="821">IFERROR(C25/C57*100,"")</f>
        <v>159.44084633463089</v>
      </c>
      <c r="D185" s="16">
        <f t="shared" si="821"/>
        <v>4.8537137721299857</v>
      </c>
      <c r="E185" s="16">
        <f t="shared" si="821"/>
        <v>99.26097234903888</v>
      </c>
      <c r="F185" s="16">
        <f t="shared" si="821"/>
        <v>112.85644280259967</v>
      </c>
      <c r="G185" s="16">
        <f>IFERROR(G25/G57*100,"")</f>
        <v>17.321248946583147</v>
      </c>
      <c r="H185" s="16">
        <f t="shared" ref="H185:K185" si="822">IFERROR(H25/H57*100,"")</f>
        <v>55.692643002257199</v>
      </c>
      <c r="I185" s="16">
        <f t="shared" si="822"/>
        <v>123.31581091038366</v>
      </c>
      <c r="J185" s="16">
        <f t="shared" si="822"/>
        <v>86.491026491382726</v>
      </c>
      <c r="K185" s="16">
        <f t="shared" si="822"/>
        <v>76.330464868462258</v>
      </c>
      <c r="L185" s="16">
        <f>IFERROR(L25/L57*100,"")</f>
        <v>78.58936346353309</v>
      </c>
      <c r="M185" s="16">
        <f t="shared" ref="M185:P185" si="823">IFERROR(M25/M57*100,"")</f>
        <v>109.38019824065235</v>
      </c>
      <c r="N185" s="16">
        <f t="shared" si="823"/>
        <v>239.89396688982683</v>
      </c>
      <c r="O185" s="16">
        <f t="shared" si="823"/>
        <v>98.169466608317251</v>
      </c>
      <c r="P185" s="16">
        <f t="shared" si="823"/>
        <v>100.00000000000004</v>
      </c>
      <c r="Q185" s="16">
        <f>IFERROR(Q25/Q57*100,"")</f>
        <v>136.10915891974184</v>
      </c>
      <c r="R185" s="16" t="str">
        <f t="shared" ref="R185:U185" si="824">IFERROR(R25/R57*100,"")</f>
        <v/>
      </c>
      <c r="S185" s="16">
        <f t="shared" si="824"/>
        <v>152.51276998904959</v>
      </c>
      <c r="T185" s="16">
        <f t="shared" si="824"/>
        <v>59.908344568976304</v>
      </c>
      <c r="U185" s="16" t="str">
        <f t="shared" si="824"/>
        <v/>
      </c>
      <c r="V185" s="16">
        <f>IFERROR(V25/V57*100,"")</f>
        <v>105.2620013182743</v>
      </c>
      <c r="W185" s="16">
        <f t="shared" ref="W185:Z185" si="825">IFERROR(W25/W57*100,"")</f>
        <v>113.2678205997012</v>
      </c>
      <c r="X185" s="16">
        <f t="shared" si="825"/>
        <v>101.59051304422779</v>
      </c>
      <c r="Y185" s="16">
        <f t="shared" si="825"/>
        <v>90.099641697090291</v>
      </c>
      <c r="Z185" s="16">
        <f t="shared" si="825"/>
        <v>103.53213605903299</v>
      </c>
      <c r="AA185" s="16">
        <f>IFERROR(AA25/AA57*100,"")</f>
        <v>142.68853552137094</v>
      </c>
      <c r="AB185" s="16">
        <f t="shared" ref="AB185:AE185" si="826">IFERROR(AB25/AB57*100,"")</f>
        <v>53.533206180372531</v>
      </c>
      <c r="AC185" s="16">
        <f t="shared" si="826"/>
        <v>143.26544717033366</v>
      </c>
      <c r="AD185" s="16">
        <f t="shared" si="826"/>
        <v>111.78365100478354</v>
      </c>
      <c r="AE185" s="16">
        <f t="shared" si="826"/>
        <v>103.26786377754908</v>
      </c>
      <c r="AF185" s="16">
        <f>IFERROR(AF25/AF57*100,"")</f>
        <v>22.438192324949906</v>
      </c>
      <c r="AG185" s="16">
        <f t="shared" ref="AG185:AJ185" si="827">IFERROR(AG25/AG57*100,"")</f>
        <v>113.71574952758974</v>
      </c>
      <c r="AH185" s="16">
        <f t="shared" si="827"/>
        <v>121.64181002145216</v>
      </c>
      <c r="AI185" s="16">
        <f t="shared" si="827"/>
        <v>131.19717855029052</v>
      </c>
      <c r="AJ185" s="16">
        <f t="shared" si="827"/>
        <v>110.64648575373901</v>
      </c>
      <c r="AK185" s="16">
        <f>IFERROR(AK25/AK57*100,"")</f>
        <v>132.96884608403477</v>
      </c>
      <c r="AL185" s="16">
        <f t="shared" ref="AL185:AO185" si="828">IFERROR(AL25/AL57*100,"")</f>
        <v>114.32412845276187</v>
      </c>
      <c r="AM185" s="16">
        <f t="shared" si="828"/>
        <v>112.48875593392611</v>
      </c>
      <c r="AN185" s="16">
        <f t="shared" si="828"/>
        <v>111.45664996485931</v>
      </c>
      <c r="AO185" s="16">
        <f t="shared" si="828"/>
        <v>116.66186667638878</v>
      </c>
      <c r="AP185" s="16">
        <f>IFERROR(AP25/AP57*100,"")</f>
        <v>143.43588326481142</v>
      </c>
      <c r="AQ185" s="16">
        <f t="shared" ref="AQ185:AT185" si="829">IFERROR(AQ25/AQ57*100,"")</f>
        <v>119.77252344311653</v>
      </c>
      <c r="AR185" s="16">
        <f t="shared" si="829"/>
        <v>117.93393753104181</v>
      </c>
      <c r="AS185" s="16">
        <f t="shared" si="829"/>
        <v>117.7266151645314</v>
      </c>
      <c r="AT185" s="16">
        <f t="shared" si="829"/>
        <v>123.38070275563832</v>
      </c>
      <c r="AU185" s="16">
        <f>IFERROR(AU25/AU57*100,"")</f>
        <v>119.88961793394741</v>
      </c>
      <c r="AV185" s="16">
        <f t="shared" ref="AV185:AY185" si="830">IFERROR(AV25/AV57*100,"")</f>
        <v>193.20943715342099</v>
      </c>
      <c r="AW185" s="16">
        <f t="shared" si="830"/>
        <v>64.862530350511562</v>
      </c>
      <c r="AX185" s="16">
        <f t="shared" si="830"/>
        <v>146.94175656015446</v>
      </c>
      <c r="AY185" s="16">
        <f t="shared" si="830"/>
        <v>129.06173694602981</v>
      </c>
      <c r="AZ185" s="16">
        <f>IFERROR(AZ25/AZ57*100,"")</f>
        <v>99.61697366872113</v>
      </c>
      <c r="BA185" s="16">
        <f t="shared" ref="BA185:BD185" si="831">IFERROR(BA25/BA57*100,"")</f>
        <v>130.01386329255843</v>
      </c>
      <c r="BB185" s="16">
        <f t="shared" si="831"/>
        <v>152.47741503852518</v>
      </c>
      <c r="BC185" s="16">
        <f t="shared" si="831"/>
        <v>131.09303418711477</v>
      </c>
      <c r="BD185" s="16">
        <f t="shared" si="831"/>
        <v>131.53051905660084</v>
      </c>
      <c r="BE185" s="16">
        <f>IFERROR(BE25/BE57*100,"")</f>
        <v>51.110237760807451</v>
      </c>
      <c r="BF185" s="16">
        <f t="shared" ref="BF185:BI185" si="832">IFERROR(BF25/BF57*100,"")</f>
        <v>98.53857535821318</v>
      </c>
      <c r="BG185" s="16">
        <f t="shared" si="832"/>
        <v>92.805490716104188</v>
      </c>
      <c r="BH185" s="16">
        <f t="shared" si="832"/>
        <v>98.686036954687367</v>
      </c>
      <c r="BI185" s="16">
        <f t="shared" si="832"/>
        <v>95.688519428517964</v>
      </c>
      <c r="BJ185" s="16">
        <f>IFERROR(BJ25/BJ57*100,"")</f>
        <v>111.72645730758097</v>
      </c>
      <c r="BK185" s="16">
        <f t="shared" ref="BK185:BN185" si="833">IFERROR(BK25/BK57*100,"")</f>
        <v>293.8756988991633</v>
      </c>
      <c r="BL185" s="16">
        <f t="shared" si="833"/>
        <v>55.003645145451173</v>
      </c>
      <c r="BM185" s="16">
        <f t="shared" si="833"/>
        <v>125.22641036448454</v>
      </c>
      <c r="BN185" s="16">
        <f t="shared" si="833"/>
        <v>100.39543843801229</v>
      </c>
      <c r="BO185" s="16">
        <f>IFERROR(BO25/BO57*100,"")</f>
        <v>113.01809629567477</v>
      </c>
      <c r="BP185" s="16">
        <f t="shared" ref="BP185:BS185" si="834">IFERROR(BP25/BP57*100,"")</f>
        <v>117.76892417086565</v>
      </c>
      <c r="BQ185" s="16">
        <f t="shared" si="834"/>
        <v>117.55525848532868</v>
      </c>
      <c r="BR185" s="16">
        <f t="shared" si="834"/>
        <v>119.92738702743114</v>
      </c>
      <c r="BS185" s="16">
        <f t="shared" si="834"/>
        <v>117.51306965033035</v>
      </c>
      <c r="BT185" s="16">
        <f>IFERROR(BT25/BT57*100,"")</f>
        <v>119.3959554875029</v>
      </c>
      <c r="BU185" s="16">
        <f t="shared" ref="BU185:BX185" si="835">IFERROR(BU25/BU57*100,"")</f>
        <v>132.60321526814491</v>
      </c>
      <c r="BV185" s="16">
        <f t="shared" si="835"/>
        <v>136.09837405818814</v>
      </c>
      <c r="BW185" s="16">
        <f t="shared" si="835"/>
        <v>138.09794219874249</v>
      </c>
      <c r="BX185" s="16">
        <f t="shared" si="835"/>
        <v>131.75931227808314</v>
      </c>
      <c r="BY185" s="16">
        <f>IFERROR(BY25/BY57*100,"")</f>
        <v>145.56546564808289</v>
      </c>
      <c r="BZ185" s="16">
        <f t="shared" ref="BZ185:CC185" si="836">IFERROR(BZ25/BZ57*100,"")</f>
        <v>150.41439392740173</v>
      </c>
      <c r="CA185" s="16">
        <f t="shared" si="836"/>
        <v>151.68150883384021</v>
      </c>
      <c r="CB185" s="16">
        <f t="shared" si="836"/>
        <v>170.1785615726665</v>
      </c>
      <c r="CC185" s="16">
        <f t="shared" si="836"/>
        <v>153.80005740320885</v>
      </c>
      <c r="CD185" s="16">
        <f>IFERROR(CD25/CD57*100,"")</f>
        <v>148.09529868990228</v>
      </c>
      <c r="CE185" s="16">
        <f t="shared" ref="CE185:CH185" si="837">IFERROR(CE25/CE57*100,"")</f>
        <v>178.0347699341601</v>
      </c>
      <c r="CF185" s="16">
        <f t="shared" si="837"/>
        <v>165.41536776947237</v>
      </c>
      <c r="CG185" s="16">
        <f t="shared" si="837"/>
        <v>165.65048784669881</v>
      </c>
      <c r="CH185" s="16">
        <f t="shared" si="837"/>
        <v>163.53104776795166</v>
      </c>
      <c r="CI185" s="16">
        <f>IFERROR(CI25/CI57*100,"")</f>
        <v>194.42976772331383</v>
      </c>
      <c r="CJ185" s="16">
        <f t="shared" ref="CJ185:CM185" si="838">IFERROR(CJ25/CJ57*100,"")</f>
        <v>218.08016944794991</v>
      </c>
      <c r="CK185" s="16">
        <f t="shared" si="838"/>
        <v>206.04140737208735</v>
      </c>
      <c r="CL185" s="16">
        <f t="shared" si="838"/>
        <v>203.47088134035286</v>
      </c>
      <c r="CM185" s="16">
        <f t="shared" si="838"/>
        <v>205.21019874331117</v>
      </c>
      <c r="CN185" s="16" t="str">
        <f>IFERROR(CN25/CN57*100,"")</f>
        <v/>
      </c>
      <c r="CO185" s="16" t="str">
        <f t="shared" ref="CO185:CR185" si="839">IFERROR(CO25/CO57*100,"")</f>
        <v/>
      </c>
      <c r="CP185" s="16" t="str">
        <f t="shared" si="839"/>
        <v/>
      </c>
      <c r="CQ185" s="16" t="str">
        <f t="shared" si="839"/>
        <v/>
      </c>
      <c r="CR185" s="16" t="str">
        <f t="shared" si="839"/>
        <v/>
      </c>
    </row>
    <row r="186" spans="1:96" s="9" customFormat="1" ht="15" x14ac:dyDescent="0.4">
      <c r="A186" s="25"/>
      <c r="B186" s="22"/>
      <c r="C186" s="22"/>
      <c r="D186" s="22"/>
      <c r="E186" s="22"/>
      <c r="F186" s="24"/>
      <c r="G186" s="22"/>
      <c r="H186" s="22"/>
      <c r="I186" s="22"/>
      <c r="J186" s="22"/>
      <c r="K186" s="24"/>
      <c r="L186" s="22"/>
      <c r="M186" s="22"/>
      <c r="N186" s="22"/>
      <c r="O186" s="22"/>
      <c r="P186" s="24"/>
      <c r="Q186" s="22"/>
      <c r="R186" s="22"/>
      <c r="S186" s="22"/>
      <c r="T186" s="22"/>
      <c r="U186" s="24"/>
      <c r="V186" s="22"/>
      <c r="W186" s="22"/>
      <c r="X186" s="22"/>
      <c r="Y186" s="22"/>
      <c r="Z186" s="24"/>
      <c r="AA186" s="22"/>
      <c r="AB186" s="22"/>
      <c r="AC186" s="22"/>
      <c r="AD186" s="22"/>
      <c r="AE186" s="24"/>
      <c r="AF186" s="22"/>
      <c r="AG186" s="22"/>
      <c r="AH186" s="22"/>
      <c r="AI186" s="22"/>
      <c r="AJ186" s="24"/>
      <c r="AK186" s="22"/>
      <c r="AL186" s="22"/>
      <c r="AM186" s="22"/>
      <c r="AN186" s="22"/>
      <c r="AO186" s="24"/>
      <c r="AP186" s="22"/>
      <c r="AQ186" s="22"/>
      <c r="AR186" s="22"/>
      <c r="AS186" s="22"/>
      <c r="AT186" s="24"/>
      <c r="AU186" s="22"/>
      <c r="AV186" s="22"/>
      <c r="AW186" s="22"/>
      <c r="AX186" s="22"/>
      <c r="AY186" s="24"/>
      <c r="AZ186" s="22"/>
      <c r="BA186" s="22"/>
      <c r="BB186" s="22"/>
      <c r="BC186" s="22"/>
      <c r="BD186" s="24"/>
      <c r="BE186" s="22"/>
      <c r="BF186" s="22"/>
      <c r="BG186" s="22"/>
      <c r="BH186" s="22"/>
      <c r="BI186" s="24"/>
      <c r="BJ186" s="22"/>
      <c r="BK186" s="22"/>
      <c r="BL186" s="22"/>
      <c r="BM186" s="22"/>
      <c r="BN186" s="24"/>
      <c r="BO186" s="22"/>
      <c r="BP186" s="22"/>
      <c r="BQ186" s="22"/>
      <c r="BR186" s="22"/>
      <c r="BS186" s="24"/>
      <c r="BT186" s="22"/>
      <c r="BU186" s="22"/>
      <c r="BV186" s="22"/>
      <c r="BW186" s="22"/>
      <c r="BX186" s="24"/>
      <c r="BY186" s="22"/>
      <c r="BZ186" s="22"/>
      <c r="CA186" s="22"/>
      <c r="CB186" s="22"/>
      <c r="CC186" s="24"/>
      <c r="CD186" s="22"/>
      <c r="CE186" s="22"/>
      <c r="CF186" s="22"/>
      <c r="CG186" s="22"/>
      <c r="CH186" s="24"/>
      <c r="CI186" s="22"/>
      <c r="CJ186" s="22"/>
      <c r="CK186" s="22"/>
      <c r="CL186" s="22"/>
      <c r="CM186" s="24"/>
      <c r="CN186" s="22"/>
      <c r="CO186" s="22"/>
      <c r="CP186" s="22"/>
      <c r="CQ186" s="22"/>
      <c r="CR186" s="24"/>
    </row>
    <row r="187" spans="1:96" s="17" customFormat="1" ht="15" x14ac:dyDescent="0.4">
      <c r="A187" s="15" t="s">
        <v>94</v>
      </c>
      <c r="B187" s="16">
        <f>IFERROR(B27/B59*100,"")</f>
        <v>86.656008046559052</v>
      </c>
      <c r="C187" s="16">
        <f t="shared" ref="C187:F189" si="840">IFERROR(C27/C59*100,"")</f>
        <v>89.170280338123561</v>
      </c>
      <c r="D187" s="16">
        <f t="shared" si="840"/>
        <v>82.362054399526698</v>
      </c>
      <c r="E187" s="16">
        <f t="shared" si="840"/>
        <v>87.404557307111801</v>
      </c>
      <c r="F187" s="16">
        <f t="shared" si="840"/>
        <v>86.429186711434866</v>
      </c>
      <c r="G187" s="16">
        <f>IFERROR(G27/G59*100,"")</f>
        <v>82.781782737846726</v>
      </c>
      <c r="H187" s="16">
        <f t="shared" ref="H187:K187" si="841">IFERROR(H27/H59*100,"")</f>
        <v>89.821134548253454</v>
      </c>
      <c r="I187" s="16">
        <f t="shared" si="841"/>
        <v>98.395744260863651</v>
      </c>
      <c r="J187" s="16">
        <f t="shared" si="841"/>
        <v>93.894949483215157</v>
      </c>
      <c r="K187" s="16">
        <f t="shared" si="841"/>
        <v>91.691136021142611</v>
      </c>
      <c r="L187" s="16">
        <f>IFERROR(L27/L59*100,"")</f>
        <v>98.020846721793404</v>
      </c>
      <c r="M187" s="16">
        <f t="shared" ref="M187:P187" si="842">IFERROR(M27/M59*100,"")</f>
        <v>101.57036472993033</v>
      </c>
      <c r="N187" s="16">
        <f t="shared" si="842"/>
        <v>102.85974831355406</v>
      </c>
      <c r="O187" s="16">
        <f t="shared" si="842"/>
        <v>98.306625805288036</v>
      </c>
      <c r="P187" s="16">
        <f t="shared" si="842"/>
        <v>100.00000000000003</v>
      </c>
      <c r="Q187" s="16">
        <f>IFERROR(Q27/Q59*100,"")</f>
        <v>103.85107353148462</v>
      </c>
      <c r="R187" s="16" t="str">
        <f t="shared" ref="R187:U187" si="843">IFERROR(R27/R59*100,"")</f>
        <v/>
      </c>
      <c r="S187" s="16">
        <f t="shared" si="843"/>
        <v>115.59872404895886</v>
      </c>
      <c r="T187" s="16">
        <f t="shared" si="843"/>
        <v>96.398325788153826</v>
      </c>
      <c r="U187" s="16" t="str">
        <f t="shared" si="843"/>
        <v/>
      </c>
      <c r="V187" s="16">
        <f>IFERROR(V27/V59*100,"")</f>
        <v>109.43034266963177</v>
      </c>
      <c r="W187" s="16">
        <f t="shared" ref="W187:Z187" si="844">IFERROR(W27/W59*100,"")</f>
        <v>112.78196735424628</v>
      </c>
      <c r="X187" s="16">
        <f t="shared" si="844"/>
        <v>109.51375415430569</v>
      </c>
      <c r="Y187" s="16">
        <f t="shared" si="844"/>
        <v>112.54801795426638</v>
      </c>
      <c r="Z187" s="16">
        <f t="shared" si="844"/>
        <v>111.19065444029448</v>
      </c>
      <c r="AA187" s="16">
        <f>IFERROR(AA27/AA59*100,"")</f>
        <v>112.91140128289898</v>
      </c>
      <c r="AB187" s="16">
        <f t="shared" ref="AB187:AE187" si="845">IFERROR(AB27/AB59*100,"")</f>
        <v>102.75699978377919</v>
      </c>
      <c r="AC187" s="16">
        <f t="shared" si="845"/>
        <v>122.17646155038446</v>
      </c>
      <c r="AD187" s="16">
        <f t="shared" si="845"/>
        <v>118.10447310924839</v>
      </c>
      <c r="AE187" s="16">
        <f t="shared" si="845"/>
        <v>114.13588822847409</v>
      </c>
      <c r="AF187" s="16">
        <f>IFERROR(AF27/AF59*100,"")</f>
        <v>112.82963349879655</v>
      </c>
      <c r="AG187" s="16">
        <f t="shared" ref="AG187:AJ187" si="846">IFERROR(AG27/AG59*100,"")</f>
        <v>119.51491888607042</v>
      </c>
      <c r="AH187" s="16">
        <f t="shared" si="846"/>
        <v>120.74195743471392</v>
      </c>
      <c r="AI187" s="16">
        <f t="shared" si="846"/>
        <v>122.61939330828284</v>
      </c>
      <c r="AJ187" s="16">
        <f t="shared" si="846"/>
        <v>119.31617725705055</v>
      </c>
      <c r="AK187" s="16">
        <f>IFERROR(AK27/AK59*100,"")</f>
        <v>124.64934993948278</v>
      </c>
      <c r="AL187" s="16">
        <f t="shared" ref="AL187:AO187" si="847">IFERROR(AL27/AL59*100,"")</f>
        <v>124.12261109599389</v>
      </c>
      <c r="AM187" s="16">
        <f t="shared" si="847"/>
        <v>124.84678930187071</v>
      </c>
      <c r="AN187" s="16">
        <f t="shared" si="847"/>
        <v>127.11958282562699</v>
      </c>
      <c r="AO187" s="16">
        <f t="shared" si="847"/>
        <v>125.29931194400059</v>
      </c>
      <c r="AP187" s="16">
        <f>IFERROR(AP27/AP59*100,"")</f>
        <v>132.59249350857081</v>
      </c>
      <c r="AQ187" s="16">
        <f t="shared" ref="AQ187:AT187" si="848">IFERROR(AQ27/AQ59*100,"")</f>
        <v>131.30127092446583</v>
      </c>
      <c r="AR187" s="16">
        <f t="shared" si="848"/>
        <v>133.75107315607139</v>
      </c>
      <c r="AS187" s="16">
        <f t="shared" si="848"/>
        <v>135.12259339410386</v>
      </c>
      <c r="AT187" s="16">
        <f t="shared" si="848"/>
        <v>133.29555825454494</v>
      </c>
      <c r="AU187" s="16">
        <f>IFERROR(AU27/AU59*100,"")</f>
        <v>136.85213897741443</v>
      </c>
      <c r="AV187" s="16">
        <f t="shared" ref="AV187:AY187" si="849">IFERROR(AV27/AV59*100,"")</f>
        <v>145.81621231888465</v>
      </c>
      <c r="AW187" s="16">
        <f t="shared" si="849"/>
        <v>132.74907601155232</v>
      </c>
      <c r="AX187" s="16">
        <f t="shared" si="849"/>
        <v>143.50031270723986</v>
      </c>
      <c r="AY187" s="16">
        <f t="shared" si="849"/>
        <v>139.78916925205192</v>
      </c>
      <c r="AZ187" s="16">
        <f>IFERROR(AZ27/AZ59*100,"")</f>
        <v>138.86243491854356</v>
      </c>
      <c r="BA187" s="16">
        <f t="shared" ref="BA187:BD187" si="850">IFERROR(BA27/BA59*100,"")</f>
        <v>142.33600792656918</v>
      </c>
      <c r="BB187" s="16">
        <f t="shared" si="850"/>
        <v>145.69343419679643</v>
      </c>
      <c r="BC187" s="16">
        <f t="shared" si="850"/>
        <v>143.5599622912973</v>
      </c>
      <c r="BD187" s="16">
        <f t="shared" si="850"/>
        <v>142.77488263985319</v>
      </c>
      <c r="BE187" s="16">
        <f>IFERROR(BE27/BE59*100,"")</f>
        <v>148.29225246550331</v>
      </c>
      <c r="BF187" s="16">
        <f t="shared" ref="BF187:BI187" si="851">IFERROR(BF27/BF59*100,"")</f>
        <v>152.21085986794293</v>
      </c>
      <c r="BG187" s="16">
        <f t="shared" si="851"/>
        <v>157.07272829574231</v>
      </c>
      <c r="BH187" s="16">
        <f t="shared" si="851"/>
        <v>153.45503610121281</v>
      </c>
      <c r="BI187" s="16">
        <f t="shared" si="851"/>
        <v>153.05110543822892</v>
      </c>
      <c r="BJ187" s="16">
        <f>IFERROR(BJ27/BJ59*100,"")</f>
        <v>154.73464422458611</v>
      </c>
      <c r="BK187" s="16">
        <f t="shared" ref="BK187:BN187" si="852">IFERROR(BK27/BK59*100,"")</f>
        <v>167.25062046103787</v>
      </c>
      <c r="BL187" s="16">
        <f t="shared" si="852"/>
        <v>154.24884384276712</v>
      </c>
      <c r="BM187" s="16">
        <f t="shared" si="852"/>
        <v>164.54027334871736</v>
      </c>
      <c r="BN187" s="16">
        <f t="shared" si="852"/>
        <v>160.19558144203347</v>
      </c>
      <c r="BO187" s="16">
        <f>IFERROR(BO27/BO59*100,"")</f>
        <v>165.64292131139234</v>
      </c>
      <c r="BP187" s="16">
        <f t="shared" ref="BP187:BS187" si="853">IFERROR(BP27/BP59*100,"")</f>
        <v>171.40148709181992</v>
      </c>
      <c r="BQ187" s="16">
        <f t="shared" si="853"/>
        <v>163.1730937961876</v>
      </c>
      <c r="BR187" s="16">
        <f t="shared" si="853"/>
        <v>171.24367938555821</v>
      </c>
      <c r="BS187" s="16">
        <f t="shared" si="853"/>
        <v>168.23005970227979</v>
      </c>
      <c r="BT187" s="16">
        <f>IFERROR(BT27/BT59*100,"")</f>
        <v>174.42579805171175</v>
      </c>
      <c r="BU187" s="16">
        <f t="shared" ref="BU187:BX187" si="854">IFERROR(BU27/BU59*100,"")</f>
        <v>173.91529802350573</v>
      </c>
      <c r="BV187" s="16">
        <f t="shared" si="854"/>
        <v>174.0422434502573</v>
      </c>
      <c r="BW187" s="16">
        <f t="shared" si="854"/>
        <v>171.31549237794749</v>
      </c>
      <c r="BX187" s="16">
        <f t="shared" si="854"/>
        <v>173.2330857721625</v>
      </c>
      <c r="BY187" s="16">
        <f>IFERROR(BY27/BY59*100,"")</f>
        <v>174.45577967145104</v>
      </c>
      <c r="BZ187" s="16">
        <f t="shared" ref="BZ187:CC187" si="855">IFERROR(BZ27/BZ59*100,"")</f>
        <v>175.59352094615281</v>
      </c>
      <c r="CA187" s="16">
        <f t="shared" si="855"/>
        <v>177.70919431125819</v>
      </c>
      <c r="CB187" s="16">
        <f t="shared" si="855"/>
        <v>178.81264693756521</v>
      </c>
      <c r="CC187" s="16">
        <f t="shared" si="855"/>
        <v>176.84608329750932</v>
      </c>
      <c r="CD187" s="16">
        <f>IFERROR(CD27/CD59*100,"")</f>
        <v>179.14866416151014</v>
      </c>
      <c r="CE187" s="16">
        <f t="shared" ref="CE187:CH187" si="856">IFERROR(CE27/CE59*100,"")</f>
        <v>182.98459147534805</v>
      </c>
      <c r="CF187" s="16">
        <f t="shared" si="856"/>
        <v>182.92882158469084</v>
      </c>
      <c r="CG187" s="16">
        <f t="shared" si="856"/>
        <v>180.04925395247778</v>
      </c>
      <c r="CH187" s="16">
        <f t="shared" si="856"/>
        <v>181.26961733933899</v>
      </c>
      <c r="CI187" s="16">
        <f>IFERROR(CI27/CI59*100,"")</f>
        <v>186.51552664611489</v>
      </c>
      <c r="CJ187" s="16">
        <f t="shared" ref="CJ187:CM187" si="857">IFERROR(CJ27/CJ59*100,"")</f>
        <v>195.22972119094632</v>
      </c>
      <c r="CK187" s="16">
        <f t="shared" si="857"/>
        <v>200.55881161277603</v>
      </c>
      <c r="CL187" s="16">
        <f t="shared" si="857"/>
        <v>197.57109903488401</v>
      </c>
      <c r="CM187" s="16">
        <f t="shared" si="857"/>
        <v>195.20252209395935</v>
      </c>
      <c r="CN187" s="16" t="str">
        <f>IFERROR(CN27/CN59*100,"")</f>
        <v/>
      </c>
      <c r="CO187" s="16" t="str">
        <f t="shared" ref="CO187:CR187" si="858">IFERROR(CO27/CO59*100,"")</f>
        <v/>
      </c>
      <c r="CP187" s="16" t="str">
        <f t="shared" si="858"/>
        <v/>
      </c>
      <c r="CQ187" s="16" t="str">
        <f t="shared" si="858"/>
        <v/>
      </c>
      <c r="CR187" s="16" t="str">
        <f t="shared" si="858"/>
        <v/>
      </c>
    </row>
    <row r="188" spans="1:96" s="9" customFormat="1" ht="15" x14ac:dyDescent="0.4">
      <c r="A188" s="25"/>
      <c r="B188" s="45"/>
      <c r="C188" s="45"/>
      <c r="D188" s="45"/>
      <c r="E188" s="45"/>
      <c r="F188" s="46"/>
      <c r="G188" s="45"/>
      <c r="H188" s="45"/>
      <c r="I188" s="45"/>
      <c r="J188" s="45"/>
      <c r="K188" s="46"/>
      <c r="L188" s="45"/>
      <c r="M188" s="45"/>
      <c r="N188" s="45"/>
      <c r="O188" s="45"/>
      <c r="P188" s="46"/>
      <c r="Q188" s="45"/>
      <c r="R188" s="45"/>
      <c r="S188" s="45"/>
      <c r="T188" s="45"/>
      <c r="U188" s="46"/>
      <c r="V188" s="45"/>
      <c r="W188" s="45"/>
      <c r="X188" s="45"/>
      <c r="Y188" s="45"/>
      <c r="Z188" s="46"/>
      <c r="AA188" s="45"/>
      <c r="AB188" s="45"/>
      <c r="AC188" s="45"/>
      <c r="AD188" s="45"/>
      <c r="AE188" s="46"/>
      <c r="AF188" s="45"/>
      <c r="AG188" s="45"/>
      <c r="AH188" s="45"/>
      <c r="AI188" s="45"/>
      <c r="AJ188" s="46"/>
      <c r="AK188" s="45"/>
      <c r="AL188" s="45"/>
      <c r="AM188" s="45"/>
      <c r="AN188" s="45"/>
      <c r="AO188" s="46"/>
      <c r="AP188" s="45"/>
      <c r="AQ188" s="45"/>
      <c r="AR188" s="45"/>
      <c r="AS188" s="45"/>
      <c r="AT188" s="46"/>
      <c r="AU188" s="45"/>
      <c r="AV188" s="45"/>
      <c r="AW188" s="45"/>
      <c r="AX188" s="45"/>
      <c r="AY188" s="46"/>
      <c r="AZ188" s="45"/>
      <c r="BA188" s="45"/>
      <c r="BB188" s="45"/>
      <c r="BC188" s="45"/>
      <c r="BD188" s="46"/>
      <c r="BE188" s="45"/>
      <c r="BF188" s="45"/>
      <c r="BG188" s="45"/>
      <c r="BH188" s="45"/>
      <c r="BI188" s="46"/>
      <c r="BJ188" s="45"/>
      <c r="BK188" s="45"/>
      <c r="BL188" s="45"/>
      <c r="BM188" s="45"/>
      <c r="BN188" s="46"/>
      <c r="BO188" s="45"/>
      <c r="BP188" s="45"/>
      <c r="BQ188" s="45"/>
      <c r="BR188" s="45"/>
      <c r="BS188" s="46"/>
      <c r="BT188" s="45"/>
      <c r="BU188" s="45"/>
      <c r="BV188" s="45"/>
      <c r="BW188" s="45"/>
      <c r="BX188" s="46"/>
      <c r="BY188" s="45"/>
      <c r="BZ188" s="45"/>
      <c r="CA188" s="45"/>
      <c r="CB188" s="45"/>
      <c r="CC188" s="46"/>
      <c r="CD188" s="45"/>
      <c r="CE188" s="45"/>
      <c r="CF188" s="45"/>
      <c r="CG188" s="45"/>
      <c r="CH188" s="46"/>
      <c r="CI188" s="45"/>
      <c r="CJ188" s="45"/>
      <c r="CK188" s="45"/>
      <c r="CL188" s="45"/>
      <c r="CM188" s="46"/>
      <c r="CN188" s="45"/>
      <c r="CO188" s="45"/>
      <c r="CP188" s="45"/>
      <c r="CQ188" s="45"/>
      <c r="CR188" s="46"/>
    </row>
    <row r="189" spans="1:96" s="9" customFormat="1" ht="23.25" customHeight="1" thickBot="1" x14ac:dyDescent="0.35">
      <c r="A189" s="26" t="s">
        <v>95</v>
      </c>
      <c r="B189" s="49">
        <f>IFERROR(B29/B61*100,"")</f>
        <v>83.883678958571508</v>
      </c>
      <c r="C189" s="49">
        <f t="shared" si="840"/>
        <v>85.455129650256708</v>
      </c>
      <c r="D189" s="49">
        <f t="shared" si="840"/>
        <v>86.942636192522045</v>
      </c>
      <c r="E189" s="49">
        <f t="shared" si="840"/>
        <v>88.332200421279325</v>
      </c>
      <c r="F189" s="49">
        <f t="shared" si="840"/>
        <v>86.198927458770001</v>
      </c>
      <c r="G189" s="49">
        <f>IFERROR(G29/G61*100,"")</f>
        <v>92.342471588188374</v>
      </c>
      <c r="H189" s="49">
        <f t="shared" ref="H189:K189" si="859">IFERROR(H29/H61*100,"")</f>
        <v>92.87246515539664</v>
      </c>
      <c r="I189" s="49">
        <f t="shared" si="859"/>
        <v>93.955939607643941</v>
      </c>
      <c r="J189" s="49">
        <f t="shared" si="859"/>
        <v>96.617241357774404</v>
      </c>
      <c r="K189" s="49">
        <f t="shared" si="859"/>
        <v>93.994751737223936</v>
      </c>
      <c r="L189" s="49">
        <f>IFERROR(L29/L61*100,"")</f>
        <v>97.774026186903413</v>
      </c>
      <c r="M189" s="49">
        <f t="shared" ref="M189:P189" si="860">IFERROR(M29/M61*100,"")</f>
        <v>99.508746847666842</v>
      </c>
      <c r="N189" s="49">
        <f t="shared" si="860"/>
        <v>100.74225829315431</v>
      </c>
      <c r="O189" s="49">
        <f t="shared" si="860"/>
        <v>101.81106246467617</v>
      </c>
      <c r="P189" s="49">
        <f t="shared" si="860"/>
        <v>99.999999999999972</v>
      </c>
      <c r="Q189" s="49">
        <f>IFERROR(Q29/Q61*100,"")</f>
        <v>104.49576124441246</v>
      </c>
      <c r="R189" s="49" t="str">
        <f t="shared" ref="R189:U189" si="861">IFERROR(R29/R61*100,"")</f>
        <v/>
      </c>
      <c r="S189" s="49">
        <f t="shared" si="861"/>
        <v>110.87765435878789</v>
      </c>
      <c r="T189" s="49">
        <f t="shared" si="861"/>
        <v>113.03865489615967</v>
      </c>
      <c r="U189" s="49" t="str">
        <f t="shared" si="861"/>
        <v/>
      </c>
      <c r="V189" s="49">
        <f>IFERROR(V29/V61*100,"")</f>
        <v>115.52947370997401</v>
      </c>
      <c r="W189" s="49">
        <f t="shared" ref="W189:Z189" si="862">IFERROR(W29/W61*100,"")</f>
        <v>117.52030350256668</v>
      </c>
      <c r="X189" s="49">
        <f t="shared" si="862"/>
        <v>119.91480037953737</v>
      </c>
      <c r="Y189" s="49">
        <f t="shared" si="862"/>
        <v>121.42582156734815</v>
      </c>
      <c r="Z189" s="49">
        <f t="shared" si="862"/>
        <v>118.63624751450679</v>
      </c>
      <c r="AA189" s="49">
        <f>IFERROR(AA29/AA61*100,"")</f>
        <v>121.49392822070683</v>
      </c>
      <c r="AB189" s="49">
        <f t="shared" ref="AB189:AE189" si="863">IFERROR(AB29/AB61*100,"")</f>
        <v>125.47173664224445</v>
      </c>
      <c r="AC189" s="49">
        <f t="shared" si="863"/>
        <v>128.17209776277332</v>
      </c>
      <c r="AD189" s="49">
        <f t="shared" si="863"/>
        <v>131.18332954639135</v>
      </c>
      <c r="AE189" s="49">
        <f t="shared" si="863"/>
        <v>126.73069322470269</v>
      </c>
      <c r="AF189" s="49">
        <f>IFERROR(AF29/AF61*100,"")</f>
        <v>132.71006148378245</v>
      </c>
      <c r="AG189" s="49">
        <f t="shared" ref="AG189:AJ189" si="864">IFERROR(AG29/AG61*100,"")</f>
        <v>134.65126140511026</v>
      </c>
      <c r="AH189" s="49">
        <f t="shared" si="864"/>
        <v>137.1376069159497</v>
      </c>
      <c r="AI189" s="49">
        <f t="shared" si="864"/>
        <v>138.60885534691096</v>
      </c>
      <c r="AJ189" s="49">
        <f t="shared" si="864"/>
        <v>135.83094160620502</v>
      </c>
      <c r="AK189" s="49">
        <f>IFERROR(AK29/AK61*100,"")</f>
        <v>139.44644855524919</v>
      </c>
      <c r="AL189" s="49">
        <f t="shared" ref="AL189:AO189" si="865">IFERROR(AL29/AL61*100,"")</f>
        <v>140.808896246628</v>
      </c>
      <c r="AM189" s="49">
        <f t="shared" si="865"/>
        <v>142.5135462555856</v>
      </c>
      <c r="AN189" s="49">
        <f t="shared" si="865"/>
        <v>144.68804335105278</v>
      </c>
      <c r="AO189" s="49">
        <f t="shared" si="865"/>
        <v>141.9330079587042</v>
      </c>
      <c r="AP189" s="49">
        <f>IFERROR(AP29/AP61*100,"")</f>
        <v>146.68265002478518</v>
      </c>
      <c r="AQ189" s="49">
        <f t="shared" ref="AQ189:AT189" si="866">IFERROR(AQ29/AQ61*100,"")</f>
        <v>148.35356009476536</v>
      </c>
      <c r="AR189" s="49">
        <f t="shared" si="866"/>
        <v>149.52732025403091</v>
      </c>
      <c r="AS189" s="49">
        <f t="shared" si="866"/>
        <v>150.5071215873391</v>
      </c>
      <c r="AT189" s="49">
        <f t="shared" si="866"/>
        <v>148.811958248266</v>
      </c>
      <c r="AU189" s="49">
        <f>IFERROR(AU29/AU61*100,"")</f>
        <v>151.03793002809573</v>
      </c>
      <c r="AV189" s="49">
        <f t="shared" ref="AV189:AY189" si="867">IFERROR(AV29/AV61*100,"")</f>
        <v>152.16916828110041</v>
      </c>
      <c r="AW189" s="49">
        <f t="shared" si="867"/>
        <v>153.11254114076709</v>
      </c>
      <c r="AX189" s="49">
        <f t="shared" si="867"/>
        <v>154.3018653204177</v>
      </c>
      <c r="AY189" s="49">
        <f t="shared" si="867"/>
        <v>152.6899777446001</v>
      </c>
      <c r="AZ189" s="49">
        <f>IFERROR(AZ29/AZ61*100,"")</f>
        <v>154.93668032230281</v>
      </c>
      <c r="BA189" s="49">
        <f t="shared" ref="BA189:BD189" si="868">IFERROR(BA29/BA61*100,"")</f>
        <v>155.87845790139428</v>
      </c>
      <c r="BB189" s="49">
        <f t="shared" si="868"/>
        <v>156.46840406935439</v>
      </c>
      <c r="BC189" s="49">
        <f t="shared" si="868"/>
        <v>157.42617480930042</v>
      </c>
      <c r="BD189" s="49">
        <f t="shared" si="868"/>
        <v>156.20632299109042</v>
      </c>
      <c r="BE189" s="49">
        <f>IFERROR(BE29/BE61*100,"")</f>
        <v>158.19291531945322</v>
      </c>
      <c r="BF189" s="49">
        <f t="shared" ref="BF189:BI189" si="869">IFERROR(BF29/BF61*100,"")</f>
        <v>159.225907112209</v>
      </c>
      <c r="BG189" s="49">
        <f t="shared" si="869"/>
        <v>159.38317250932877</v>
      </c>
      <c r="BH189" s="49">
        <f t="shared" si="869"/>
        <v>160.0300490900774</v>
      </c>
      <c r="BI189" s="49">
        <f t="shared" si="869"/>
        <v>159.22518762127547</v>
      </c>
      <c r="BJ189" s="49">
        <f>IFERROR(BJ29/BJ61*100,"")</f>
        <v>160.83304492316591</v>
      </c>
      <c r="BK189" s="49">
        <f t="shared" ref="BK189:BN189" si="870">IFERROR(BK29/BK61*100,"")</f>
        <v>161.11177269622078</v>
      </c>
      <c r="BL189" s="49">
        <f t="shared" si="870"/>
        <v>160.63967961221744</v>
      </c>
      <c r="BM189" s="49">
        <f t="shared" si="870"/>
        <v>161.21861178565118</v>
      </c>
      <c r="BN189" s="49">
        <f t="shared" si="870"/>
        <v>160.95036498535313</v>
      </c>
      <c r="BO189" s="49">
        <f>IFERROR(BO29/BO61*100,"")</f>
        <v>162.37770033542981</v>
      </c>
      <c r="BP189" s="49">
        <f t="shared" ref="BP189:BS189" si="871">IFERROR(BP29/BP61*100,"")</f>
        <v>163.27794640092762</v>
      </c>
      <c r="BQ189" s="49">
        <f t="shared" si="871"/>
        <v>164.50597931110875</v>
      </c>
      <c r="BR189" s="49">
        <f t="shared" si="871"/>
        <v>165.37366633476637</v>
      </c>
      <c r="BS189" s="49">
        <f t="shared" si="871"/>
        <v>163.91206173688107</v>
      </c>
      <c r="BT189" s="49">
        <f>IFERROR(BT29/BT61*100,"")</f>
        <v>166.71767369282449</v>
      </c>
      <c r="BU189" s="49">
        <f t="shared" ref="BU189:BX189" si="872">IFERROR(BU29/BU61*100,"")</f>
        <v>169.06472489869847</v>
      </c>
      <c r="BV189" s="49">
        <f t="shared" si="872"/>
        <v>172.26346922976597</v>
      </c>
      <c r="BW189" s="49">
        <f t="shared" si="872"/>
        <v>173.38526069408104</v>
      </c>
      <c r="BX189" s="49">
        <f t="shared" si="872"/>
        <v>170.44714591101669</v>
      </c>
      <c r="BY189" s="49">
        <f>IFERROR(BY29/BY61*100,"")</f>
        <v>173.70037710413351</v>
      </c>
      <c r="BZ189" s="49">
        <f t="shared" ref="BZ189:CC189" si="873">IFERROR(BZ29/BZ61*100,"")</f>
        <v>175.71029914204587</v>
      </c>
      <c r="CA189" s="49">
        <f t="shared" si="873"/>
        <v>176.16187918763399</v>
      </c>
      <c r="CB189" s="49">
        <f t="shared" si="873"/>
        <v>177.16426024399019</v>
      </c>
      <c r="CC189" s="49">
        <f t="shared" si="873"/>
        <v>175.71792059008803</v>
      </c>
      <c r="CD189" s="49">
        <f>IFERROR(CD29/CD61*100,"")</f>
        <v>177.46357632885915</v>
      </c>
      <c r="CE189" s="49">
        <f t="shared" ref="CE189:CH189" si="874">IFERROR(CE29/CE61*100,"")</f>
        <v>179.41636215184442</v>
      </c>
      <c r="CF189" s="49">
        <f t="shared" si="874"/>
        <v>179.34173842715612</v>
      </c>
      <c r="CG189" s="49">
        <f t="shared" si="874"/>
        <v>180.33446026961238</v>
      </c>
      <c r="CH189" s="49">
        <f t="shared" si="874"/>
        <v>179.16646661944279</v>
      </c>
      <c r="CI189" s="49">
        <f>IFERROR(CI29/CI61*100,"")</f>
        <v>180.87519817987629</v>
      </c>
      <c r="CJ189" s="49">
        <f t="shared" ref="CJ189:CM189" si="875">IFERROR(CJ29/CJ61*100,"")</f>
        <v>181.61944731598027</v>
      </c>
      <c r="CK189" s="49">
        <f t="shared" si="875"/>
        <v>182.21405917126964</v>
      </c>
      <c r="CL189" s="49">
        <f t="shared" si="875"/>
        <v>183.18965394446576</v>
      </c>
      <c r="CM189" s="49">
        <f t="shared" si="875"/>
        <v>181.99746243404854</v>
      </c>
      <c r="CN189" s="49" t="str">
        <f>IFERROR(CN29/CN61*100,"")</f>
        <v/>
      </c>
      <c r="CO189" s="49" t="str">
        <f t="shared" ref="CO189:CR189" si="876">IFERROR(CO29/CO61*100,"")</f>
        <v/>
      </c>
      <c r="CP189" s="49" t="str">
        <f t="shared" si="876"/>
        <v/>
      </c>
      <c r="CQ189" s="49" t="str">
        <f t="shared" si="876"/>
        <v/>
      </c>
      <c r="CR189" s="49" t="str">
        <f t="shared" si="876"/>
        <v/>
      </c>
    </row>
    <row r="190" spans="1:96" s="9" customFormat="1" ht="15" x14ac:dyDescent="0.4">
      <c r="A190" s="28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F190" s="29"/>
      <c r="BG190" s="29"/>
      <c r="BH190" s="29"/>
      <c r="BI190" s="29"/>
      <c r="BJ190" s="29"/>
      <c r="BK190" s="29"/>
      <c r="BL190" s="29"/>
      <c r="BM190" s="29"/>
      <c r="BN190" s="29"/>
      <c r="BO190" s="29"/>
      <c r="BP190" s="29"/>
      <c r="BQ190" s="29"/>
      <c r="BR190" s="29"/>
      <c r="BS190" s="29"/>
      <c r="BT190" s="29"/>
      <c r="BU190" s="29"/>
      <c r="BV190" s="29"/>
      <c r="BW190" s="29"/>
      <c r="BX190" s="29"/>
      <c r="BY190" s="29"/>
      <c r="BZ190" s="29"/>
      <c r="CA190" s="29"/>
      <c r="CB190" s="29"/>
      <c r="CC190" s="29"/>
      <c r="CD190" s="29"/>
      <c r="CE190" s="29"/>
      <c r="CF190" s="29"/>
      <c r="CG190" s="29"/>
      <c r="CH190" s="29"/>
      <c r="CI190" s="29"/>
      <c r="CJ190" s="29"/>
      <c r="CK190" s="29"/>
      <c r="CL190" s="29"/>
      <c r="CM190" s="29"/>
      <c r="CN190" s="29"/>
      <c r="CO190" s="29"/>
      <c r="CP190" s="29"/>
      <c r="CQ190" s="29"/>
      <c r="CR190" s="29"/>
    </row>
    <row r="191" spans="1:96" s="31" customFormat="1" ht="15" x14ac:dyDescent="0.4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  <c r="BJ191" s="30"/>
      <c r="BK191" s="30"/>
      <c r="BL191" s="30"/>
      <c r="BM191" s="30"/>
      <c r="BN191" s="30"/>
      <c r="BO191" s="30"/>
      <c r="BP191" s="30"/>
      <c r="BQ191" s="30"/>
      <c r="BR191" s="30"/>
      <c r="BS191" s="30"/>
      <c r="BT191" s="30"/>
      <c r="BU191" s="30"/>
      <c r="BV191" s="30"/>
      <c r="BW191" s="30"/>
      <c r="BX191" s="30"/>
      <c r="BY191" s="30"/>
      <c r="BZ191" s="30"/>
      <c r="CA191" s="30"/>
      <c r="CB191" s="30"/>
      <c r="CC191" s="30"/>
      <c r="CD191" s="30"/>
      <c r="CE191" s="30"/>
      <c r="CF191" s="30"/>
      <c r="CG191" s="30"/>
      <c r="CH191" s="30"/>
      <c r="CI191" s="30"/>
      <c r="CJ191" s="30"/>
      <c r="CK191" s="30"/>
      <c r="CL191" s="30"/>
      <c r="CM191" s="30"/>
      <c r="CN191" s="30"/>
      <c r="CO191" s="30"/>
      <c r="CP191" s="30"/>
      <c r="CQ191" s="30"/>
      <c r="CR191" s="30"/>
    </row>
    <row r="192" spans="1:96" s="31" customFormat="1" ht="15" x14ac:dyDescent="0.4">
      <c r="A192" s="32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33"/>
      <c r="BF192" s="33"/>
      <c r="BG192" s="33"/>
      <c r="BH192" s="33"/>
      <c r="BI192" s="33"/>
      <c r="BJ192" s="33"/>
      <c r="BK192" s="33"/>
      <c r="BL192" s="33"/>
      <c r="BM192" s="33"/>
      <c r="BN192" s="33"/>
      <c r="BO192" s="33"/>
      <c r="BP192" s="33"/>
      <c r="BQ192" s="33"/>
      <c r="BR192" s="33"/>
      <c r="BS192" s="33"/>
      <c r="BT192" s="33"/>
      <c r="BU192" s="33"/>
      <c r="BV192" s="33"/>
      <c r="BW192" s="33"/>
      <c r="BX192" s="33"/>
      <c r="BY192" s="33"/>
      <c r="BZ192" s="33"/>
      <c r="CA192" s="33"/>
      <c r="CB192" s="33"/>
      <c r="CC192" s="33"/>
      <c r="CD192" s="33"/>
      <c r="CE192" s="33"/>
      <c r="CF192" s="33"/>
      <c r="CG192" s="33"/>
      <c r="CH192" s="33"/>
      <c r="CI192" s="33"/>
      <c r="CJ192" s="33"/>
      <c r="CK192" s="33"/>
      <c r="CL192" s="33"/>
      <c r="CM192" s="33"/>
      <c r="CN192" s="33"/>
      <c r="CO192" s="33"/>
      <c r="CP192" s="33"/>
      <c r="CQ192" s="33"/>
      <c r="CR192" s="33"/>
    </row>
    <row r="193" spans="1:96" ht="20" x14ac:dyDescent="0.4">
      <c r="A193" s="1" t="s">
        <v>101</v>
      </c>
    </row>
    <row r="194" spans="1:96" ht="20.5" thickBot="1" x14ac:dyDescent="0.45">
      <c r="A194" s="1" t="str">
        <f>A162</f>
        <v>Kabupaten/Kota :</v>
      </c>
      <c r="B194" s="34" t="str">
        <f>B162</f>
        <v>Kepuluauan Tanimbar</v>
      </c>
      <c r="L194" s="35"/>
      <c r="V194" s="35"/>
      <c r="AF194" s="35"/>
      <c r="AP194" s="35"/>
      <c r="AZ194" s="35"/>
      <c r="BJ194" s="35"/>
      <c r="BT194" s="35"/>
    </row>
    <row r="195" spans="1:96" s="9" customFormat="1" ht="24" customHeight="1" thickBot="1" x14ac:dyDescent="0.35">
      <c r="A195" s="5" t="s">
        <v>2</v>
      </c>
      <c r="B195" s="6" t="s">
        <v>3</v>
      </c>
      <c r="C195" s="6" t="s">
        <v>4</v>
      </c>
      <c r="D195" s="6" t="s">
        <v>5</v>
      </c>
      <c r="E195" s="6" t="s">
        <v>6</v>
      </c>
      <c r="F195" s="6">
        <v>2008</v>
      </c>
      <c r="G195" s="7" t="s">
        <v>7</v>
      </c>
      <c r="H195" s="7" t="s">
        <v>8</v>
      </c>
      <c r="I195" s="7" t="s">
        <v>9</v>
      </c>
      <c r="J195" s="7" t="s">
        <v>10</v>
      </c>
      <c r="K195" s="7">
        <v>2009</v>
      </c>
      <c r="L195" s="6" t="s">
        <v>11</v>
      </c>
      <c r="M195" s="6" t="s">
        <v>12</v>
      </c>
      <c r="N195" s="6" t="s">
        <v>13</v>
      </c>
      <c r="O195" s="6" t="s">
        <v>14</v>
      </c>
      <c r="P195" s="6">
        <v>2010</v>
      </c>
      <c r="Q195" s="7" t="s">
        <v>15</v>
      </c>
      <c r="R195" s="7" t="s">
        <v>16</v>
      </c>
      <c r="S195" s="7" t="s">
        <v>17</v>
      </c>
      <c r="T195" s="7" t="s">
        <v>18</v>
      </c>
      <c r="U195" s="7">
        <v>2011</v>
      </c>
      <c r="V195" s="6" t="s">
        <v>19</v>
      </c>
      <c r="W195" s="6" t="s">
        <v>20</v>
      </c>
      <c r="X195" s="6" t="s">
        <v>21</v>
      </c>
      <c r="Y195" s="6" t="s">
        <v>22</v>
      </c>
      <c r="Z195" s="6">
        <v>2012</v>
      </c>
      <c r="AA195" s="7" t="s">
        <v>23</v>
      </c>
      <c r="AB195" s="7" t="s">
        <v>24</v>
      </c>
      <c r="AC195" s="7" t="s">
        <v>25</v>
      </c>
      <c r="AD195" s="7" t="s">
        <v>26</v>
      </c>
      <c r="AE195" s="7">
        <v>2013</v>
      </c>
      <c r="AF195" s="6" t="s">
        <v>27</v>
      </c>
      <c r="AG195" s="6" t="s">
        <v>28</v>
      </c>
      <c r="AH195" s="6" t="s">
        <v>29</v>
      </c>
      <c r="AI195" s="6" t="s">
        <v>30</v>
      </c>
      <c r="AJ195" s="6">
        <v>2014</v>
      </c>
      <c r="AK195" s="7" t="s">
        <v>31</v>
      </c>
      <c r="AL195" s="7" t="s">
        <v>32</v>
      </c>
      <c r="AM195" s="7" t="s">
        <v>33</v>
      </c>
      <c r="AN195" s="7" t="s">
        <v>34</v>
      </c>
      <c r="AO195" s="7">
        <v>2015</v>
      </c>
      <c r="AP195" s="6" t="s">
        <v>35</v>
      </c>
      <c r="AQ195" s="6" t="s">
        <v>36</v>
      </c>
      <c r="AR195" s="6" t="s">
        <v>37</v>
      </c>
      <c r="AS195" s="6" t="s">
        <v>38</v>
      </c>
      <c r="AT195" s="6">
        <v>2016</v>
      </c>
      <c r="AU195" s="7" t="s">
        <v>39</v>
      </c>
      <c r="AV195" s="7" t="s">
        <v>40</v>
      </c>
      <c r="AW195" s="7" t="s">
        <v>41</v>
      </c>
      <c r="AX195" s="7" t="s">
        <v>42</v>
      </c>
      <c r="AY195" s="7">
        <v>2017</v>
      </c>
      <c r="AZ195" s="6" t="s">
        <v>43</v>
      </c>
      <c r="BA195" s="6" t="s">
        <v>44</v>
      </c>
      <c r="BB195" s="6" t="s">
        <v>45</v>
      </c>
      <c r="BC195" s="6" t="s">
        <v>46</v>
      </c>
      <c r="BD195" s="6">
        <v>2018</v>
      </c>
      <c r="BE195" s="7" t="s">
        <v>47</v>
      </c>
      <c r="BF195" s="7" t="s">
        <v>48</v>
      </c>
      <c r="BG195" s="7" t="s">
        <v>49</v>
      </c>
      <c r="BH195" s="7" t="s">
        <v>50</v>
      </c>
      <c r="BI195" s="7">
        <v>2019</v>
      </c>
      <c r="BJ195" s="6" t="s">
        <v>51</v>
      </c>
      <c r="BK195" s="6" t="s">
        <v>52</v>
      </c>
      <c r="BL195" s="6" t="s">
        <v>53</v>
      </c>
      <c r="BM195" s="6" t="s">
        <v>54</v>
      </c>
      <c r="BN195" s="6">
        <v>2020</v>
      </c>
      <c r="BO195" s="7" t="s">
        <v>55</v>
      </c>
      <c r="BP195" s="7" t="s">
        <v>56</v>
      </c>
      <c r="BQ195" s="7" t="s">
        <v>57</v>
      </c>
      <c r="BR195" s="7" t="s">
        <v>58</v>
      </c>
      <c r="BS195" s="7">
        <v>2021</v>
      </c>
      <c r="BT195" s="6" t="s">
        <v>59</v>
      </c>
      <c r="BU195" s="6" t="s">
        <v>60</v>
      </c>
      <c r="BV195" s="6" t="s">
        <v>61</v>
      </c>
      <c r="BW195" s="6" t="s">
        <v>62</v>
      </c>
      <c r="BX195" s="6">
        <v>2022</v>
      </c>
      <c r="BY195" s="7" t="s">
        <v>63</v>
      </c>
      <c r="BZ195" s="7" t="s">
        <v>64</v>
      </c>
      <c r="CA195" s="7" t="s">
        <v>65</v>
      </c>
      <c r="CB195" s="7" t="s">
        <v>66</v>
      </c>
      <c r="CC195" s="7">
        <v>2023</v>
      </c>
      <c r="CD195" s="8" t="s">
        <v>67</v>
      </c>
      <c r="CE195" s="8" t="s">
        <v>68</v>
      </c>
      <c r="CF195" s="8" t="s">
        <v>69</v>
      </c>
      <c r="CG195" s="8" t="s">
        <v>70</v>
      </c>
      <c r="CH195" s="8">
        <v>2024</v>
      </c>
      <c r="CI195" s="7" t="s">
        <v>71</v>
      </c>
      <c r="CJ195" s="7" t="s">
        <v>72</v>
      </c>
      <c r="CK195" s="7" t="s">
        <v>73</v>
      </c>
      <c r="CL195" s="7" t="s">
        <v>74</v>
      </c>
      <c r="CM195" s="7">
        <v>2025</v>
      </c>
      <c r="CN195" s="8" t="s">
        <v>75</v>
      </c>
      <c r="CO195" s="8" t="s">
        <v>76</v>
      </c>
      <c r="CP195" s="8" t="s">
        <v>77</v>
      </c>
      <c r="CQ195" s="8" t="s">
        <v>78</v>
      </c>
      <c r="CR195" s="8">
        <v>2026</v>
      </c>
    </row>
    <row r="196" spans="1:96" s="9" customFormat="1" ht="13.5" thickBot="1" x14ac:dyDescent="0.35">
      <c r="A196" s="10">
        <v>-1</v>
      </c>
      <c r="B196" s="11">
        <f>Table33610191810111535455565758595105115125[[#This Row],[Komponen Pengeluaran]]-1</f>
        <v>-2</v>
      </c>
      <c r="C196" s="11">
        <f>B196-1</f>
        <v>-3</v>
      </c>
      <c r="D196" s="11">
        <f t="shared" ref="D196:BO196" si="877">C196-1</f>
        <v>-4</v>
      </c>
      <c r="E196" s="11">
        <f t="shared" si="877"/>
        <v>-5</v>
      </c>
      <c r="F196" s="11">
        <f t="shared" si="877"/>
        <v>-6</v>
      </c>
      <c r="G196" s="11">
        <f t="shared" si="877"/>
        <v>-7</v>
      </c>
      <c r="H196" s="11">
        <f t="shared" si="877"/>
        <v>-8</v>
      </c>
      <c r="I196" s="11">
        <f t="shared" si="877"/>
        <v>-9</v>
      </c>
      <c r="J196" s="11">
        <f t="shared" si="877"/>
        <v>-10</v>
      </c>
      <c r="K196" s="11">
        <f t="shared" si="877"/>
        <v>-11</v>
      </c>
      <c r="L196" s="11">
        <f t="shared" si="877"/>
        <v>-12</v>
      </c>
      <c r="M196" s="11">
        <f t="shared" si="877"/>
        <v>-13</v>
      </c>
      <c r="N196" s="11">
        <f t="shared" si="877"/>
        <v>-14</v>
      </c>
      <c r="O196" s="11">
        <f t="shared" si="877"/>
        <v>-15</v>
      </c>
      <c r="P196" s="11">
        <f t="shared" si="877"/>
        <v>-16</v>
      </c>
      <c r="Q196" s="11">
        <f t="shared" si="877"/>
        <v>-17</v>
      </c>
      <c r="R196" s="11">
        <f t="shared" si="877"/>
        <v>-18</v>
      </c>
      <c r="S196" s="11">
        <f t="shared" si="877"/>
        <v>-19</v>
      </c>
      <c r="T196" s="11">
        <f t="shared" si="877"/>
        <v>-20</v>
      </c>
      <c r="U196" s="11">
        <f t="shared" si="877"/>
        <v>-21</v>
      </c>
      <c r="V196" s="11">
        <f t="shared" si="877"/>
        <v>-22</v>
      </c>
      <c r="W196" s="11">
        <f t="shared" si="877"/>
        <v>-23</v>
      </c>
      <c r="X196" s="11">
        <f t="shared" si="877"/>
        <v>-24</v>
      </c>
      <c r="Y196" s="11">
        <f t="shared" si="877"/>
        <v>-25</v>
      </c>
      <c r="Z196" s="11">
        <f t="shared" si="877"/>
        <v>-26</v>
      </c>
      <c r="AA196" s="11">
        <f t="shared" si="877"/>
        <v>-27</v>
      </c>
      <c r="AB196" s="11">
        <f t="shared" si="877"/>
        <v>-28</v>
      </c>
      <c r="AC196" s="11">
        <f t="shared" si="877"/>
        <v>-29</v>
      </c>
      <c r="AD196" s="11">
        <f t="shared" si="877"/>
        <v>-30</v>
      </c>
      <c r="AE196" s="11">
        <f t="shared" si="877"/>
        <v>-31</v>
      </c>
      <c r="AF196" s="11">
        <f t="shared" si="877"/>
        <v>-32</v>
      </c>
      <c r="AG196" s="11">
        <f t="shared" si="877"/>
        <v>-33</v>
      </c>
      <c r="AH196" s="11">
        <f t="shared" si="877"/>
        <v>-34</v>
      </c>
      <c r="AI196" s="11">
        <f t="shared" si="877"/>
        <v>-35</v>
      </c>
      <c r="AJ196" s="11">
        <f t="shared" si="877"/>
        <v>-36</v>
      </c>
      <c r="AK196" s="11">
        <f t="shared" si="877"/>
        <v>-37</v>
      </c>
      <c r="AL196" s="11">
        <f t="shared" si="877"/>
        <v>-38</v>
      </c>
      <c r="AM196" s="11">
        <f t="shared" si="877"/>
        <v>-39</v>
      </c>
      <c r="AN196" s="11">
        <f t="shared" si="877"/>
        <v>-40</v>
      </c>
      <c r="AO196" s="11">
        <f t="shared" si="877"/>
        <v>-41</v>
      </c>
      <c r="AP196" s="11">
        <f t="shared" si="877"/>
        <v>-42</v>
      </c>
      <c r="AQ196" s="11">
        <f t="shared" si="877"/>
        <v>-43</v>
      </c>
      <c r="AR196" s="11">
        <f t="shared" si="877"/>
        <v>-44</v>
      </c>
      <c r="AS196" s="11">
        <f t="shared" si="877"/>
        <v>-45</v>
      </c>
      <c r="AT196" s="11">
        <f t="shared" si="877"/>
        <v>-46</v>
      </c>
      <c r="AU196" s="11">
        <f t="shared" si="877"/>
        <v>-47</v>
      </c>
      <c r="AV196" s="11">
        <f t="shared" si="877"/>
        <v>-48</v>
      </c>
      <c r="AW196" s="11">
        <f t="shared" si="877"/>
        <v>-49</v>
      </c>
      <c r="AX196" s="11">
        <f t="shared" si="877"/>
        <v>-50</v>
      </c>
      <c r="AY196" s="11">
        <f t="shared" si="877"/>
        <v>-51</v>
      </c>
      <c r="AZ196" s="11">
        <f t="shared" si="877"/>
        <v>-52</v>
      </c>
      <c r="BA196" s="11">
        <f t="shared" si="877"/>
        <v>-53</v>
      </c>
      <c r="BB196" s="11">
        <f t="shared" si="877"/>
        <v>-54</v>
      </c>
      <c r="BC196" s="11">
        <f t="shared" si="877"/>
        <v>-55</v>
      </c>
      <c r="BD196" s="11">
        <f t="shared" si="877"/>
        <v>-56</v>
      </c>
      <c r="BE196" s="11">
        <f t="shared" si="877"/>
        <v>-57</v>
      </c>
      <c r="BF196" s="11">
        <f t="shared" si="877"/>
        <v>-58</v>
      </c>
      <c r="BG196" s="11">
        <f t="shared" si="877"/>
        <v>-59</v>
      </c>
      <c r="BH196" s="11">
        <f t="shared" si="877"/>
        <v>-60</v>
      </c>
      <c r="BI196" s="11">
        <f t="shared" si="877"/>
        <v>-61</v>
      </c>
      <c r="BJ196" s="11">
        <f t="shared" si="877"/>
        <v>-62</v>
      </c>
      <c r="BK196" s="11">
        <f t="shared" si="877"/>
        <v>-63</v>
      </c>
      <c r="BL196" s="11">
        <f t="shared" si="877"/>
        <v>-64</v>
      </c>
      <c r="BM196" s="11">
        <f t="shared" si="877"/>
        <v>-65</v>
      </c>
      <c r="BN196" s="11">
        <f t="shared" si="877"/>
        <v>-66</v>
      </c>
      <c r="BO196" s="11">
        <f t="shared" si="877"/>
        <v>-67</v>
      </c>
      <c r="BP196" s="11">
        <f t="shared" ref="BP196:CR196" si="878">BO196-1</f>
        <v>-68</v>
      </c>
      <c r="BQ196" s="11">
        <f t="shared" si="878"/>
        <v>-69</v>
      </c>
      <c r="BR196" s="11">
        <f t="shared" si="878"/>
        <v>-70</v>
      </c>
      <c r="BS196" s="11">
        <f t="shared" si="878"/>
        <v>-71</v>
      </c>
      <c r="BT196" s="11">
        <f t="shared" si="878"/>
        <v>-72</v>
      </c>
      <c r="BU196" s="11">
        <f t="shared" si="878"/>
        <v>-73</v>
      </c>
      <c r="BV196" s="11">
        <f t="shared" si="878"/>
        <v>-74</v>
      </c>
      <c r="BW196" s="11">
        <f t="shared" si="878"/>
        <v>-75</v>
      </c>
      <c r="BX196" s="11">
        <f t="shared" si="878"/>
        <v>-76</v>
      </c>
      <c r="BY196" s="11">
        <f t="shared" si="878"/>
        <v>-77</v>
      </c>
      <c r="BZ196" s="11">
        <f t="shared" si="878"/>
        <v>-78</v>
      </c>
      <c r="CA196" s="11">
        <f t="shared" si="878"/>
        <v>-79</v>
      </c>
      <c r="CB196" s="11">
        <f t="shared" si="878"/>
        <v>-80</v>
      </c>
      <c r="CC196" s="11">
        <f t="shared" si="878"/>
        <v>-81</v>
      </c>
      <c r="CD196" s="11">
        <f t="shared" si="878"/>
        <v>-82</v>
      </c>
      <c r="CE196" s="11">
        <f t="shared" si="878"/>
        <v>-83</v>
      </c>
      <c r="CF196" s="11">
        <f t="shared" si="878"/>
        <v>-84</v>
      </c>
      <c r="CG196" s="11">
        <f t="shared" si="878"/>
        <v>-85</v>
      </c>
      <c r="CH196" s="11">
        <f t="shared" si="878"/>
        <v>-86</v>
      </c>
      <c r="CI196" s="11">
        <f t="shared" si="878"/>
        <v>-87</v>
      </c>
      <c r="CJ196" s="11">
        <f t="shared" si="878"/>
        <v>-88</v>
      </c>
      <c r="CK196" s="11">
        <f t="shared" si="878"/>
        <v>-89</v>
      </c>
      <c r="CL196" s="11">
        <f t="shared" si="878"/>
        <v>-90</v>
      </c>
      <c r="CM196" s="11">
        <f t="shared" si="878"/>
        <v>-91</v>
      </c>
      <c r="CN196" s="11">
        <f t="shared" si="878"/>
        <v>-92</v>
      </c>
      <c r="CO196" s="11">
        <f t="shared" si="878"/>
        <v>-93</v>
      </c>
      <c r="CP196" s="11">
        <f t="shared" si="878"/>
        <v>-94</v>
      </c>
      <c r="CQ196" s="11">
        <f t="shared" si="878"/>
        <v>-95</v>
      </c>
      <c r="CR196" s="11">
        <f t="shared" si="878"/>
        <v>-96</v>
      </c>
    </row>
    <row r="197" spans="1:96" s="9" customFormat="1" ht="16.5" thickTop="1" x14ac:dyDescent="0.4">
      <c r="A197" s="12"/>
      <c r="B197" s="36"/>
      <c r="C197" s="13"/>
      <c r="D197" s="13"/>
      <c r="E197" s="13"/>
      <c r="F197" s="36"/>
      <c r="G197" s="13"/>
      <c r="H197" s="13"/>
      <c r="I197" s="13"/>
      <c r="J197" s="13"/>
      <c r="K197" s="14"/>
      <c r="L197" s="13"/>
      <c r="M197" s="13"/>
      <c r="N197" s="13"/>
      <c r="O197" s="13"/>
      <c r="P197" s="14"/>
      <c r="Q197" s="13"/>
      <c r="R197" s="13"/>
      <c r="S197" s="13"/>
      <c r="T197" s="13"/>
      <c r="U197" s="14"/>
      <c r="V197" s="13"/>
      <c r="W197" s="13"/>
      <c r="X197" s="13"/>
      <c r="Y197" s="13"/>
      <c r="Z197" s="14"/>
      <c r="AA197" s="13"/>
      <c r="AB197" s="13"/>
      <c r="AC197" s="13"/>
      <c r="AD197" s="13"/>
      <c r="AE197" s="14"/>
      <c r="AF197" s="13"/>
      <c r="AG197" s="13"/>
      <c r="AH197" s="13"/>
      <c r="AI197" s="13"/>
      <c r="AJ197" s="14"/>
      <c r="AK197" s="13"/>
      <c r="AL197" s="13"/>
      <c r="AM197" s="13"/>
      <c r="AN197" s="13"/>
      <c r="AO197" s="14"/>
      <c r="AP197" s="13"/>
      <c r="AQ197" s="13"/>
      <c r="AR197" s="13"/>
      <c r="AS197" s="13"/>
      <c r="AT197" s="14"/>
      <c r="AU197" s="13"/>
      <c r="AV197" s="13"/>
      <c r="AW197" s="13"/>
      <c r="AX197" s="13"/>
      <c r="AY197" s="14"/>
      <c r="AZ197" s="13"/>
      <c r="BA197" s="13"/>
      <c r="BB197" s="13"/>
      <c r="BC197" s="13"/>
      <c r="BD197" s="14"/>
      <c r="BE197" s="13"/>
      <c r="BF197" s="13"/>
      <c r="BG197" s="13"/>
      <c r="BH197" s="13"/>
      <c r="BI197" s="14"/>
      <c r="BJ197" s="13"/>
      <c r="BK197" s="13"/>
      <c r="BL197" s="13"/>
      <c r="BM197" s="13"/>
      <c r="BN197" s="14"/>
      <c r="BO197" s="13"/>
      <c r="BP197" s="13"/>
      <c r="BQ197" s="13"/>
      <c r="BR197" s="13"/>
      <c r="BS197" s="14"/>
      <c r="BT197" s="13"/>
      <c r="BU197" s="13"/>
      <c r="BV197" s="13"/>
      <c r="BW197" s="13"/>
      <c r="BX197" s="14"/>
      <c r="BY197" s="13"/>
      <c r="BZ197" s="13"/>
      <c r="CA197" s="13"/>
      <c r="CB197" s="13"/>
      <c r="CC197" s="14"/>
      <c r="CD197" s="13"/>
      <c r="CE197" s="13"/>
      <c r="CF197" s="13"/>
      <c r="CG197" s="13"/>
      <c r="CH197" s="14"/>
      <c r="CI197" s="13"/>
      <c r="CJ197" s="13"/>
      <c r="CK197" s="13"/>
      <c r="CL197" s="13"/>
      <c r="CM197" s="14"/>
      <c r="CN197" s="13"/>
      <c r="CO197" s="13"/>
      <c r="CP197" s="13"/>
      <c r="CQ197" s="13"/>
      <c r="CR197" s="14"/>
    </row>
    <row r="198" spans="1:96" s="17" customFormat="1" ht="15" x14ac:dyDescent="0.4">
      <c r="A198" s="15" t="s">
        <v>79</v>
      </c>
      <c r="B198" s="37"/>
      <c r="C198" s="16">
        <f>IFERROR(C166/B166*100-100,"")</f>
        <v>-4.4289298183315395E-3</v>
      </c>
      <c r="D198" s="16">
        <f>IFERROR(D166/C166*100-100,"")</f>
        <v>3.1134901583003085</v>
      </c>
      <c r="E198" s="16">
        <f>IFERROR(E166/D166*100-100,"")</f>
        <v>1.2974928928068721</v>
      </c>
      <c r="F198" s="37"/>
      <c r="G198" s="16">
        <f>IFERROR(G166/E166*100-100,"")</f>
        <v>0.10077771243066991</v>
      </c>
      <c r="H198" s="16">
        <f>IFERROR(H166/G166*100-100,"")</f>
        <v>0.22591172650959379</v>
      </c>
      <c r="I198" s="16">
        <f t="shared" ref="I198:J199" si="879">IFERROR(I166/H166*100-100,"")</f>
        <v>1.6984565875927728</v>
      </c>
      <c r="J198" s="16">
        <f t="shared" si="879"/>
        <v>0.59069016936949481</v>
      </c>
      <c r="K198" s="16">
        <f>IFERROR(K166/F166*100-100,"")</f>
        <v>3.8025491414916957</v>
      </c>
      <c r="L198" s="16">
        <f>IFERROR(L166/J166*100-100,"")</f>
        <v>0.92518387322681406</v>
      </c>
      <c r="M198" s="16">
        <f>IFERROR(M166/L166*100-100,"")</f>
        <v>3.0379947774623588</v>
      </c>
      <c r="N198" s="16">
        <f t="shared" ref="N198:O199" si="880">IFERROR(N166/M166*100-100,"")</f>
        <v>0.16707262051689042</v>
      </c>
      <c r="O198" s="16">
        <f t="shared" si="880"/>
        <v>-1.6085859492703207</v>
      </c>
      <c r="P198" s="16">
        <f>IFERROR(P166/K166*100-100,"")</f>
        <v>4.2378226933550422</v>
      </c>
      <c r="Q198" s="16">
        <f>IFERROR(Q166/O166*100-100,"")</f>
        <v>-4.8654320022886282</v>
      </c>
      <c r="R198" s="16" t="str">
        <f>IFERROR(R166/Q166*100-100,"")</f>
        <v/>
      </c>
      <c r="S198" s="16" t="str">
        <f t="shared" ref="S198:T199" si="881">IFERROR(S166/R166*100-100,"")</f>
        <v/>
      </c>
      <c r="T198" s="16">
        <f t="shared" si="881"/>
        <v>-3.2750522778115823</v>
      </c>
      <c r="U198" s="16" t="str">
        <f>IFERROR(U166/P166*100-100,"")</f>
        <v/>
      </c>
      <c r="V198" s="16">
        <f>IFERROR(V166/T166*100-100,"")</f>
        <v>10.69274328944357</v>
      </c>
      <c r="W198" s="16">
        <f>IFERROR(W166/V166*100-100,"")</f>
        <v>0.53082845256567168</v>
      </c>
      <c r="X198" s="16">
        <f t="shared" ref="X198:Y199" si="882">IFERROR(X166/W166*100-100,"")</f>
        <v>-1.6992382138284654</v>
      </c>
      <c r="Y198" s="16">
        <f t="shared" si="882"/>
        <v>0.5204858216108903</v>
      </c>
      <c r="Z198" s="16" t="str">
        <f>IFERROR(Z166/U166*100-100,"")</f>
        <v/>
      </c>
      <c r="AA198" s="16">
        <f>IFERROR(AA166/Y166*100-100,"")</f>
        <v>2.7599847818998313</v>
      </c>
      <c r="AB198" s="16">
        <f>IFERROR(AB166/AA166*100-100,"")</f>
        <v>3.1579121513388912</v>
      </c>
      <c r="AC198" s="16">
        <f t="shared" ref="AC198:AD199" si="883">IFERROR(AC166/AB166*100-100,"")</f>
        <v>4.1252976534072303</v>
      </c>
      <c r="AD198" s="16">
        <f t="shared" si="883"/>
        <v>2.2052191668140182</v>
      </c>
      <c r="AE198" s="16">
        <f>IFERROR(AE166/Z166*100-100,"")</f>
        <v>7.8618201235787382</v>
      </c>
      <c r="AF198" s="16">
        <f>IFERROR(AF166/AD166*100-100,"")</f>
        <v>1.4216915201025415</v>
      </c>
      <c r="AG198" s="16">
        <f>IFERROR(AG166/AF166*100-100,"")</f>
        <v>0.36971525491431123</v>
      </c>
      <c r="AH198" s="16">
        <f t="shared" ref="AH198:AI199" si="884">IFERROR(AH166/AG166*100-100,"")</f>
        <v>0.75899253048281423</v>
      </c>
      <c r="AI198" s="16">
        <f t="shared" si="884"/>
        <v>1.8701584277254426</v>
      </c>
      <c r="AJ198" s="16">
        <f>IFERROR(AJ166/AE166*100-100,"")</f>
        <v>7.0090364303000001</v>
      </c>
      <c r="AK198" s="16">
        <f>IFERROR(AK166/AI166*100-100,"")</f>
        <v>1.9508400902716829</v>
      </c>
      <c r="AL198" s="16">
        <f>IFERROR(AL166/AK166*100-100,"")</f>
        <v>1.8726152422158435</v>
      </c>
      <c r="AM198" s="16">
        <f t="shared" ref="AM198:AN199" si="885">IFERROR(AM166/AL166*100-100,"")</f>
        <v>1.3264073275636576</v>
      </c>
      <c r="AN198" s="16">
        <f t="shared" si="885"/>
        <v>1.6920392990779476</v>
      </c>
      <c r="AO198" s="16">
        <f>IFERROR(AO166/AJ166*100-100,"")</f>
        <v>6.5102582983236346</v>
      </c>
      <c r="AP198" s="16">
        <f>IFERROR(AP166/AN166*100-100,"")</f>
        <v>2.6295297462549598</v>
      </c>
      <c r="AQ198" s="16">
        <f>IFERROR(AQ166/AP166*100-100,"")</f>
        <v>-0.32605435554744133</v>
      </c>
      <c r="AR198" s="16">
        <f t="shared" ref="AR198:AS199" si="886">IFERROR(AR166/AQ166*100-100,"")</f>
        <v>0.91707853317039678</v>
      </c>
      <c r="AS198" s="16">
        <f t="shared" si="886"/>
        <v>1.1752663870892519</v>
      </c>
      <c r="AT198" s="16">
        <f>IFERROR(AT166/AO166*100-100,"")</f>
        <v>5.5378725879126733</v>
      </c>
      <c r="AU198" s="16">
        <f>IFERROR(AU166/AS166*100-100,"")</f>
        <v>0.74664189629152133</v>
      </c>
      <c r="AV198" s="16">
        <f>IFERROR(AV166/AU166*100-100,"")</f>
        <v>0.63472762373216085</v>
      </c>
      <c r="AW198" s="16">
        <f t="shared" ref="AW198:AX199" si="887">IFERROR(AW166/AV166*100-100,"")</f>
        <v>0.92938034585836249</v>
      </c>
      <c r="AX198" s="16">
        <f t="shared" si="887"/>
        <v>0.3742970314509364</v>
      </c>
      <c r="AY198" s="16">
        <f>IFERROR(AY166/AT166*100-100,"")</f>
        <v>3.0832038298693902</v>
      </c>
      <c r="AZ198" s="16">
        <f>IFERROR(AZ166/AX166*100-100,"")</f>
        <v>0.48265020521631641</v>
      </c>
      <c r="BA198" s="16">
        <f>IFERROR(BA166/AZ166*100-100,"")</f>
        <v>8.8223029149261833E-2</v>
      </c>
      <c r="BB198" s="16">
        <f t="shared" ref="BB198:BC199" si="888">IFERROR(BB166/BA166*100-100,"")</f>
        <v>2.099229424720761E-2</v>
      </c>
      <c r="BC198" s="16">
        <f t="shared" si="888"/>
        <v>3.3233377420827992E-2</v>
      </c>
      <c r="BD198" s="16">
        <f>IFERROR(BD166/AY166*100-100,"")</f>
        <v>1.4438368970695876</v>
      </c>
      <c r="BE198" s="16">
        <f>IFERROR(BE166/BC166*100-100,"")</f>
        <v>2.6484083328803791</v>
      </c>
      <c r="BF198" s="16">
        <f>IFERROR(BF166/BE166*100-100,"")</f>
        <v>0.29960674683577793</v>
      </c>
      <c r="BG198" s="16">
        <f t="shared" ref="BG198:BH199" si="889">IFERROR(BG166/BF166*100-100,"")</f>
        <v>2.6504589645118131</v>
      </c>
      <c r="BH198" s="16">
        <f t="shared" si="889"/>
        <v>-0.6732927446058028</v>
      </c>
      <c r="BI198" s="16">
        <f>IFERROR(BI166/BD166*100-100,"")</f>
        <v>4.1651631316599094</v>
      </c>
      <c r="BJ198" s="16">
        <f>IFERROR(BJ166/BH166*100-100,"")</f>
        <v>-1.4271751280340936</v>
      </c>
      <c r="BK198" s="16">
        <f>IFERROR(BK166/BJ166*100-100,"")</f>
        <v>1.8119578188084944</v>
      </c>
      <c r="BL198" s="16">
        <f t="shared" ref="BL198:BM199" si="890">IFERROR(BL166/BK166*100-100,"")</f>
        <v>2.8048037896566598</v>
      </c>
      <c r="BM198" s="16">
        <f t="shared" si="890"/>
        <v>0.1784590605224281</v>
      </c>
      <c r="BN198" s="16">
        <f>IFERROR(BN166/BI166*100-100,"")</f>
        <v>2.2135439697406269</v>
      </c>
      <c r="BO198" s="16">
        <f>IFERROR(BO166/BM166*100-100,"")</f>
        <v>1.232258095584541</v>
      </c>
      <c r="BP198" s="16">
        <f>IFERROR(BP166/BO166*100-100,"")</f>
        <v>1.9021699027017291</v>
      </c>
      <c r="BQ198" s="16">
        <f t="shared" ref="BQ198:BR199" si="891">IFERROR(BQ166/BP166*100-100,"")</f>
        <v>-2.5550977498150473</v>
      </c>
      <c r="BR198" s="16">
        <f t="shared" si="891"/>
        <v>3.1779259080456939</v>
      </c>
      <c r="BS198" s="16">
        <f>IFERROR(BS166/BN166*100-100,"")</f>
        <v>4.1785738220523285</v>
      </c>
      <c r="BT198" s="16">
        <f>IFERROR(BT166/BR166*100-100,"")</f>
        <v>2.1303943055424668</v>
      </c>
      <c r="BU198" s="16">
        <f>IFERROR(BU166/BT166*100-100,"")</f>
        <v>0.57492251600686473</v>
      </c>
      <c r="BV198" s="16">
        <f t="shared" ref="BV198:BW199" si="892">IFERROR(BV166/BU166*100-100,"")</f>
        <v>1.0454126272630049</v>
      </c>
      <c r="BW198" s="16">
        <f t="shared" si="892"/>
        <v>0.44519536660058634</v>
      </c>
      <c r="BX198" s="16">
        <f>IFERROR(BX166/BS166*100-100,"")</f>
        <v>4.7943495674446694</v>
      </c>
      <c r="BY198" s="16">
        <f>IFERROR(BY166/BW166*100-100,"")</f>
        <v>0.96552344524613432</v>
      </c>
      <c r="BZ198" s="16">
        <f>IFERROR(BZ166/BY166*100-100,"")</f>
        <v>1.0209237328836025</v>
      </c>
      <c r="CA198" s="16">
        <f t="shared" ref="CA198:CB199" si="893">IFERROR(CA166/BZ166*100-100,"")</f>
        <v>0.6188624124514206</v>
      </c>
      <c r="CB198" s="16">
        <f t="shared" si="893"/>
        <v>0.49939229006974983</v>
      </c>
      <c r="CC198" s="16">
        <f>IFERROR(CC166/BX166*100-100,"")</f>
        <v>3.1999659835450558</v>
      </c>
      <c r="CD198" s="16">
        <f>IFERROR(CD166/CB166*100-100,"")</f>
        <v>-0.11745273412844881</v>
      </c>
      <c r="CE198" s="16">
        <f>IFERROR(CE166/CD166*100-100,"")</f>
        <v>1.7092192022779358</v>
      </c>
      <c r="CF198" s="16">
        <f t="shared" ref="CF198:CG205" si="894">IFERROR(CF166/CE166*100-100,"")</f>
        <v>0.41660307093552262</v>
      </c>
      <c r="CG198" s="16">
        <f t="shared" si="894"/>
        <v>-1.0015168292340775</v>
      </c>
      <c r="CH198" s="16">
        <f>IFERROR(CH166/CC166*100-100,"")</f>
        <v>2.0549926711897655</v>
      </c>
      <c r="CI198" s="16">
        <f>IFERROR(CI166/CG166*100-100,"")</f>
        <v>0.77692557260485273</v>
      </c>
      <c r="CJ198" s="16">
        <f>IFERROR(CJ166/CI166*100-100,"")</f>
        <v>2.9672048684037549</v>
      </c>
      <c r="CK198" s="16">
        <f t="shared" ref="CK198:CL205" si="895">IFERROR(CK166/CJ166*100-100,"")</f>
        <v>2.5104709517381565</v>
      </c>
      <c r="CL198" s="16">
        <f t="shared" si="895"/>
        <v>-0.50423602508114129</v>
      </c>
      <c r="CM198" s="16">
        <f>IFERROR(CM166/CH166*100-100,"")</f>
        <v>4.0761654520248243</v>
      </c>
      <c r="CN198" s="16" t="str">
        <f>IFERROR(CN166/CL166*100-100,"")</f>
        <v/>
      </c>
      <c r="CO198" s="16" t="str">
        <f>IFERROR(CO166/CN166*100-100,"")</f>
        <v/>
      </c>
      <c r="CP198" s="16" t="str">
        <f t="shared" ref="CP198:CQ205" si="896">IFERROR(CP166/CO166*100-100,"")</f>
        <v/>
      </c>
      <c r="CQ198" s="16" t="str">
        <f t="shared" si="896"/>
        <v/>
      </c>
      <c r="CR198" s="16" t="str">
        <f>IFERROR(CR166/CM166*100-100,"")</f>
        <v/>
      </c>
    </row>
    <row r="199" spans="1:96" s="9" customFormat="1" ht="15" x14ac:dyDescent="0.4">
      <c r="A199" s="18" t="s">
        <v>80</v>
      </c>
      <c r="B199" s="38"/>
      <c r="C199" s="39">
        <f>IFERROR(C167/B167*100-100,"")</f>
        <v>-0.47688806012021701</v>
      </c>
      <c r="D199" s="39">
        <f t="shared" ref="D199:E199" si="897">IFERROR(D167/C167*100-100,"")</f>
        <v>3.2880054733279707</v>
      </c>
      <c r="E199" s="39">
        <f t="shared" si="897"/>
        <v>1.5557559101347067</v>
      </c>
      <c r="F199" s="38"/>
      <c r="G199" s="39">
        <f>IFERROR(G167/E167*100-100,"")</f>
        <v>0.79461537834548324</v>
      </c>
      <c r="H199" s="39">
        <f>IFERROR(H167/G167*100-100,"")</f>
        <v>9.6159120279708077E-2</v>
      </c>
      <c r="I199" s="39">
        <f t="shared" si="879"/>
        <v>4.3570992054853264E-2</v>
      </c>
      <c r="J199" s="39">
        <f t="shared" si="879"/>
        <v>0.14334936650372754</v>
      </c>
      <c r="K199" s="40">
        <f>IFERROR(K167/F167*100-100,"")</f>
        <v>3.5803173809699302</v>
      </c>
      <c r="L199" s="39">
        <f>IFERROR(L167/J167*100-100,"")</f>
        <v>3.1581232537243267</v>
      </c>
      <c r="M199" s="39">
        <f>IFERROR(M167/L167*100-100,"")</f>
        <v>3.1411730528092932</v>
      </c>
      <c r="N199" s="39">
        <f t="shared" si="880"/>
        <v>-1.7129780930956144</v>
      </c>
      <c r="O199" s="39">
        <f t="shared" si="880"/>
        <v>-2.9204436342337203</v>
      </c>
      <c r="P199" s="40">
        <f>IFERROR(P167/K167*100-100,"")</f>
        <v>4.0213116634325416</v>
      </c>
      <c r="Q199" s="39">
        <f>IFERROR(Q167/O167*100-100,"")</f>
        <v>-4.8605337437250284</v>
      </c>
      <c r="R199" s="39" t="str">
        <f>IFERROR(R167/Q167*100-100,"")</f>
        <v/>
      </c>
      <c r="S199" s="39" t="str">
        <f t="shared" si="881"/>
        <v/>
      </c>
      <c r="T199" s="39">
        <f t="shared" si="881"/>
        <v>-7.9963018326980944</v>
      </c>
      <c r="U199" s="40" t="str">
        <f>IFERROR(U167/P167*100-100,"")</f>
        <v/>
      </c>
      <c r="V199" s="39">
        <f>IFERROR(V167/T167*100-100,"")</f>
        <v>20.902252588837555</v>
      </c>
      <c r="W199" s="39">
        <f>IFERROR(W167/V167*100-100,"")</f>
        <v>-1.4096308639971227</v>
      </c>
      <c r="X199" s="39">
        <f t="shared" si="882"/>
        <v>-5.3241510551339815</v>
      </c>
      <c r="Y199" s="39">
        <f t="shared" si="882"/>
        <v>0.24514712823213358</v>
      </c>
      <c r="Z199" s="40" t="str">
        <f>IFERROR(Z167/U167*100-100,"")</f>
        <v/>
      </c>
      <c r="AA199" s="39">
        <f>IFERROR(AA167/Y167*100-100,"")</f>
        <v>3.6716853780395695</v>
      </c>
      <c r="AB199" s="39">
        <f>IFERROR(AB167/AA167*100-100,"")</f>
        <v>3.9992030391021274</v>
      </c>
      <c r="AC199" s="39">
        <f t="shared" si="883"/>
        <v>5.198899554732435</v>
      </c>
      <c r="AD199" s="39">
        <f t="shared" si="883"/>
        <v>2.4829980221879708</v>
      </c>
      <c r="AE199" s="40">
        <f>IFERROR(AE167/Z167*100-100,"")</f>
        <v>7.4895339689303455</v>
      </c>
      <c r="AF199" s="39">
        <f>IFERROR(AF167/AD167*100-100,"")</f>
        <v>0.79965779213793553</v>
      </c>
      <c r="AG199" s="39">
        <f>IFERROR(AG167/AF167*100-100,"")</f>
        <v>1.6107469853849921E-2</v>
      </c>
      <c r="AH199" s="39">
        <f t="shared" si="884"/>
        <v>0.66541676684109063</v>
      </c>
      <c r="AI199" s="39">
        <f t="shared" si="884"/>
        <v>2.2248174394499074</v>
      </c>
      <c r="AJ199" s="40">
        <f>IFERROR(AJ167/AE167*100-100,"")</f>
        <v>7.006109817443857</v>
      </c>
      <c r="AK199" s="39">
        <f>IFERROR(AK167/AI167*100-100,"")</f>
        <v>2.3245152497497941</v>
      </c>
      <c r="AL199" s="39">
        <f>IFERROR(AL167/AK167*100-100,"")</f>
        <v>2.1597190731663147</v>
      </c>
      <c r="AM199" s="39">
        <f t="shared" si="885"/>
        <v>1.329892581938168</v>
      </c>
      <c r="AN199" s="39">
        <f t="shared" si="885"/>
        <v>1.8588414604559773</v>
      </c>
      <c r="AO199" s="40">
        <f>IFERROR(AO167/AJ167*100-100,"")</f>
        <v>7.3278024565790076</v>
      </c>
      <c r="AP199" s="39">
        <f>IFERROR(AP167/AN167*100-100,"")</f>
        <v>3.0565709545159478</v>
      </c>
      <c r="AQ199" s="39">
        <f>IFERROR(AQ167/AP167*100-100,"")</f>
        <v>-0.82022999219407211</v>
      </c>
      <c r="AR199" s="39">
        <f t="shared" si="886"/>
        <v>0.82857926633437273</v>
      </c>
      <c r="AS199" s="39">
        <f t="shared" si="886"/>
        <v>1.1858213345900452</v>
      </c>
      <c r="AT199" s="40">
        <f>IFERROR(AT167/AO167*100-100,"")</f>
        <v>5.7175815410019766</v>
      </c>
      <c r="AU199" s="39">
        <f>IFERROR(AU167/AS167*100-100,"")</f>
        <v>0.85676643451320444</v>
      </c>
      <c r="AV199" s="39">
        <f>IFERROR(AV167/AU167*100-100,"")</f>
        <v>0.50673688552727469</v>
      </c>
      <c r="AW199" s="39">
        <f t="shared" si="887"/>
        <v>0.86908147795692514</v>
      </c>
      <c r="AX199" s="39">
        <f t="shared" si="887"/>
        <v>9.3220933136620943E-2</v>
      </c>
      <c r="AY199" s="40">
        <f>IFERROR(AY167/AT167*100-100,"")</f>
        <v>2.834504897116858</v>
      </c>
      <c r="AZ199" s="39">
        <f>IFERROR(AZ167/AX167*100-100,"")</f>
        <v>0.41861143484310048</v>
      </c>
      <c r="BA199" s="39">
        <f>IFERROR(BA167/AZ167*100-100,"")</f>
        <v>-0.37366893828632897</v>
      </c>
      <c r="BB199" s="39">
        <f t="shared" si="888"/>
        <v>-0.34635313920671251</v>
      </c>
      <c r="BC199" s="39">
        <f t="shared" si="888"/>
        <v>-0.26122233393067518</v>
      </c>
      <c r="BD199" s="40">
        <f>IFERROR(BD167/AY167*100-100,"")</f>
        <v>0.47489904590727861</v>
      </c>
      <c r="BE199" s="39">
        <f>IFERROR(BE167/BC167*100-100,"")</f>
        <v>3.4975753089088357</v>
      </c>
      <c r="BF199" s="39">
        <f>IFERROR(BF167/BE167*100-100,"")</f>
        <v>0.21343647721963066</v>
      </c>
      <c r="BG199" s="39">
        <f t="shared" si="889"/>
        <v>3.7306798138190516</v>
      </c>
      <c r="BH199" s="39">
        <f t="shared" si="889"/>
        <v>-1.1679389984927582</v>
      </c>
      <c r="BI199" s="40">
        <f>IFERROR(BI167/BD167*100-100,"")</f>
        <v>4.8745984920220025</v>
      </c>
      <c r="BJ199" s="39">
        <f>IFERROR(BJ167/BH167*100-100,"")</f>
        <v>-2.5896507907940389</v>
      </c>
      <c r="BK199" s="39">
        <f>IFERROR(BK167/BJ167*100-100,"")</f>
        <v>2.5017805300150826</v>
      </c>
      <c r="BL199" s="39">
        <f t="shared" si="890"/>
        <v>3.659374561779984</v>
      </c>
      <c r="BM199" s="39">
        <f t="shared" si="890"/>
        <v>-5.103424063742068E-2</v>
      </c>
      <c r="BN199" s="40">
        <f>IFERROR(BN167/BI167*100-100,"")</f>
        <v>2.0206687013998987</v>
      </c>
      <c r="BO199" s="39">
        <f>IFERROR(BO167/BM167*100-100,"")</f>
        <v>1.4345942964165062</v>
      </c>
      <c r="BP199" s="39">
        <f>IFERROR(BP167/BO167*100-100,"")</f>
        <v>2.2056046643435252</v>
      </c>
      <c r="BQ199" s="39">
        <f t="shared" si="891"/>
        <v>-3.5583747844570865</v>
      </c>
      <c r="BR199" s="39">
        <f t="shared" si="891"/>
        <v>3.7210519004626121</v>
      </c>
      <c r="BS199" s="40">
        <f>IFERROR(BS167/BN167*100-100,"")</f>
        <v>4.6244661721549107</v>
      </c>
      <c r="BT199" s="39">
        <f>IFERROR(BT167/BR167*100-100,"")</f>
        <v>2.3483800383288269</v>
      </c>
      <c r="BU199" s="39">
        <f>IFERROR(BU167/BT167*100-100,"")</f>
        <v>0.29625802269723067</v>
      </c>
      <c r="BV199" s="39">
        <f t="shared" si="892"/>
        <v>1.160357651048912</v>
      </c>
      <c r="BW199" s="39">
        <f t="shared" si="892"/>
        <v>0.3629090202877876</v>
      </c>
      <c r="BX199" s="40">
        <f>IFERROR(BX167/BS167*100-100,"")</f>
        <v>4.7752667102970037</v>
      </c>
      <c r="BY199" s="39">
        <f>IFERROR(BY167/BW167*100-100,"")</f>
        <v>1.2628423119444676</v>
      </c>
      <c r="BZ199" s="39">
        <f>IFERROR(BZ167/BY167*100-100,"")</f>
        <v>1.173603154923569</v>
      </c>
      <c r="CA199" s="39">
        <f t="shared" si="893"/>
        <v>0.6791494572735246</v>
      </c>
      <c r="CB199" s="39">
        <f t="shared" si="893"/>
        <v>0.4582223436993047</v>
      </c>
      <c r="CC199" s="40">
        <f>IFERROR(CC167/BX167*100-100,"")</f>
        <v>3.5721548319404945</v>
      </c>
      <c r="CD199" s="39">
        <f>IFERROR(CD167/CB167*100-100,"")</f>
        <v>-0.25578193303374519</v>
      </c>
      <c r="CE199" s="39">
        <f>IFERROR(CE167/CD167*100-100,"")</f>
        <v>2.0093389129094419</v>
      </c>
      <c r="CF199" s="39">
        <f t="shared" si="894"/>
        <v>0.2232140613900242</v>
      </c>
      <c r="CG199" s="39">
        <f t="shared" si="894"/>
        <v>-1.7115348784057289</v>
      </c>
      <c r="CH199" s="40">
        <f>IFERROR(CH167/CC167*100-100,"")</f>
        <v>1.888571378801231</v>
      </c>
      <c r="CI199" s="39">
        <f>IFERROR(CI167/CG167*100-100,"")</f>
        <v>1.585900290162968</v>
      </c>
      <c r="CJ199" s="39">
        <f>IFERROR(CJ167/CI167*100-100,"")</f>
        <v>3.123390369863472</v>
      </c>
      <c r="CK199" s="39">
        <f t="shared" si="895"/>
        <v>3.125042161342904</v>
      </c>
      <c r="CL199" s="39">
        <f t="shared" si="895"/>
        <v>-1.1150292882491186</v>
      </c>
      <c r="CM199" s="40">
        <f>IFERROR(CM167/CH167*100-100,"")</f>
        <v>4.6001920175519473</v>
      </c>
      <c r="CN199" s="39" t="str">
        <f>IFERROR(CN167/CL167*100-100,"")</f>
        <v/>
      </c>
      <c r="CO199" s="39" t="str">
        <f>IFERROR(CO167/CN167*100-100,"")</f>
        <v/>
      </c>
      <c r="CP199" s="39" t="str">
        <f t="shared" si="896"/>
        <v/>
      </c>
      <c r="CQ199" s="39" t="str">
        <f t="shared" si="896"/>
        <v/>
      </c>
      <c r="CR199" s="40" t="str">
        <f>IFERROR(CR167/CM167*100-100,"")</f>
        <v/>
      </c>
    </row>
    <row r="200" spans="1:96" s="9" customFormat="1" ht="15" x14ac:dyDescent="0.4">
      <c r="A200" s="18" t="s">
        <v>81</v>
      </c>
      <c r="B200" s="41"/>
      <c r="C200" s="39">
        <f t="shared" ref="C200:E205" si="898">IFERROR(C168/B168*100-100,"")</f>
        <v>4.470655845574484</v>
      </c>
      <c r="D200" s="39">
        <f t="shared" si="898"/>
        <v>7.6765577214694645</v>
      </c>
      <c r="E200" s="39">
        <f t="shared" si="898"/>
        <v>5.7444162275503032</v>
      </c>
      <c r="F200" s="38"/>
      <c r="G200" s="39">
        <f t="shared" ref="G200:G205" si="899">IFERROR(G168/E168*100-100,"")</f>
        <v>-13.071214169710103</v>
      </c>
      <c r="H200" s="39">
        <f t="shared" ref="H200:J205" si="900">IFERROR(H168/G168*100-100,"")</f>
        <v>3.0604662188741258</v>
      </c>
      <c r="I200" s="39">
        <f t="shared" si="900"/>
        <v>14.855789518718424</v>
      </c>
      <c r="J200" s="39">
        <f t="shared" si="900"/>
        <v>-1.2400379173853793</v>
      </c>
      <c r="K200" s="40">
        <f t="shared" ref="K200:K205" si="901">IFERROR(K168/F168*100-100,"")</f>
        <v>3.9325504056851628</v>
      </c>
      <c r="L200" s="39">
        <f t="shared" ref="L200:L205" si="902">IFERROR(L168/J168*100-100,"")</f>
        <v>-13.086545140851115</v>
      </c>
      <c r="M200" s="39">
        <f t="shared" ref="M200:O205" si="903">IFERROR(M168/L168*100-100,"")</f>
        <v>10.588997273244402</v>
      </c>
      <c r="N200" s="39">
        <f t="shared" si="903"/>
        <v>15.946869686093919</v>
      </c>
      <c r="O200" s="39">
        <f t="shared" si="903"/>
        <v>1.8081358935337732</v>
      </c>
      <c r="P200" s="40">
        <f t="shared" ref="P200:P205" si="904">IFERROR(P168/K168*100-100,"")</f>
        <v>7.9179291864476937</v>
      </c>
      <c r="Q200" s="39">
        <f t="shared" ref="Q200:Q205" si="905">IFERROR(Q168/O168*100-100,"")</f>
        <v>-17.44544186714937</v>
      </c>
      <c r="R200" s="39" t="str">
        <f t="shared" ref="R200:T205" si="906">IFERROR(R168/Q168*100-100,"")</f>
        <v/>
      </c>
      <c r="S200" s="39" t="str">
        <f t="shared" si="906"/>
        <v/>
      </c>
      <c r="T200" s="39">
        <f t="shared" si="906"/>
        <v>6.5004202413410752</v>
      </c>
      <c r="U200" s="40" t="str">
        <f t="shared" ref="U200:U205" si="907">IFERROR(U168/P168*100-100,"")</f>
        <v/>
      </c>
      <c r="V200" s="39">
        <f t="shared" ref="V200:V205" si="908">IFERROR(V168/T168*100-100,"")</f>
        <v>-19.300799083062174</v>
      </c>
      <c r="W200" s="39">
        <f t="shared" ref="W200:Y205" si="909">IFERROR(W168/V168*100-100,"")</f>
        <v>11.576217631302896</v>
      </c>
      <c r="X200" s="39">
        <f t="shared" si="909"/>
        <v>8.6906113430446084</v>
      </c>
      <c r="Y200" s="39">
        <f t="shared" si="909"/>
        <v>-0.75398111517924349</v>
      </c>
      <c r="Z200" s="40" t="str">
        <f t="shared" ref="Z200:Z205" si="910">IFERROR(Z168/U168*100-100,"")</f>
        <v/>
      </c>
      <c r="AA200" s="39">
        <f t="shared" ref="AA200:AA205" si="911">IFERROR(AA168/Y168*100-100,"")</f>
        <v>0.79548369464089319</v>
      </c>
      <c r="AB200" s="39">
        <f t="shared" ref="AB200:AD205" si="912">IFERROR(AB168/AA168*100-100,"")</f>
        <v>0.47513141803969461</v>
      </c>
      <c r="AC200" s="39">
        <f t="shared" si="912"/>
        <v>4.4545198421544399</v>
      </c>
      <c r="AD200" s="39">
        <f t="shared" si="912"/>
        <v>1.6113973538964217</v>
      </c>
      <c r="AE200" s="40">
        <f t="shared" ref="AE200:AE205" si="913">IFERROR(AE168/Z168*100-100,"")</f>
        <v>9.853297727997969</v>
      </c>
      <c r="AF200" s="39">
        <f t="shared" ref="AF200:AF205" si="914">IFERROR(AF168/AD168*100-100,"")</f>
        <v>3.788926087273353</v>
      </c>
      <c r="AG200" s="39">
        <f t="shared" ref="AG200:AI205" si="915">IFERROR(AG168/AF168*100-100,"")</f>
        <v>2.6333279945430519</v>
      </c>
      <c r="AH200" s="39">
        <f t="shared" si="915"/>
        <v>0.60842593249594756</v>
      </c>
      <c r="AI200" s="39">
        <f t="shared" si="915"/>
        <v>0.45851514228016299</v>
      </c>
      <c r="AJ200" s="40">
        <f t="shared" ref="AJ200:AJ205" si="916">IFERROR(AJ168/AE168*100-100,"")</f>
        <v>9.9561037589199941</v>
      </c>
      <c r="AK200" s="39">
        <f t="shared" ref="AK200:AK205" si="917">IFERROR(AK168/AI168*100-100,"")</f>
        <v>-0.58392149249154102</v>
      </c>
      <c r="AL200" s="39">
        <f t="shared" ref="AL200:AN205" si="918">IFERROR(AL168/AK168*100-100,"")</f>
        <v>0.58192054485914468</v>
      </c>
      <c r="AM200" s="39">
        <f t="shared" si="918"/>
        <v>1.9357777072806357</v>
      </c>
      <c r="AN200" s="39">
        <f t="shared" si="918"/>
        <v>0.77997795567871719</v>
      </c>
      <c r="AO200" s="40">
        <f t="shared" ref="AO200:AO205" si="919">IFERROR(AO168/AJ168*100-100,"")</f>
        <v>2.3398667524678416</v>
      </c>
      <c r="AP200" s="39">
        <f t="shared" ref="AP200:AP205" si="920">IFERROR(AP168/AN168*100-100,"")</f>
        <v>3.7278318878706926</v>
      </c>
      <c r="AQ200" s="39">
        <f t="shared" ref="AQ200:AS205" si="921">IFERROR(AQ168/AP168*100-100,"")</f>
        <v>1.5850907634143567</v>
      </c>
      <c r="AR200" s="39">
        <f t="shared" si="921"/>
        <v>0.88088186394628565</v>
      </c>
      <c r="AS200" s="39">
        <f t="shared" si="921"/>
        <v>0.6250224226255483</v>
      </c>
      <c r="AT200" s="40">
        <f t="shared" ref="AT200:AT205" si="922">IFERROR(AT168/AO168*100-100,"")</f>
        <v>7.3234909111756537</v>
      </c>
      <c r="AU200" s="39">
        <f t="shared" ref="AU200:AU205" si="923">IFERROR(AU168/AS168*100-100,"")</f>
        <v>0.45251899204987467</v>
      </c>
      <c r="AV200" s="39">
        <f t="shared" ref="AV200:AX205" si="924">IFERROR(AV168/AU168*100-100,"")</f>
        <v>0.70944468185847143</v>
      </c>
      <c r="AW200" s="39">
        <f t="shared" si="924"/>
        <v>0.2765792022835285</v>
      </c>
      <c r="AX200" s="39">
        <f t="shared" si="924"/>
        <v>0.12686846348512404</v>
      </c>
      <c r="AY200" s="40">
        <f t="shared" ref="AY200:AY205" si="925">IFERROR(AY168/AT168*100-100,"")</f>
        <v>2.4365827135110578</v>
      </c>
      <c r="AZ200" s="39">
        <f t="shared" ref="AZ200:AZ205" si="926">IFERROR(AZ168/AX168*100-100,"")</f>
        <v>0.67392471391976017</v>
      </c>
      <c r="BA200" s="39">
        <f t="shared" ref="BA200:BC205" si="927">IFERROR(BA168/AZ168*100-100,"")</f>
        <v>0.87207686301336196</v>
      </c>
      <c r="BB200" s="39">
        <f t="shared" si="927"/>
        <v>3.066092732431386</v>
      </c>
      <c r="BC200" s="39">
        <f t="shared" si="927"/>
        <v>-0.11002368644564342</v>
      </c>
      <c r="BD200" s="40">
        <f t="shared" ref="BD200:BD205" si="928">IFERROR(BD168/AY168*100-100,"")</f>
        <v>3.3350844212400403</v>
      </c>
      <c r="BE200" s="39">
        <f t="shared" ref="BE200:BE205" si="929">IFERROR(BE168/BC168*100-100,"")</f>
        <v>1.7239819813569284</v>
      </c>
      <c r="BF200" s="39">
        <f t="shared" ref="BF200:BH205" si="930">IFERROR(BF168/BE168*100-100,"")</f>
        <v>3.2438470839922076</v>
      </c>
      <c r="BG200" s="39">
        <f t="shared" si="930"/>
        <v>-0.40145123737093513</v>
      </c>
      <c r="BH200" s="39">
        <f t="shared" si="930"/>
        <v>0.27328913149059986</v>
      </c>
      <c r="BI200" s="40">
        <f t="shared" ref="BI200:BI205" si="931">IFERROR(BI168/BD168*100-100,"")</f>
        <v>5.7524484646410201</v>
      </c>
      <c r="BJ200" s="39">
        <f t="shared" ref="BJ200:BJ205" si="932">IFERROR(BJ168/BH168*100-100,"")</f>
        <v>1.6816859860572748</v>
      </c>
      <c r="BK200" s="39">
        <f t="shared" ref="BK200:BM205" si="933">IFERROR(BK168/BJ168*100-100,"")</f>
        <v>1.0665116033560906</v>
      </c>
      <c r="BL200" s="39">
        <f t="shared" si="933"/>
        <v>0.7709019227581706</v>
      </c>
      <c r="BM200" s="39">
        <f t="shared" si="933"/>
        <v>1.0626258453612252</v>
      </c>
      <c r="BN200" s="40">
        <f t="shared" ref="BN200:BN205" si="934">IFERROR(BN168/BI168*100-100,"")</f>
        <v>3.8197442190783875</v>
      </c>
      <c r="BO200" s="39">
        <f t="shared" ref="BO200:BO205" si="935">IFERROR(BO168/BM168*100-100,"")</f>
        <v>0.2686954232462142</v>
      </c>
      <c r="BP200" s="39">
        <f t="shared" ref="BP200:BR205" si="936">IFERROR(BP168/BO168*100-100,"")</f>
        <v>0.8507905812354295</v>
      </c>
      <c r="BQ200" s="39">
        <f t="shared" si="936"/>
        <v>0.51375497986714436</v>
      </c>
      <c r="BR200" s="39">
        <f t="shared" si="936"/>
        <v>0.28248189224784426</v>
      </c>
      <c r="BS200" s="40">
        <f t="shared" ref="BS200:BS205" si="937">IFERROR(BS168/BN168*100-100,"")</f>
        <v>2.8362891306540376</v>
      </c>
      <c r="BT200" s="39">
        <f t="shared" ref="BT200:BT205" si="938">IFERROR(BT168/BR168*100-100,"")</f>
        <v>2.131887558994265</v>
      </c>
      <c r="BU200" s="39">
        <f t="shared" ref="BU200:BW205" si="939">IFERROR(BU168/BT168*100-100,"")</f>
        <v>1.9433979217867687</v>
      </c>
      <c r="BV200" s="39">
        <f t="shared" si="939"/>
        <v>1.848631135071571</v>
      </c>
      <c r="BW200" s="39">
        <f t="shared" si="939"/>
        <v>0.14039576090776507</v>
      </c>
      <c r="BX200" s="40">
        <f t="shared" ref="BX200:BX205" si="940">IFERROR(BX168/BS168*100-100,"")</f>
        <v>5.384818946568501</v>
      </c>
      <c r="BY200" s="39">
        <f t="shared" ref="BY200:BY205" si="941">IFERROR(BY168/BW168*100-100,"")</f>
        <v>-0.63599647810167426</v>
      </c>
      <c r="BZ200" s="39">
        <f t="shared" ref="BZ200:CB205" si="942">IFERROR(BZ168/BY168*100-100,"")</f>
        <v>0.11397378300870287</v>
      </c>
      <c r="CA200" s="39">
        <f t="shared" si="942"/>
        <v>-0.21775279905638456</v>
      </c>
      <c r="CB200" s="39">
        <f t="shared" si="942"/>
        <v>0.12562027037890289</v>
      </c>
      <c r="CC200" s="40">
        <f t="shared" ref="CC200:CC205" si="943">IFERROR(CC168/BX168*100-100,"")</f>
        <v>0.79433718638912865</v>
      </c>
      <c r="CD200" s="39">
        <f t="shared" ref="CD200:CD205" si="944">IFERROR(CD168/CB168*100-100,"")</f>
        <v>2.131740698492024E-2</v>
      </c>
      <c r="CE200" s="39">
        <f t="shared" ref="CE200:CE205" si="945">IFERROR(CE168/CD168*100-100,"")</f>
        <v>0.87805322314966361</v>
      </c>
      <c r="CF200" s="39">
        <f t="shared" si="894"/>
        <v>0.4515072565625502</v>
      </c>
      <c r="CG200" s="39">
        <f t="shared" si="894"/>
        <v>0.1602614097980819</v>
      </c>
      <c r="CH200" s="40">
        <f t="shared" ref="CH200:CH205" si="946">IFERROR(CH168/CC168*100-100,"")</f>
        <v>0.96768958838673313</v>
      </c>
      <c r="CI200" s="39">
        <f t="shared" ref="CI200:CI205" si="947">IFERROR(CI168/CG168*100-100,"")</f>
        <v>0.44524588059135795</v>
      </c>
      <c r="CJ200" s="39">
        <f t="shared" ref="CJ200:CJ205" si="948">IFERROR(CJ168/CI168*100-100,"")</f>
        <v>-0.52823114634696822</v>
      </c>
      <c r="CK200" s="39">
        <f t="shared" si="895"/>
        <v>0.81708322513358667</v>
      </c>
      <c r="CL200" s="39">
        <f t="shared" si="895"/>
        <v>-0.73206968917111226</v>
      </c>
      <c r="CM200" s="40">
        <f t="shared" ref="CM200:CM205" si="949">IFERROR(CM168/CH168*100-100,"")</f>
        <v>0.8254023789253182</v>
      </c>
      <c r="CN200" s="39" t="str">
        <f t="shared" ref="CN200:CN205" si="950">IFERROR(CN168/CL168*100-100,"")</f>
        <v/>
      </c>
      <c r="CO200" s="39" t="str">
        <f t="shared" ref="CO200:CO205" si="951">IFERROR(CO168/CN168*100-100,"")</f>
        <v/>
      </c>
      <c r="CP200" s="39" t="str">
        <f t="shared" si="896"/>
        <v/>
      </c>
      <c r="CQ200" s="39" t="str">
        <f t="shared" si="896"/>
        <v/>
      </c>
      <c r="CR200" s="40" t="str">
        <f t="shared" ref="CR200:CR205" si="952">IFERROR(CR168/CM168*100-100,"")</f>
        <v/>
      </c>
    </row>
    <row r="201" spans="1:96" s="9" customFormat="1" ht="15" x14ac:dyDescent="0.4">
      <c r="A201" s="18" t="s">
        <v>82</v>
      </c>
      <c r="B201" s="38"/>
      <c r="C201" s="39">
        <f t="shared" si="898"/>
        <v>-1.5451657675950088</v>
      </c>
      <c r="D201" s="39">
        <f t="shared" si="898"/>
        <v>2.2448378647619904</v>
      </c>
      <c r="E201" s="39">
        <f t="shared" si="898"/>
        <v>-3.4095928580076134</v>
      </c>
      <c r="F201" s="38"/>
      <c r="G201" s="39">
        <f t="shared" si="899"/>
        <v>5.4585365133585526</v>
      </c>
      <c r="H201" s="39">
        <f t="shared" si="900"/>
        <v>-8.1182368112663994E-2</v>
      </c>
      <c r="I201" s="39">
        <f t="shared" si="900"/>
        <v>-0.40591383596810715</v>
      </c>
      <c r="J201" s="39">
        <f t="shared" si="900"/>
        <v>3.4300990119872097</v>
      </c>
      <c r="K201" s="40">
        <f t="shared" si="901"/>
        <v>4.1634261980980369</v>
      </c>
      <c r="L201" s="39">
        <f t="shared" si="902"/>
        <v>0.52428598155573525</v>
      </c>
      <c r="M201" s="39">
        <f t="shared" si="903"/>
        <v>1.158935738425896</v>
      </c>
      <c r="N201" s="39">
        <f t="shared" si="903"/>
        <v>0.77974369185926662</v>
      </c>
      <c r="O201" s="39">
        <f t="shared" si="903"/>
        <v>-1.1379492781024965</v>
      </c>
      <c r="P201" s="40">
        <f t="shared" si="904"/>
        <v>3.8531827332051023</v>
      </c>
      <c r="Q201" s="39">
        <f t="shared" si="905"/>
        <v>1.9972337786696954</v>
      </c>
      <c r="R201" s="39" t="str">
        <f t="shared" si="906"/>
        <v/>
      </c>
      <c r="S201" s="39" t="str">
        <f t="shared" si="906"/>
        <v/>
      </c>
      <c r="T201" s="39">
        <f t="shared" si="906"/>
        <v>-2.4617263744482898</v>
      </c>
      <c r="U201" s="40" t="str">
        <f t="shared" si="907"/>
        <v/>
      </c>
      <c r="V201" s="39">
        <f t="shared" si="908"/>
        <v>-2.7808509533268904</v>
      </c>
      <c r="W201" s="39">
        <f t="shared" si="909"/>
        <v>12.880779818493579</v>
      </c>
      <c r="X201" s="39">
        <f t="shared" si="909"/>
        <v>7.43726285745187</v>
      </c>
      <c r="Y201" s="39">
        <f t="shared" si="909"/>
        <v>-1.2935725158459093</v>
      </c>
      <c r="Z201" s="40" t="str">
        <f t="shared" si="910"/>
        <v/>
      </c>
      <c r="AA201" s="39">
        <f t="shared" si="911"/>
        <v>1.0053109426370241</v>
      </c>
      <c r="AB201" s="39">
        <f t="shared" si="912"/>
        <v>1.1952900590671334</v>
      </c>
      <c r="AC201" s="39">
        <f t="shared" si="912"/>
        <v>1.0819948297853443</v>
      </c>
      <c r="AD201" s="39">
        <f t="shared" si="912"/>
        <v>0.65931573398169974</v>
      </c>
      <c r="AE201" s="40">
        <f t="shared" si="913"/>
        <v>8.0233045184233731</v>
      </c>
      <c r="AF201" s="39">
        <f t="shared" si="914"/>
        <v>2.3513422025482384</v>
      </c>
      <c r="AG201" s="39">
        <f t="shared" si="915"/>
        <v>1.5514125234197991</v>
      </c>
      <c r="AH201" s="39">
        <f t="shared" si="915"/>
        <v>1.1283835334974697</v>
      </c>
      <c r="AI201" s="39">
        <f t="shared" si="915"/>
        <v>-5.164226357140933E-2</v>
      </c>
      <c r="AJ201" s="40">
        <f t="shared" si="916"/>
        <v>5.5118503310991969</v>
      </c>
      <c r="AK201" s="39">
        <f t="shared" si="917"/>
        <v>0.66918781535166261</v>
      </c>
      <c r="AL201" s="39">
        <f t="shared" si="918"/>
        <v>0.38220748784266334</v>
      </c>
      <c r="AM201" s="39">
        <f t="shared" si="918"/>
        <v>0.89804976307333106</v>
      </c>
      <c r="AN201" s="39">
        <f t="shared" si="918"/>
        <v>1.2156846805659001</v>
      </c>
      <c r="AO201" s="40">
        <f t="shared" si="919"/>
        <v>2.6242704821752909</v>
      </c>
      <c r="AP201" s="39">
        <f t="shared" si="920"/>
        <v>1.7564868405981287</v>
      </c>
      <c r="AQ201" s="39">
        <f t="shared" si="921"/>
        <v>0.21279849949810625</v>
      </c>
      <c r="AR201" s="39">
        <f t="shared" si="921"/>
        <v>1.0775735619399569</v>
      </c>
      <c r="AS201" s="39">
        <f t="shared" si="921"/>
        <v>0.73415793034243393</v>
      </c>
      <c r="AT201" s="40">
        <f t="shared" si="922"/>
        <v>4.1331620728457352</v>
      </c>
      <c r="AU201" s="39">
        <f t="shared" si="923"/>
        <v>0.12717261742216124</v>
      </c>
      <c r="AV201" s="39">
        <f t="shared" si="924"/>
        <v>0.93567668300509865</v>
      </c>
      <c r="AW201" s="39">
        <f t="shared" si="924"/>
        <v>0.79939048777362132</v>
      </c>
      <c r="AX201" s="39">
        <f t="shared" si="924"/>
        <v>1.253331896752627</v>
      </c>
      <c r="AY201" s="40">
        <f t="shared" si="925"/>
        <v>2.7119553204068865</v>
      </c>
      <c r="AZ201" s="39">
        <f t="shared" si="926"/>
        <v>4.9587668693561682E-2</v>
      </c>
      <c r="BA201" s="39">
        <f t="shared" si="927"/>
        <v>0.77371250333023056</v>
      </c>
      <c r="BB201" s="39">
        <f t="shared" si="927"/>
        <v>4.8027825934269686E-2</v>
      </c>
      <c r="BC201" s="39">
        <f t="shared" si="927"/>
        <v>0.7182996532174144</v>
      </c>
      <c r="BD201" s="40">
        <f t="shared" si="928"/>
        <v>2.4078811386882819</v>
      </c>
      <c r="BE201" s="39">
        <f t="shared" si="929"/>
        <v>0.59333356538522253</v>
      </c>
      <c r="BF201" s="39">
        <f t="shared" si="930"/>
        <v>-0.26047175581919646</v>
      </c>
      <c r="BG201" s="39">
        <f t="shared" si="930"/>
        <v>0.31146779870266528</v>
      </c>
      <c r="BH201" s="39">
        <f t="shared" si="930"/>
        <v>0.170836631274355</v>
      </c>
      <c r="BI201" s="40">
        <f t="shared" si="931"/>
        <v>1.3432024933446343</v>
      </c>
      <c r="BJ201" s="39">
        <f t="shared" si="932"/>
        <v>1.1154670188961973</v>
      </c>
      <c r="BK201" s="39">
        <f t="shared" si="933"/>
        <v>-1.3795649401974828</v>
      </c>
      <c r="BL201" s="39">
        <f t="shared" si="933"/>
        <v>2.0878862570717303</v>
      </c>
      <c r="BM201" s="39">
        <f t="shared" si="933"/>
        <v>-0.96197696380900766</v>
      </c>
      <c r="BN201" s="40">
        <f t="shared" si="934"/>
        <v>1.0816546099560895</v>
      </c>
      <c r="BO201" s="39">
        <f t="shared" si="935"/>
        <v>2.4063026003774013</v>
      </c>
      <c r="BP201" s="39">
        <f t="shared" si="936"/>
        <v>0.1698009197732091</v>
      </c>
      <c r="BQ201" s="39">
        <f t="shared" si="936"/>
        <v>9.0328590669813025E-2</v>
      </c>
      <c r="BR201" s="39">
        <f t="shared" si="936"/>
        <v>1.601766725081788</v>
      </c>
      <c r="BS201" s="40">
        <f t="shared" si="937"/>
        <v>2.9561160000603763</v>
      </c>
      <c r="BT201" s="39">
        <f t="shared" si="938"/>
        <v>0.41862376087691189</v>
      </c>
      <c r="BU201" s="39">
        <f t="shared" si="939"/>
        <v>1.4429765399333974</v>
      </c>
      <c r="BV201" s="39">
        <f t="shared" si="939"/>
        <v>3.5114507987870525E-2</v>
      </c>
      <c r="BW201" s="39">
        <f t="shared" si="939"/>
        <v>0.60079340056620367</v>
      </c>
      <c r="BX201" s="40">
        <f t="shared" si="940"/>
        <v>3.0050652319016535</v>
      </c>
      <c r="BY201" s="39">
        <f t="shared" si="941"/>
        <v>0.29371262852903612</v>
      </c>
      <c r="BZ201" s="39">
        <f t="shared" si="942"/>
        <v>0.2187270645697339</v>
      </c>
      <c r="CA201" s="39">
        <f t="shared" si="942"/>
        <v>1.1647340245034172</v>
      </c>
      <c r="CB201" s="39">
        <f t="shared" si="942"/>
        <v>0.2516327833856451</v>
      </c>
      <c r="CC201" s="40">
        <f t="shared" si="943"/>
        <v>1.9262996894962185</v>
      </c>
      <c r="CD201" s="39">
        <f t="shared" si="944"/>
        <v>0.37623739807106915</v>
      </c>
      <c r="CE201" s="39">
        <f t="shared" si="945"/>
        <v>0.66315628293975237</v>
      </c>
      <c r="CF201" s="39">
        <f t="shared" si="894"/>
        <v>0.95207026026204744</v>
      </c>
      <c r="CG201" s="39">
        <f t="shared" si="894"/>
        <v>7.5062420285632925E-2</v>
      </c>
      <c r="CH201" s="40">
        <f t="shared" si="946"/>
        <v>2.2011913979263369</v>
      </c>
      <c r="CI201" s="39">
        <f t="shared" si="947"/>
        <v>-8.0903126689006513</v>
      </c>
      <c r="CJ201" s="39">
        <f t="shared" si="948"/>
        <v>10.009954425460222</v>
      </c>
      <c r="CK201" s="39">
        <f t="shared" si="895"/>
        <v>-0.33922934731378973</v>
      </c>
      <c r="CL201" s="39">
        <f t="shared" si="895"/>
        <v>0.19751800651435758</v>
      </c>
      <c r="CM201" s="40">
        <f t="shared" si="949"/>
        <v>-0.58875238885852355</v>
      </c>
      <c r="CN201" s="39" t="str">
        <f t="shared" si="950"/>
        <v/>
      </c>
      <c r="CO201" s="39" t="str">
        <f t="shared" si="951"/>
        <v/>
      </c>
      <c r="CP201" s="39" t="str">
        <f t="shared" si="896"/>
        <v/>
      </c>
      <c r="CQ201" s="39" t="str">
        <f t="shared" si="896"/>
        <v/>
      </c>
      <c r="CR201" s="40" t="str">
        <f t="shared" si="952"/>
        <v/>
      </c>
    </row>
    <row r="202" spans="1:96" s="9" customFormat="1" ht="15" x14ac:dyDescent="0.4">
      <c r="A202" s="18" t="s">
        <v>83</v>
      </c>
      <c r="B202" s="41"/>
      <c r="C202" s="39">
        <f t="shared" si="898"/>
        <v>3.4554633895279778</v>
      </c>
      <c r="D202" s="39">
        <f t="shared" si="898"/>
        <v>1.283907785453664</v>
      </c>
      <c r="E202" s="39">
        <f t="shared" si="898"/>
        <v>1.5650926420102991</v>
      </c>
      <c r="F202" s="38"/>
      <c r="G202" s="39">
        <f t="shared" si="899"/>
        <v>-1.2584887765274999</v>
      </c>
      <c r="H202" s="39">
        <f t="shared" si="900"/>
        <v>-0.70279817053625493</v>
      </c>
      <c r="I202" s="39">
        <f t="shared" si="900"/>
        <v>6.4998335719827196</v>
      </c>
      <c r="J202" s="39">
        <f t="shared" si="900"/>
        <v>3.030141716004195</v>
      </c>
      <c r="K202" s="40">
        <f t="shared" si="901"/>
        <v>4.9976505918669147</v>
      </c>
      <c r="L202" s="39">
        <f t="shared" si="902"/>
        <v>-9.5321983586774763</v>
      </c>
      <c r="M202" s="39">
        <f t="shared" si="903"/>
        <v>11.417582449749602</v>
      </c>
      <c r="N202" s="39">
        <f t="shared" si="903"/>
        <v>6.3071905781666402</v>
      </c>
      <c r="O202" s="39">
        <f t="shared" si="903"/>
        <v>-2.9749507857133324</v>
      </c>
      <c r="P202" s="40">
        <f t="shared" si="904"/>
        <v>5.7840920824827151</v>
      </c>
      <c r="Q202" s="39">
        <f t="shared" si="905"/>
        <v>-6.1012621697499014</v>
      </c>
      <c r="R202" s="39" t="str">
        <f t="shared" si="906"/>
        <v/>
      </c>
      <c r="S202" s="39" t="str">
        <f t="shared" si="906"/>
        <v/>
      </c>
      <c r="T202" s="39">
        <f t="shared" si="906"/>
        <v>6.7957303362501449</v>
      </c>
      <c r="U202" s="40" t="str">
        <f t="shared" si="907"/>
        <v/>
      </c>
      <c r="V202" s="39">
        <f t="shared" si="908"/>
        <v>-8.434203469526139</v>
      </c>
      <c r="W202" s="39">
        <f t="shared" si="909"/>
        <v>2.7861278227638451</v>
      </c>
      <c r="X202" s="39">
        <f t="shared" si="909"/>
        <v>7.7750283957242203</v>
      </c>
      <c r="Y202" s="39">
        <f t="shared" si="909"/>
        <v>1.7085804603216559</v>
      </c>
      <c r="Z202" s="40" t="str">
        <f t="shared" si="910"/>
        <v/>
      </c>
      <c r="AA202" s="39">
        <f t="shared" si="911"/>
        <v>0.4412243229372308</v>
      </c>
      <c r="AB202" s="39">
        <f t="shared" si="912"/>
        <v>0.98637605067506229</v>
      </c>
      <c r="AC202" s="39">
        <f t="shared" si="912"/>
        <v>2.1049888084134381</v>
      </c>
      <c r="AD202" s="39">
        <f t="shared" si="912"/>
        <v>3.0834209352384363</v>
      </c>
      <c r="AE202" s="40">
        <f t="shared" si="913"/>
        <v>8.7223483560948836</v>
      </c>
      <c r="AF202" s="39">
        <f t="shared" si="914"/>
        <v>4.4129677806713232</v>
      </c>
      <c r="AG202" s="39">
        <f t="shared" si="915"/>
        <v>0.71628699516941197</v>
      </c>
      <c r="AH202" s="39">
        <f t="shared" si="915"/>
        <v>0.93613058513781766</v>
      </c>
      <c r="AI202" s="39">
        <f t="shared" si="915"/>
        <v>1.3289119707376358</v>
      </c>
      <c r="AJ202" s="40">
        <f t="shared" si="916"/>
        <v>9.5491413519954023</v>
      </c>
      <c r="AK202" s="39">
        <f t="shared" si="917"/>
        <v>0.25426540289888067</v>
      </c>
      <c r="AL202" s="39">
        <f t="shared" si="918"/>
        <v>0.82477033537135469</v>
      </c>
      <c r="AM202" s="39">
        <f t="shared" si="918"/>
        <v>0.88752372507434529</v>
      </c>
      <c r="AN202" s="39">
        <f t="shared" si="918"/>
        <v>1.5438573183143944</v>
      </c>
      <c r="AO202" s="40">
        <f t="shared" si="919"/>
        <v>3.3962521869300275</v>
      </c>
      <c r="AP202" s="39">
        <f t="shared" si="920"/>
        <v>0.18451759080826946</v>
      </c>
      <c r="AQ202" s="39">
        <f t="shared" si="921"/>
        <v>0.23525638153552109</v>
      </c>
      <c r="AR202" s="39">
        <f t="shared" si="921"/>
        <v>0.32751496815927794</v>
      </c>
      <c r="AS202" s="39">
        <f t="shared" si="921"/>
        <v>1.3918190706465623</v>
      </c>
      <c r="AT202" s="40">
        <f t="shared" si="922"/>
        <v>2.6583873650798893</v>
      </c>
      <c r="AU202" s="39">
        <f t="shared" si="923"/>
        <v>1.4383547316221268</v>
      </c>
      <c r="AV202" s="39">
        <f t="shared" si="924"/>
        <v>1.2982636577646929</v>
      </c>
      <c r="AW202" s="39">
        <f t="shared" si="924"/>
        <v>1.3178121931799467</v>
      </c>
      <c r="AX202" s="39">
        <f t="shared" si="924"/>
        <v>1.0409920723617745</v>
      </c>
      <c r="AY202" s="40">
        <f t="shared" si="925"/>
        <v>4.7021960730421455</v>
      </c>
      <c r="AZ202" s="39">
        <f t="shared" si="926"/>
        <v>0.60412836079571264</v>
      </c>
      <c r="BA202" s="39">
        <f t="shared" si="927"/>
        <v>1.0350133568552025</v>
      </c>
      <c r="BB202" s="39">
        <f t="shared" si="927"/>
        <v>0.83048567942478257</v>
      </c>
      <c r="BC202" s="39">
        <f t="shared" si="927"/>
        <v>0.67205297153594756</v>
      </c>
      <c r="BD202" s="40">
        <f t="shared" si="928"/>
        <v>3.7761302777961134</v>
      </c>
      <c r="BE202" s="39">
        <f t="shared" si="929"/>
        <v>0.45890910954464914</v>
      </c>
      <c r="BF202" s="39">
        <f t="shared" si="930"/>
        <v>0.23068109739182319</v>
      </c>
      <c r="BG202" s="39">
        <f t="shared" si="930"/>
        <v>0.32832323331834345</v>
      </c>
      <c r="BH202" s="39">
        <f t="shared" si="930"/>
        <v>1.2320663703213341</v>
      </c>
      <c r="BI202" s="40">
        <f t="shared" si="931"/>
        <v>2.2869516369287197</v>
      </c>
      <c r="BJ202" s="39">
        <f t="shared" si="932"/>
        <v>1.5682739855386103</v>
      </c>
      <c r="BK202" s="39">
        <f t="shared" si="933"/>
        <v>1.258756643010031</v>
      </c>
      <c r="BL202" s="39">
        <f t="shared" si="933"/>
        <v>-0.32260027231032495</v>
      </c>
      <c r="BM202" s="39">
        <f t="shared" si="933"/>
        <v>1.7594875105192216</v>
      </c>
      <c r="BN202" s="40">
        <f t="shared" si="934"/>
        <v>3.9919159674600735</v>
      </c>
      <c r="BO202" s="39">
        <f t="shared" si="935"/>
        <v>-0.68101171990136322</v>
      </c>
      <c r="BP202" s="39">
        <f t="shared" si="936"/>
        <v>2.8572766032628465</v>
      </c>
      <c r="BQ202" s="39">
        <f t="shared" si="936"/>
        <v>-1.6545119277091374</v>
      </c>
      <c r="BR202" s="39">
        <f t="shared" si="936"/>
        <v>2.9063863812451416</v>
      </c>
      <c r="BS202" s="40">
        <f t="shared" si="937"/>
        <v>2.8193273414816673</v>
      </c>
      <c r="BT202" s="39">
        <f t="shared" si="938"/>
        <v>0.3327303381146578</v>
      </c>
      <c r="BU202" s="39">
        <f t="shared" si="939"/>
        <v>0.42370016435077673</v>
      </c>
      <c r="BV202" s="39">
        <f t="shared" si="939"/>
        <v>0.5536073100585952</v>
      </c>
      <c r="BW202" s="39">
        <f t="shared" si="939"/>
        <v>0.50174660128867288</v>
      </c>
      <c r="BX202" s="40">
        <f t="shared" si="940"/>
        <v>3.0852398474142717</v>
      </c>
      <c r="BY202" s="39">
        <f t="shared" si="941"/>
        <v>0.37635633822699788</v>
      </c>
      <c r="BZ202" s="39">
        <f t="shared" si="942"/>
        <v>0.72880145946197672</v>
      </c>
      <c r="CA202" s="39">
        <f t="shared" si="942"/>
        <v>0.61929273049827316</v>
      </c>
      <c r="CB202" s="39">
        <f t="shared" si="942"/>
        <v>0.79253170534865092</v>
      </c>
      <c r="CC202" s="40">
        <f t="shared" si="943"/>
        <v>2.2078136214125834</v>
      </c>
      <c r="CD202" s="39">
        <f t="shared" si="944"/>
        <v>0.20375366259708017</v>
      </c>
      <c r="CE202" s="39">
        <f t="shared" si="945"/>
        <v>0.42060297596214014</v>
      </c>
      <c r="CF202" s="39">
        <f t="shared" si="894"/>
        <v>0.52053000224903201</v>
      </c>
      <c r="CG202" s="39">
        <f t="shared" si="894"/>
        <v>1.5016421502632511</v>
      </c>
      <c r="CH202" s="40">
        <f t="shared" si="946"/>
        <v>2.2545405543502994</v>
      </c>
      <c r="CI202" s="39">
        <f t="shared" si="947"/>
        <v>0.64094686735742812</v>
      </c>
      <c r="CJ202" s="39">
        <f t="shared" si="948"/>
        <v>2.4142355622894627</v>
      </c>
      <c r="CK202" s="39">
        <f t="shared" si="895"/>
        <v>1.4538708479236959</v>
      </c>
      <c r="CL202" s="39">
        <f t="shared" si="895"/>
        <v>2.7430194675876152</v>
      </c>
      <c r="CM202" s="40">
        <f t="shared" si="949"/>
        <v>5.4959228491604506</v>
      </c>
      <c r="CN202" s="39" t="str">
        <f t="shared" si="950"/>
        <v/>
      </c>
      <c r="CO202" s="39" t="str">
        <f t="shared" si="951"/>
        <v/>
      </c>
      <c r="CP202" s="39" t="str">
        <f t="shared" si="896"/>
        <v/>
      </c>
      <c r="CQ202" s="39" t="str">
        <f t="shared" si="896"/>
        <v/>
      </c>
      <c r="CR202" s="40" t="str">
        <f t="shared" si="952"/>
        <v/>
      </c>
    </row>
    <row r="203" spans="1:96" s="9" customFormat="1" ht="15" x14ac:dyDescent="0.4">
      <c r="A203" s="18" t="s">
        <v>84</v>
      </c>
      <c r="B203" s="38"/>
      <c r="C203" s="39">
        <f t="shared" si="898"/>
        <v>-0.27966171332884926</v>
      </c>
      <c r="D203" s="39">
        <f t="shared" si="898"/>
        <v>3.2448803786747362</v>
      </c>
      <c r="E203" s="39">
        <f t="shared" si="898"/>
        <v>-0.63485733410166745</v>
      </c>
      <c r="F203" s="38"/>
      <c r="G203" s="39">
        <f t="shared" si="899"/>
        <v>0.56886997680123841</v>
      </c>
      <c r="H203" s="39">
        <f t="shared" si="900"/>
        <v>-2.3349207315535949</v>
      </c>
      <c r="I203" s="39">
        <f t="shared" si="900"/>
        <v>5.2458746806100152</v>
      </c>
      <c r="J203" s="39">
        <f t="shared" si="900"/>
        <v>2.2830103979666774</v>
      </c>
      <c r="K203" s="40">
        <f t="shared" si="901"/>
        <v>3.1318409217596042</v>
      </c>
      <c r="L203" s="39">
        <f t="shared" si="902"/>
        <v>6.296092627579668</v>
      </c>
      <c r="M203" s="39">
        <f t="shared" si="903"/>
        <v>-6.8272614157516074</v>
      </c>
      <c r="N203" s="39">
        <f t="shared" si="903"/>
        <v>0.58668388403775396</v>
      </c>
      <c r="O203" s="39">
        <f t="shared" si="903"/>
        <v>6.7239070739103681</v>
      </c>
      <c r="P203" s="40">
        <f t="shared" si="904"/>
        <v>6.5361858751942634</v>
      </c>
      <c r="Q203" s="39">
        <f t="shared" si="905"/>
        <v>3.7664737576794636</v>
      </c>
      <c r="R203" s="39" t="str">
        <f t="shared" si="906"/>
        <v/>
      </c>
      <c r="S203" s="39" t="str">
        <f t="shared" si="906"/>
        <v/>
      </c>
      <c r="T203" s="39">
        <f t="shared" si="906"/>
        <v>28.135714706471703</v>
      </c>
      <c r="U203" s="40" t="str">
        <f t="shared" si="907"/>
        <v/>
      </c>
      <c r="V203" s="39">
        <f t="shared" si="908"/>
        <v>-11.461687260010393</v>
      </c>
      <c r="W203" s="39">
        <f t="shared" si="909"/>
        <v>-3.4508239920385222</v>
      </c>
      <c r="X203" s="39">
        <f t="shared" si="909"/>
        <v>7.3111197370915733</v>
      </c>
      <c r="Y203" s="39">
        <f t="shared" si="909"/>
        <v>1.2372425156044926</v>
      </c>
      <c r="Z203" s="40" t="str">
        <f t="shared" si="910"/>
        <v/>
      </c>
      <c r="AA203" s="39">
        <f t="shared" si="911"/>
        <v>0.96096697983725221</v>
      </c>
      <c r="AB203" s="39">
        <f t="shared" si="912"/>
        <v>2.9120074608254214</v>
      </c>
      <c r="AC203" s="39">
        <f t="shared" si="912"/>
        <v>1.5654006467947852</v>
      </c>
      <c r="AD203" s="39">
        <f t="shared" si="912"/>
        <v>2.0840300988097482</v>
      </c>
      <c r="AE203" s="40">
        <f t="shared" si="913"/>
        <v>8.1484202673388211</v>
      </c>
      <c r="AF203" s="39">
        <f t="shared" si="914"/>
        <v>0.22001955466754453</v>
      </c>
      <c r="AG203" s="39">
        <f t="shared" si="915"/>
        <v>0.76684724507933311</v>
      </c>
      <c r="AH203" s="39">
        <f t="shared" si="915"/>
        <v>1.1680334256980274</v>
      </c>
      <c r="AI203" s="39">
        <f t="shared" si="915"/>
        <v>2.2282848237157253</v>
      </c>
      <c r="AJ203" s="40">
        <f t="shared" si="916"/>
        <v>5.0315637151581996</v>
      </c>
      <c r="AK203" s="39">
        <f t="shared" si="917"/>
        <v>3.4379584059563513</v>
      </c>
      <c r="AL203" s="39">
        <f t="shared" si="918"/>
        <v>2.4809044917658412</v>
      </c>
      <c r="AM203" s="39">
        <f t="shared" si="918"/>
        <v>2.2715146716145114</v>
      </c>
      <c r="AN203" s="39">
        <f t="shared" si="918"/>
        <v>1.5640871772408644</v>
      </c>
      <c r="AO203" s="40">
        <f t="shared" si="919"/>
        <v>9.601872390478178</v>
      </c>
      <c r="AP203" s="39">
        <f t="shared" si="920"/>
        <v>0.27893932304901625</v>
      </c>
      <c r="AQ203" s="39">
        <f t="shared" si="921"/>
        <v>1.556758988234435</v>
      </c>
      <c r="AR203" s="39">
        <f t="shared" si="921"/>
        <v>3.6572692208272031</v>
      </c>
      <c r="AS203" s="39">
        <f t="shared" si="921"/>
        <v>1.6191011789908032</v>
      </c>
      <c r="AT203" s="40">
        <f t="shared" si="922"/>
        <v>6.7756021693192707</v>
      </c>
      <c r="AU203" s="39">
        <f t="shared" si="923"/>
        <v>0.5572562906179428</v>
      </c>
      <c r="AV203" s="39">
        <f t="shared" si="924"/>
        <v>0.80026125903475531</v>
      </c>
      <c r="AW203" s="39">
        <f t="shared" si="924"/>
        <v>1.0768811771889375</v>
      </c>
      <c r="AX203" s="39">
        <f t="shared" si="924"/>
        <v>1.035855477442027</v>
      </c>
      <c r="AY203" s="40">
        <f t="shared" si="925"/>
        <v>5.368032931093623</v>
      </c>
      <c r="AZ203" s="39">
        <f t="shared" si="926"/>
        <v>0.67954489262614004</v>
      </c>
      <c r="BA203" s="39">
        <f t="shared" si="927"/>
        <v>1.6002541131736621</v>
      </c>
      <c r="BB203" s="39">
        <f t="shared" si="927"/>
        <v>0.29917931504918727</v>
      </c>
      <c r="BC203" s="39">
        <f t="shared" si="927"/>
        <v>1.6442325633620527</v>
      </c>
      <c r="BD203" s="40">
        <f t="shared" si="928"/>
        <v>4.0233431724702342</v>
      </c>
      <c r="BE203" s="39">
        <f t="shared" si="929"/>
        <v>0.29817950079649336</v>
      </c>
      <c r="BF203" s="39">
        <f t="shared" si="930"/>
        <v>6.3937548228508945E-2</v>
      </c>
      <c r="BG203" s="39">
        <f t="shared" si="930"/>
        <v>-0.9934647440684472</v>
      </c>
      <c r="BH203" s="39">
        <f t="shared" si="930"/>
        <v>0.26795084094976573</v>
      </c>
      <c r="BI203" s="40">
        <f t="shared" si="931"/>
        <v>1.6335068935041193</v>
      </c>
      <c r="BJ203" s="39">
        <f t="shared" si="932"/>
        <v>1.7129113703826562</v>
      </c>
      <c r="BK203" s="39">
        <f t="shared" si="933"/>
        <v>-0.61002346076223546</v>
      </c>
      <c r="BL203" s="39">
        <f t="shared" si="933"/>
        <v>-0.37401063961728198</v>
      </c>
      <c r="BM203" s="39">
        <f t="shared" si="933"/>
        <v>2.7579464131299005</v>
      </c>
      <c r="BN203" s="40">
        <f t="shared" si="934"/>
        <v>1.4953726835829713</v>
      </c>
      <c r="BO203" s="39">
        <f t="shared" si="935"/>
        <v>0.46102536471801159</v>
      </c>
      <c r="BP203" s="39">
        <f t="shared" si="936"/>
        <v>1.3630157077849816</v>
      </c>
      <c r="BQ203" s="39">
        <f t="shared" si="936"/>
        <v>1.9142580013642885</v>
      </c>
      <c r="BR203" s="39">
        <f t="shared" si="936"/>
        <v>1.6415965497783418</v>
      </c>
      <c r="BS203" s="40">
        <f t="shared" si="937"/>
        <v>4.6777449245497564</v>
      </c>
      <c r="BT203" s="39">
        <f t="shared" si="938"/>
        <v>0.66584054509195312</v>
      </c>
      <c r="BU203" s="39">
        <f t="shared" si="939"/>
        <v>2.9934448886388623</v>
      </c>
      <c r="BV203" s="39">
        <f t="shared" si="939"/>
        <v>1.5669937123792721</v>
      </c>
      <c r="BW203" s="39">
        <f t="shared" si="939"/>
        <v>1.078193171177972</v>
      </c>
      <c r="BX203" s="40">
        <f t="shared" si="940"/>
        <v>6.6449313300363002</v>
      </c>
      <c r="BY203" s="39">
        <f t="shared" si="941"/>
        <v>-0.86663991973490795</v>
      </c>
      <c r="BZ203" s="39">
        <f t="shared" si="942"/>
        <v>0.18911067287221783</v>
      </c>
      <c r="CA203" s="39">
        <f t="shared" si="942"/>
        <v>0.25435827743780237</v>
      </c>
      <c r="CB203" s="39">
        <f t="shared" si="942"/>
        <v>0.9591002724044273</v>
      </c>
      <c r="CC203" s="40">
        <f t="shared" si="943"/>
        <v>1.9130333018238161</v>
      </c>
      <c r="CD203" s="39">
        <f t="shared" si="944"/>
        <v>-0.97405079778411618</v>
      </c>
      <c r="CE203" s="39">
        <f t="shared" si="945"/>
        <v>0.41240167077710055</v>
      </c>
      <c r="CF203" s="39">
        <f t="shared" si="894"/>
        <v>0.77712555298975872</v>
      </c>
      <c r="CG203" s="39">
        <f t="shared" si="894"/>
        <v>-0.12716965124324986</v>
      </c>
      <c r="CH203" s="40">
        <f t="shared" si="946"/>
        <v>0.57595995434213876</v>
      </c>
      <c r="CI203" s="39">
        <f t="shared" si="947"/>
        <v>-0.26915410821092678</v>
      </c>
      <c r="CJ203" s="39">
        <f t="shared" si="948"/>
        <v>-0.49267748469384287</v>
      </c>
      <c r="CK203" s="39">
        <f t="shared" si="895"/>
        <v>-0.12628931464475102</v>
      </c>
      <c r="CL203" s="39">
        <f t="shared" si="895"/>
        <v>1.1726375989359781</v>
      </c>
      <c r="CM203" s="40">
        <f t="shared" si="949"/>
        <v>-1.6228157206512606E-2</v>
      </c>
      <c r="CN203" s="39" t="str">
        <f t="shared" si="950"/>
        <v/>
      </c>
      <c r="CO203" s="39" t="str">
        <f t="shared" si="951"/>
        <v/>
      </c>
      <c r="CP203" s="39" t="str">
        <f t="shared" si="896"/>
        <v/>
      </c>
      <c r="CQ203" s="39" t="str">
        <f t="shared" si="896"/>
        <v/>
      </c>
      <c r="CR203" s="40" t="str">
        <f t="shared" si="952"/>
        <v/>
      </c>
    </row>
    <row r="204" spans="1:96" s="9" customFormat="1" ht="15" x14ac:dyDescent="0.4">
      <c r="A204" s="18" t="s">
        <v>85</v>
      </c>
      <c r="B204" s="41"/>
      <c r="C204" s="39">
        <f t="shared" si="898"/>
        <v>2.3750967905752134</v>
      </c>
      <c r="D204" s="39">
        <f t="shared" si="898"/>
        <v>4.554065249429101</v>
      </c>
      <c r="E204" s="39">
        <f t="shared" si="898"/>
        <v>4.3813874397765886</v>
      </c>
      <c r="F204" s="38"/>
      <c r="G204" s="39">
        <f t="shared" si="899"/>
        <v>-8.1772370426586178</v>
      </c>
      <c r="H204" s="39">
        <f t="shared" si="900"/>
        <v>6.2131671843561094</v>
      </c>
      <c r="I204" s="39">
        <f t="shared" si="900"/>
        <v>7.444885527099899</v>
      </c>
      <c r="J204" s="39">
        <f t="shared" si="900"/>
        <v>-0.68247229995435532</v>
      </c>
      <c r="K204" s="40">
        <f t="shared" si="901"/>
        <v>5.6654456853379997</v>
      </c>
      <c r="L204" s="39">
        <f t="shared" si="902"/>
        <v>-5.2794054069754992</v>
      </c>
      <c r="M204" s="39">
        <f t="shared" si="903"/>
        <v>0.48983924420464575</v>
      </c>
      <c r="N204" s="39">
        <f t="shared" si="903"/>
        <v>4.3989671624159428</v>
      </c>
      <c r="O204" s="39">
        <f t="shared" si="903"/>
        <v>3.8461035488061412</v>
      </c>
      <c r="P204" s="40">
        <f t="shared" si="904"/>
        <v>2.4818913894543613</v>
      </c>
      <c r="Q204" s="39">
        <f t="shared" si="905"/>
        <v>-15.922970092182538</v>
      </c>
      <c r="R204" s="39" t="str">
        <f t="shared" si="906"/>
        <v/>
      </c>
      <c r="S204" s="39" t="str">
        <f t="shared" si="906"/>
        <v/>
      </c>
      <c r="T204" s="39">
        <f t="shared" si="906"/>
        <v>9.1266609072198293</v>
      </c>
      <c r="U204" s="40" t="str">
        <f t="shared" si="907"/>
        <v/>
      </c>
      <c r="V204" s="39">
        <f t="shared" si="908"/>
        <v>-13.394343076638165</v>
      </c>
      <c r="W204" s="39">
        <f t="shared" si="909"/>
        <v>5.9945386679342221</v>
      </c>
      <c r="X204" s="39">
        <f t="shared" si="909"/>
        <v>5.3991876925362448</v>
      </c>
      <c r="Y204" s="39">
        <f t="shared" si="909"/>
        <v>4.7580539640778881</v>
      </c>
      <c r="Z204" s="40" t="str">
        <f t="shared" si="910"/>
        <v/>
      </c>
      <c r="AA204" s="39">
        <f t="shared" si="911"/>
        <v>-0.14835917853403657</v>
      </c>
      <c r="AB204" s="39">
        <f t="shared" si="912"/>
        <v>1.7787343871781331</v>
      </c>
      <c r="AC204" s="39">
        <f t="shared" si="912"/>
        <v>1.0843419537121406</v>
      </c>
      <c r="AD204" s="39">
        <f t="shared" si="912"/>
        <v>0.72204898974119658</v>
      </c>
      <c r="AE204" s="40">
        <f t="shared" si="913"/>
        <v>9.5880450742408954</v>
      </c>
      <c r="AF204" s="39">
        <f t="shared" si="914"/>
        <v>1.8261322373361253</v>
      </c>
      <c r="AG204" s="39">
        <f t="shared" si="915"/>
        <v>-7.9892071309870971E-2</v>
      </c>
      <c r="AH204" s="39">
        <f t="shared" si="915"/>
        <v>0.5588713635576994</v>
      </c>
      <c r="AI204" s="39">
        <f t="shared" si="915"/>
        <v>1.6671634277722944</v>
      </c>
      <c r="AJ204" s="40">
        <f t="shared" si="916"/>
        <v>4.0052167713075875</v>
      </c>
      <c r="AK204" s="39">
        <f t="shared" si="917"/>
        <v>2.2742318079537682</v>
      </c>
      <c r="AL204" s="39">
        <f t="shared" si="918"/>
        <v>1.6335482006562927</v>
      </c>
      <c r="AM204" s="39">
        <f t="shared" si="918"/>
        <v>1.0799014761962979</v>
      </c>
      <c r="AN204" s="39">
        <f t="shared" si="918"/>
        <v>0.92921714700324287</v>
      </c>
      <c r="AO204" s="40">
        <f t="shared" si="919"/>
        <v>5.9094479899018211</v>
      </c>
      <c r="AP204" s="39">
        <f t="shared" si="920"/>
        <v>2.5674181340555862</v>
      </c>
      <c r="AQ204" s="39">
        <f t="shared" si="921"/>
        <v>0.51287655413487698</v>
      </c>
      <c r="AR204" s="39">
        <f t="shared" si="921"/>
        <v>-3.5997811498589272E-3</v>
      </c>
      <c r="AS204" s="39">
        <f t="shared" si="921"/>
        <v>1.1739902092094781</v>
      </c>
      <c r="AT204" s="40">
        <f t="shared" si="922"/>
        <v>4.9130836799123614</v>
      </c>
      <c r="AU204" s="39">
        <f t="shared" si="923"/>
        <v>-3.2697256225219462E-2</v>
      </c>
      <c r="AV204" s="39">
        <f t="shared" si="924"/>
        <v>0.45799394473702648</v>
      </c>
      <c r="AW204" s="39">
        <f t="shared" si="924"/>
        <v>0.97193745249867902</v>
      </c>
      <c r="AX204" s="39">
        <f t="shared" si="924"/>
        <v>1.2205417022361047</v>
      </c>
      <c r="AY204" s="40">
        <f t="shared" si="925"/>
        <v>2.1188132109214024</v>
      </c>
      <c r="AZ204" s="39">
        <f t="shared" si="926"/>
        <v>1.45869554131896</v>
      </c>
      <c r="BA204" s="39">
        <f t="shared" si="927"/>
        <v>1.4085053357563879</v>
      </c>
      <c r="BB204" s="39">
        <f t="shared" si="927"/>
        <v>0.64153767511866988</v>
      </c>
      <c r="BC204" s="39">
        <f t="shared" si="927"/>
        <v>0.521872420676047</v>
      </c>
      <c r="BD204" s="40">
        <f t="shared" si="928"/>
        <v>4.582670785459527</v>
      </c>
      <c r="BE204" s="39">
        <f t="shared" si="929"/>
        <v>0.80105634295297534</v>
      </c>
      <c r="BF204" s="39">
        <f t="shared" si="930"/>
        <v>0.11688250254894683</v>
      </c>
      <c r="BG204" s="39">
        <f t="shared" si="930"/>
        <v>0.78362235328779661</v>
      </c>
      <c r="BH204" s="39">
        <f t="shared" si="930"/>
        <v>1.0097013949308007</v>
      </c>
      <c r="BI204" s="40">
        <f t="shared" si="931"/>
        <v>2.599677140853089</v>
      </c>
      <c r="BJ204" s="39">
        <f t="shared" si="932"/>
        <v>0.40660777112699975</v>
      </c>
      <c r="BK204" s="39">
        <f t="shared" si="933"/>
        <v>0.34657578750088192</v>
      </c>
      <c r="BL204" s="39">
        <f t="shared" si="933"/>
        <v>0.77725747131167111</v>
      </c>
      <c r="BM204" s="39">
        <f t="shared" si="933"/>
        <v>0.13157574529326155</v>
      </c>
      <c r="BN204" s="40">
        <f t="shared" si="934"/>
        <v>2.2423812253534692</v>
      </c>
      <c r="BO204" s="39">
        <f t="shared" si="935"/>
        <v>0.80364664279140641</v>
      </c>
      <c r="BP204" s="39">
        <f t="shared" si="936"/>
        <v>1.3397081663849093</v>
      </c>
      <c r="BQ204" s="39">
        <f t="shared" si="936"/>
        <v>2.7900765484005774E-2</v>
      </c>
      <c r="BR204" s="39">
        <f t="shared" si="936"/>
        <v>1.5769276075744472</v>
      </c>
      <c r="BS204" s="40">
        <f t="shared" si="937"/>
        <v>2.8533433226816527</v>
      </c>
      <c r="BT204" s="39">
        <f t="shared" si="938"/>
        <v>4.525368940147942</v>
      </c>
      <c r="BU204" s="39">
        <f t="shared" si="939"/>
        <v>0.54002381645238984</v>
      </c>
      <c r="BV204" s="39">
        <f t="shared" si="939"/>
        <v>0.95874779408046606</v>
      </c>
      <c r="BW204" s="39">
        <f t="shared" si="939"/>
        <v>0.65649790503942995</v>
      </c>
      <c r="BX204" s="40">
        <f t="shared" si="940"/>
        <v>7.2390133069855693</v>
      </c>
      <c r="BY204" s="39">
        <f t="shared" si="941"/>
        <v>0.64003954076868297</v>
      </c>
      <c r="BZ204" s="39">
        <f t="shared" si="942"/>
        <v>1.2116535385497684</v>
      </c>
      <c r="CA204" s="39">
        <f t="shared" si="942"/>
        <v>0.55637167836289336</v>
      </c>
      <c r="CB204" s="39">
        <f t="shared" si="942"/>
        <v>0.44716049500510735</v>
      </c>
      <c r="CC204" s="40">
        <f t="shared" si="943"/>
        <v>3.0737312525582468</v>
      </c>
      <c r="CD204" s="39">
        <f t="shared" si="944"/>
        <v>1.0276749166778814</v>
      </c>
      <c r="CE204" s="39">
        <f t="shared" si="945"/>
        <v>2.2547534638993909</v>
      </c>
      <c r="CF204" s="39">
        <f t="shared" si="894"/>
        <v>1.2947628141903351</v>
      </c>
      <c r="CG204" s="39">
        <f t="shared" si="894"/>
        <v>1.5134899250800942</v>
      </c>
      <c r="CH204" s="40">
        <f t="shared" si="946"/>
        <v>4.755752639313755</v>
      </c>
      <c r="CI204" s="39">
        <f t="shared" si="947"/>
        <v>4.4676733838628024E-2</v>
      </c>
      <c r="CJ204" s="39">
        <f t="shared" si="948"/>
        <v>0.59312429814278289</v>
      </c>
      <c r="CK204" s="39">
        <f t="shared" si="895"/>
        <v>2.9855800919914515</v>
      </c>
      <c r="CL204" s="39">
        <f t="shared" si="895"/>
        <v>0.27680335047128324</v>
      </c>
      <c r="CM204" s="40">
        <f t="shared" si="949"/>
        <v>4.4425053108202661</v>
      </c>
      <c r="CN204" s="39" t="str">
        <f t="shared" si="950"/>
        <v/>
      </c>
      <c r="CO204" s="39" t="str">
        <f t="shared" si="951"/>
        <v/>
      </c>
      <c r="CP204" s="39" t="str">
        <f t="shared" si="896"/>
        <v/>
      </c>
      <c r="CQ204" s="39" t="str">
        <f t="shared" si="896"/>
        <v/>
      </c>
      <c r="CR204" s="40" t="str">
        <f t="shared" si="952"/>
        <v/>
      </c>
    </row>
    <row r="205" spans="1:96" s="9" customFormat="1" ht="15" x14ac:dyDescent="0.4">
      <c r="A205" s="18" t="s">
        <v>86</v>
      </c>
      <c r="B205" s="38"/>
      <c r="C205" s="39">
        <f t="shared" si="898"/>
        <v>0.31270403343538078</v>
      </c>
      <c r="D205" s="39">
        <f t="shared" si="898"/>
        <v>-0.44485022253873296</v>
      </c>
      <c r="E205" s="39">
        <f t="shared" si="898"/>
        <v>1.0632399229347271</v>
      </c>
      <c r="F205" s="38"/>
      <c r="G205" s="39">
        <f t="shared" si="899"/>
        <v>4.8769124448224233</v>
      </c>
      <c r="H205" s="39">
        <f t="shared" si="900"/>
        <v>-2.8407246534381159</v>
      </c>
      <c r="I205" s="39">
        <f t="shared" si="900"/>
        <v>1.7498949777394017</v>
      </c>
      <c r="J205" s="39">
        <f t="shared" si="900"/>
        <v>-0.20101759516704476</v>
      </c>
      <c r="K205" s="40">
        <f t="shared" si="901"/>
        <v>4.1635784286477246</v>
      </c>
      <c r="L205" s="39">
        <f t="shared" si="902"/>
        <v>0.62606680993727082</v>
      </c>
      <c r="M205" s="39">
        <f t="shared" si="903"/>
        <v>0.56397411111407791</v>
      </c>
      <c r="N205" s="39">
        <f t="shared" si="903"/>
        <v>-0.38996093025195933</v>
      </c>
      <c r="O205" s="39">
        <f t="shared" si="903"/>
        <v>-0.22581137824589348</v>
      </c>
      <c r="P205" s="40">
        <f t="shared" si="904"/>
        <v>0.77259315937105555</v>
      </c>
      <c r="Q205" s="39">
        <f t="shared" si="905"/>
        <v>3.2999152070666042</v>
      </c>
      <c r="R205" s="39" t="str">
        <f t="shared" si="906"/>
        <v/>
      </c>
      <c r="S205" s="39" t="str">
        <f t="shared" si="906"/>
        <v/>
      </c>
      <c r="T205" s="39">
        <f t="shared" si="906"/>
        <v>-4.5441215113613111</v>
      </c>
      <c r="U205" s="40" t="str">
        <f t="shared" si="907"/>
        <v/>
      </c>
      <c r="V205" s="39">
        <f t="shared" si="908"/>
        <v>16.970244666897784</v>
      </c>
      <c r="W205" s="39">
        <f t="shared" si="909"/>
        <v>-3.0601667359806726</v>
      </c>
      <c r="X205" s="39">
        <f t="shared" si="909"/>
        <v>0.92939937466947242</v>
      </c>
      <c r="Y205" s="39">
        <f t="shared" si="909"/>
        <v>0.36311896219687867</v>
      </c>
      <c r="Z205" s="40" t="str">
        <f t="shared" si="910"/>
        <v/>
      </c>
      <c r="AA205" s="39">
        <f t="shared" si="911"/>
        <v>5.1548348580989085</v>
      </c>
      <c r="AB205" s="39">
        <f t="shared" si="912"/>
        <v>0.93984568719247363</v>
      </c>
      <c r="AC205" s="39">
        <f t="shared" si="912"/>
        <v>1.0773088414066905</v>
      </c>
      <c r="AD205" s="39">
        <f t="shared" si="912"/>
        <v>2.2411504006592651</v>
      </c>
      <c r="AE205" s="40">
        <f t="shared" si="913"/>
        <v>7.0816011044373681</v>
      </c>
      <c r="AF205" s="39">
        <f t="shared" si="914"/>
        <v>4.4241995093998128</v>
      </c>
      <c r="AG205" s="39">
        <f t="shared" si="915"/>
        <v>1.4172067025158412</v>
      </c>
      <c r="AH205" s="39">
        <f t="shared" si="915"/>
        <v>1.7945512005463655</v>
      </c>
      <c r="AI205" s="39">
        <f t="shared" si="915"/>
        <v>1.8224458841650915</v>
      </c>
      <c r="AJ205" s="40">
        <f t="shared" si="916"/>
        <v>9.59366285281898</v>
      </c>
      <c r="AK205" s="39">
        <f t="shared" si="917"/>
        <v>0.24586989907113832</v>
      </c>
      <c r="AL205" s="39">
        <f t="shared" si="918"/>
        <v>1.9409016361752691</v>
      </c>
      <c r="AM205" s="39">
        <f t="shared" si="918"/>
        <v>1.2917226332590275</v>
      </c>
      <c r="AN205" s="39">
        <f t="shared" si="918"/>
        <v>1.3101554617415587</v>
      </c>
      <c r="AO205" s="40">
        <f t="shared" si="919"/>
        <v>5.3922154316021107</v>
      </c>
      <c r="AP205" s="39">
        <f t="shared" si="920"/>
        <v>3.1140842885526894</v>
      </c>
      <c r="AQ205" s="39">
        <f t="shared" si="921"/>
        <v>1.5573916673047279</v>
      </c>
      <c r="AR205" s="39">
        <f t="shared" si="921"/>
        <v>1.2657230999768387</v>
      </c>
      <c r="AS205" s="39">
        <f t="shared" si="921"/>
        <v>2.0994499267263507</v>
      </c>
      <c r="AT205" s="40">
        <f t="shared" si="922"/>
        <v>7.750143604367608</v>
      </c>
      <c r="AU205" s="39">
        <f t="shared" si="923"/>
        <v>0.41391958323850986</v>
      </c>
      <c r="AV205" s="39">
        <f t="shared" si="924"/>
        <v>0.98098885391404167</v>
      </c>
      <c r="AW205" s="39">
        <f t="shared" si="924"/>
        <v>1.3891162893964122</v>
      </c>
      <c r="AX205" s="39">
        <f t="shared" si="924"/>
        <v>0.71099869788935166</v>
      </c>
      <c r="AY205" s="40">
        <f t="shared" si="925"/>
        <v>4.6627467941608103</v>
      </c>
      <c r="AZ205" s="39">
        <f t="shared" si="926"/>
        <v>1.1416648811948988</v>
      </c>
      <c r="BA205" s="39">
        <f t="shared" si="927"/>
        <v>1.4537815778821397</v>
      </c>
      <c r="BB205" s="39">
        <f t="shared" si="927"/>
        <v>1.0185788345234101</v>
      </c>
      <c r="BC205" s="39">
        <f t="shared" si="927"/>
        <v>0.75033152930778613</v>
      </c>
      <c r="BD205" s="40">
        <f t="shared" si="928"/>
        <v>4.4715964369141972</v>
      </c>
      <c r="BE205" s="39">
        <f t="shared" si="929"/>
        <v>0.23543068428502067</v>
      </c>
      <c r="BF205" s="39">
        <f t="shared" si="930"/>
        <v>0.1861513328777562</v>
      </c>
      <c r="BG205" s="39">
        <f t="shared" si="930"/>
        <v>0.35730409968095955</v>
      </c>
      <c r="BH205" s="39">
        <f t="shared" si="930"/>
        <v>0.15984020938695664</v>
      </c>
      <c r="BI205" s="40">
        <f t="shared" si="931"/>
        <v>2.0056181656040337</v>
      </c>
      <c r="BJ205" s="39">
        <f t="shared" si="932"/>
        <v>2.1005843692113189</v>
      </c>
      <c r="BK205" s="39">
        <f t="shared" si="933"/>
        <v>1.4106629488612015</v>
      </c>
      <c r="BL205" s="39">
        <f t="shared" si="933"/>
        <v>1.1517654803368487</v>
      </c>
      <c r="BM205" s="39">
        <f t="shared" si="933"/>
        <v>0.54696747108293664</v>
      </c>
      <c r="BN205" s="40">
        <f t="shared" si="934"/>
        <v>4.2738283254287239</v>
      </c>
      <c r="BO205" s="39">
        <f t="shared" si="935"/>
        <v>1.0343848733417076</v>
      </c>
      <c r="BP205" s="39">
        <f t="shared" si="936"/>
        <v>4.1855622060978703E-2</v>
      </c>
      <c r="BQ205" s="39">
        <f t="shared" si="936"/>
        <v>6.9440155144846472E-2</v>
      </c>
      <c r="BR205" s="39">
        <f t="shared" si="936"/>
        <v>2.3050381890499239E-2</v>
      </c>
      <c r="BS205" s="40">
        <f t="shared" si="937"/>
        <v>2.4564994164590956</v>
      </c>
      <c r="BT205" s="39">
        <f t="shared" si="938"/>
        <v>2.9736729551937486</v>
      </c>
      <c r="BU205" s="39">
        <f t="shared" si="939"/>
        <v>1.4416531574635627</v>
      </c>
      <c r="BV205" s="39">
        <f t="shared" si="939"/>
        <v>1.3431160489197964</v>
      </c>
      <c r="BW205" s="39">
        <f t="shared" si="939"/>
        <v>0.49598876785736934</v>
      </c>
      <c r="BX205" s="40">
        <f t="shared" si="940"/>
        <v>5.017693530564955</v>
      </c>
      <c r="BY205" s="39">
        <f t="shared" si="941"/>
        <v>1.3648173912773842</v>
      </c>
      <c r="BZ205" s="39">
        <f t="shared" si="942"/>
        <v>1.209414958101803</v>
      </c>
      <c r="CA205" s="39">
        <f t="shared" si="942"/>
        <v>0.31552477750626906</v>
      </c>
      <c r="CB205" s="39">
        <f t="shared" si="942"/>
        <v>0.50161967601272295</v>
      </c>
      <c r="CC205" s="40">
        <f t="shared" si="943"/>
        <v>3.9857203291772976</v>
      </c>
      <c r="CD205" s="39">
        <f t="shared" si="944"/>
        <v>0.78725077581758285</v>
      </c>
      <c r="CE205" s="39">
        <f t="shared" si="945"/>
        <v>1.1078157277703014</v>
      </c>
      <c r="CF205" s="39">
        <f t="shared" si="894"/>
        <v>2.079506110648623</v>
      </c>
      <c r="CG205" s="39">
        <f t="shared" si="894"/>
        <v>1.4910686788441865</v>
      </c>
      <c r="CH205" s="40">
        <f t="shared" si="946"/>
        <v>3.9484307233764753</v>
      </c>
      <c r="CI205" s="39">
        <f t="shared" si="947"/>
        <v>0.23241158224969638</v>
      </c>
      <c r="CJ205" s="39">
        <f t="shared" si="948"/>
        <v>2.1674726911841304</v>
      </c>
      <c r="CK205" s="39">
        <f t="shared" si="895"/>
        <v>-2.9348576180822761E-2</v>
      </c>
      <c r="CL205" s="39">
        <f t="shared" si="895"/>
        <v>1.6909219372813595</v>
      </c>
      <c r="CM205" s="40">
        <f t="shared" si="949"/>
        <v>4.7579360613234627</v>
      </c>
      <c r="CN205" s="39" t="str">
        <f t="shared" si="950"/>
        <v/>
      </c>
      <c r="CO205" s="39" t="str">
        <f t="shared" si="951"/>
        <v/>
      </c>
      <c r="CP205" s="39" t="str">
        <f t="shared" si="896"/>
        <v/>
      </c>
      <c r="CQ205" s="39" t="str">
        <f t="shared" si="896"/>
        <v/>
      </c>
      <c r="CR205" s="40" t="str">
        <f t="shared" si="952"/>
        <v/>
      </c>
    </row>
    <row r="206" spans="1:96" s="9" customFormat="1" ht="15" x14ac:dyDescent="0.4">
      <c r="A206" s="18"/>
      <c r="B206" s="42"/>
      <c r="C206" s="22"/>
      <c r="D206" s="23"/>
      <c r="E206" s="22"/>
      <c r="F206" s="42"/>
      <c r="G206" s="22"/>
      <c r="H206" s="22"/>
      <c r="I206" s="23"/>
      <c r="J206" s="22"/>
      <c r="K206" s="24"/>
      <c r="L206" s="22"/>
      <c r="M206" s="22"/>
      <c r="N206" s="23"/>
      <c r="O206" s="22"/>
      <c r="P206" s="24"/>
      <c r="Q206" s="22"/>
      <c r="R206" s="22"/>
      <c r="S206" s="23"/>
      <c r="T206" s="22"/>
      <c r="U206" s="24"/>
      <c r="V206" s="22"/>
      <c r="W206" s="22"/>
      <c r="X206" s="23"/>
      <c r="Y206" s="22"/>
      <c r="Z206" s="24"/>
      <c r="AA206" s="22"/>
      <c r="AB206" s="22"/>
      <c r="AC206" s="23"/>
      <c r="AD206" s="22"/>
      <c r="AE206" s="24"/>
      <c r="AF206" s="22"/>
      <c r="AG206" s="22"/>
      <c r="AH206" s="23"/>
      <c r="AI206" s="22"/>
      <c r="AJ206" s="24"/>
      <c r="AK206" s="22"/>
      <c r="AL206" s="22"/>
      <c r="AM206" s="23"/>
      <c r="AN206" s="22"/>
      <c r="AO206" s="24"/>
      <c r="AP206" s="22"/>
      <c r="AQ206" s="22"/>
      <c r="AR206" s="23"/>
      <c r="AS206" s="22"/>
      <c r="AT206" s="24"/>
      <c r="AU206" s="22"/>
      <c r="AV206" s="22"/>
      <c r="AW206" s="23"/>
      <c r="AX206" s="22"/>
      <c r="AY206" s="24"/>
      <c r="AZ206" s="22"/>
      <c r="BA206" s="22"/>
      <c r="BB206" s="23"/>
      <c r="BC206" s="22"/>
      <c r="BD206" s="24"/>
      <c r="BE206" s="22"/>
      <c r="BF206" s="22"/>
      <c r="BG206" s="23"/>
      <c r="BH206" s="22"/>
      <c r="BI206" s="24"/>
      <c r="BJ206" s="22"/>
      <c r="BK206" s="22"/>
      <c r="BL206" s="23"/>
      <c r="BM206" s="22"/>
      <c r="BN206" s="24"/>
      <c r="BO206" s="22"/>
      <c r="BP206" s="22"/>
      <c r="BQ206" s="23"/>
      <c r="BR206" s="22"/>
      <c r="BS206" s="24"/>
      <c r="BT206" s="22"/>
      <c r="BU206" s="22"/>
      <c r="BV206" s="23"/>
      <c r="BW206" s="22"/>
      <c r="BX206" s="24"/>
      <c r="BY206" s="22"/>
      <c r="BZ206" s="22"/>
      <c r="CA206" s="23"/>
      <c r="CB206" s="22"/>
      <c r="CC206" s="24"/>
      <c r="CD206" s="22"/>
      <c r="CE206" s="22"/>
      <c r="CF206" s="23"/>
      <c r="CG206" s="22"/>
      <c r="CH206" s="24"/>
      <c r="CI206" s="22"/>
      <c r="CJ206" s="22"/>
      <c r="CK206" s="23"/>
      <c r="CL206" s="22"/>
      <c r="CM206" s="24"/>
      <c r="CN206" s="22"/>
      <c r="CO206" s="22"/>
      <c r="CP206" s="23"/>
      <c r="CQ206" s="22"/>
      <c r="CR206" s="24"/>
    </row>
    <row r="207" spans="1:96" s="17" customFormat="1" ht="15" x14ac:dyDescent="0.4">
      <c r="A207" s="15" t="s">
        <v>87</v>
      </c>
      <c r="B207" s="37"/>
      <c r="C207" s="16">
        <f>IFERROR(C175/B175*100-100,"")</f>
        <v>12.124687570289012</v>
      </c>
      <c r="D207" s="16">
        <f t="shared" ref="D207:E207" si="953">IFERROR(D175/C175*100-100,"")</f>
        <v>19.841993596865265</v>
      </c>
      <c r="E207" s="16">
        <f t="shared" si="953"/>
        <v>0.88094577883130398</v>
      </c>
      <c r="F207" s="37"/>
      <c r="G207" s="16">
        <f>IFERROR(G175/E175*100-100,"")</f>
        <v>-0.52813012622246447</v>
      </c>
      <c r="H207" s="16">
        <f>IFERROR(H175/G175*100-100,"")</f>
        <v>2.5950251555401707</v>
      </c>
      <c r="I207" s="16">
        <f t="shared" ref="I207:J207" si="954">IFERROR(I175/H175*100-100,"")</f>
        <v>-3.7549574931346541</v>
      </c>
      <c r="J207" s="16">
        <f t="shared" si="954"/>
        <v>5.6996761016043962</v>
      </c>
      <c r="K207" s="16">
        <f>IFERROR(K175/F175*100-100,"")</f>
        <v>13.174381155172668</v>
      </c>
      <c r="L207" s="16">
        <f>IFERROR(L175/J175*100-100,"")</f>
        <v>2.6661615932763567</v>
      </c>
      <c r="M207" s="16">
        <f>IFERROR(M175/L175*100-100,"")</f>
        <v>0.27319420793550364</v>
      </c>
      <c r="N207" s="16">
        <f t="shared" ref="N207:O207" si="955">IFERROR(N175/M175*100-100,"")</f>
        <v>0.4371771617876874</v>
      </c>
      <c r="O207" s="16">
        <f t="shared" si="955"/>
        <v>-1.8879421903747584E-2</v>
      </c>
      <c r="P207" s="16">
        <f>IFERROR(P175/K175*100-100,"")</f>
        <v>6.0061289345873803</v>
      </c>
      <c r="Q207" s="16">
        <f>IFERROR(Q175/O175*100-100,"")</f>
        <v>2.1399759136052836</v>
      </c>
      <c r="R207" s="16" t="str">
        <f>IFERROR(R175/Q175*100-100,"")</f>
        <v/>
      </c>
      <c r="S207" s="16" t="str">
        <f t="shared" ref="S207:T207" si="956">IFERROR(S175/R175*100-100,"")</f>
        <v/>
      </c>
      <c r="T207" s="16">
        <f t="shared" si="956"/>
        <v>1.5330685961767472</v>
      </c>
      <c r="U207" s="16" t="str">
        <f>IFERROR(U175/P175*100-100,"")</f>
        <v/>
      </c>
      <c r="V207" s="16">
        <f>IFERROR(V175/T175*100-100,"")</f>
        <v>-0.49841135658766689</v>
      </c>
      <c r="W207" s="16">
        <f>IFERROR(W175/V175*100-100,"")</f>
        <v>1.3085432833363626</v>
      </c>
      <c r="X207" s="16">
        <f t="shared" ref="X207:Y207" si="957">IFERROR(X175/W175*100-100,"")</f>
        <v>1.7174904981181527</v>
      </c>
      <c r="Y207" s="16">
        <f t="shared" si="957"/>
        <v>1.3962280299074479</v>
      </c>
      <c r="Z207" s="16" t="str">
        <f>IFERROR(Z175/U175*100-100,"")</f>
        <v/>
      </c>
      <c r="AA207" s="16">
        <f>IFERROR(AA175/Y175*100-100,"")</f>
        <v>3.0996692650318067</v>
      </c>
      <c r="AB207" s="16">
        <f>IFERROR(AB175/AA175*100-100,"")</f>
        <v>-0.58615765083655447</v>
      </c>
      <c r="AC207" s="16">
        <f t="shared" ref="AC207:AD207" si="958">IFERROR(AC175/AB175*100-100,"")</f>
        <v>5.2065361237424668E-2</v>
      </c>
      <c r="AD207" s="16">
        <f t="shared" si="958"/>
        <v>-0.28212508654671353</v>
      </c>
      <c r="AE207" s="16">
        <f>IFERROR(AE175/Z175*100-100,"")</f>
        <v>4.8608651978220081</v>
      </c>
      <c r="AF207" s="16">
        <f>IFERROR(AF175/AD175*100-100,"")</f>
        <v>-1.6798284239425811</v>
      </c>
      <c r="AG207" s="16">
        <f>IFERROR(AG175/AF175*100-100,"")</f>
        <v>5.0729788191148089</v>
      </c>
      <c r="AH207" s="16">
        <f t="shared" ref="AH207:AI207" si="959">IFERROR(AH175/AG175*100-100,"")</f>
        <v>3.8282795377390499</v>
      </c>
      <c r="AI207" s="16">
        <f t="shared" si="959"/>
        <v>1.500504290667152</v>
      </c>
      <c r="AJ207" s="16">
        <f>IFERROR(AJ175/AE175*100-100,"")</f>
        <v>4.0151936014927401</v>
      </c>
      <c r="AK207" s="16">
        <f>IFERROR(AK175/AI175*100-100,"")</f>
        <v>1.1568639852139313</v>
      </c>
      <c r="AL207" s="16">
        <f>IFERROR(AL175/AK175*100-100,"")</f>
        <v>1.5247039617841835</v>
      </c>
      <c r="AM207" s="16">
        <f t="shared" ref="AM207:AN207" si="960">IFERROR(AM175/AL175*100-100,"")</f>
        <v>1.3040480932900778</v>
      </c>
      <c r="AN207" s="16">
        <f t="shared" si="960"/>
        <v>2.3112064802723467</v>
      </c>
      <c r="AO207" s="16">
        <f>IFERROR(AO175/AJ175*100-100,"")</f>
        <v>8.1639720363346839</v>
      </c>
      <c r="AP207" s="16">
        <f>IFERROR(AP175/AN175*100-100,"")</f>
        <v>0.17436655586907079</v>
      </c>
      <c r="AQ207" s="16">
        <f>IFERROR(AQ175/AP175*100-100,"")</f>
        <v>1.1448432184528485</v>
      </c>
      <c r="AR207" s="16">
        <f t="shared" ref="AR207:AS207" si="961">IFERROR(AR175/AQ175*100-100,"")</f>
        <v>1.2515293323384924</v>
      </c>
      <c r="AS207" s="16">
        <f t="shared" si="961"/>
        <v>0.70997527505673474</v>
      </c>
      <c r="AT207" s="16">
        <f>IFERROR(AT175/AO175*100-100,"")</f>
        <v>4.6346821681354697</v>
      </c>
      <c r="AU207" s="16">
        <f>IFERROR(AU175/AS175*100-100,"")</f>
        <v>1.6832672738877079</v>
      </c>
      <c r="AV207" s="16">
        <f>IFERROR(AV175/AU175*100-100,"")</f>
        <v>0.73145158095417173</v>
      </c>
      <c r="AW207" s="16">
        <f t="shared" ref="AW207:AX207" si="962">IFERROR(AW175/AV175*100-100,"")</f>
        <v>2.2639257785325668</v>
      </c>
      <c r="AX207" s="16">
        <f t="shared" si="962"/>
        <v>0.75230527603137887</v>
      </c>
      <c r="AY207" s="16">
        <f>IFERROR(AY175/AT175*100-100,"")</f>
        <v>5.0573637334029797</v>
      </c>
      <c r="AZ207" s="16">
        <f>IFERROR(AZ175/AX175*100-100,"")</f>
        <v>1.0241766956997367</v>
      </c>
      <c r="BA207" s="16">
        <f>IFERROR(BA175/AZ175*100-100,"")</f>
        <v>3.2317147076253292</v>
      </c>
      <c r="BB207" s="16">
        <f t="shared" ref="BB207:BC207" si="963">IFERROR(BB175/BA175*100-100,"")</f>
        <v>0.48538149142287068</v>
      </c>
      <c r="BC207" s="16">
        <f t="shared" si="963"/>
        <v>8.9812991761732519E-2</v>
      </c>
      <c r="BD207" s="16">
        <f>IFERROR(BD175/AY175*100-100,"")</f>
        <v>5.6821606546684222</v>
      </c>
      <c r="BE207" s="16">
        <f>IFERROR(BE175/BC175*100-100,"")</f>
        <v>0.98370649797318777</v>
      </c>
      <c r="BF207" s="16">
        <f>IFERROR(BF175/BE175*100-100,"")</f>
        <v>1.4702084214502236</v>
      </c>
      <c r="BG207" s="16">
        <f t="shared" ref="BG207:BH207" si="964">IFERROR(BG175/BF175*100-100,"")</f>
        <v>2.7214643011405144</v>
      </c>
      <c r="BH207" s="16">
        <f t="shared" si="964"/>
        <v>2.7256008554203106</v>
      </c>
      <c r="BI207" s="16">
        <f>IFERROR(BI175/BD175*100-100,"")</f>
        <v>5.3896347625494059</v>
      </c>
      <c r="BJ207" s="16">
        <f>IFERROR(BJ175/BH175*100-100,"")</f>
        <v>0.54535928036875703</v>
      </c>
      <c r="BK207" s="16">
        <f>IFERROR(BK175/BJ175*100-100,"")</f>
        <v>1.0821992004278655</v>
      </c>
      <c r="BL207" s="16">
        <f t="shared" ref="BL207:BM207" si="965">IFERROR(BL175/BK175*100-100,"")</f>
        <v>1.1030553819054916</v>
      </c>
      <c r="BM207" s="16">
        <f t="shared" si="965"/>
        <v>2.1277995896402189</v>
      </c>
      <c r="BN207" s="16">
        <f>IFERROR(BN175/BI175*100-100,"")</f>
        <v>6.2353277203083479</v>
      </c>
      <c r="BO207" s="16">
        <f>IFERROR(BO175/BM175*100-100,"")</f>
        <v>-0.25549624348258249</v>
      </c>
      <c r="BP207" s="16">
        <f>IFERROR(BP175/BO175*100-100,"")</f>
        <v>-9.2171721633064863E-2</v>
      </c>
      <c r="BQ207" s="16">
        <f t="shared" ref="BQ207:BR207" si="966">IFERROR(BQ175/BP175*100-100,"")</f>
        <v>1.2519283508650574</v>
      </c>
      <c r="BR207" s="16">
        <f t="shared" si="966"/>
        <v>1.4349538397708983</v>
      </c>
      <c r="BS207" s="16">
        <f>IFERROR(BS175/BN175*100-100,"")</f>
        <v>3.1204126521882358</v>
      </c>
      <c r="BT207" s="16">
        <f>IFERROR(BT175/BR175*100-100,"")</f>
        <v>0.59336888647611374</v>
      </c>
      <c r="BU207" s="16">
        <f>IFERROR(BU175/BT175*100-100,"")</f>
        <v>0.79177331692534381</v>
      </c>
      <c r="BV207" s="16">
        <f t="shared" ref="BV207:BW207" si="967">IFERROR(BV175/BU175*100-100,"")</f>
        <v>0.77936755857388107</v>
      </c>
      <c r="BW207" s="16">
        <f t="shared" si="967"/>
        <v>1.386590359436596</v>
      </c>
      <c r="BX207" s="16">
        <f>IFERROR(BX175/BS175*100-100,"")</f>
        <v>3.662903867820603</v>
      </c>
      <c r="BY207" s="16">
        <f>IFERROR(BY175/BW175*100-100,"")</f>
        <v>0.99402608184895769</v>
      </c>
      <c r="BZ207" s="16">
        <f>IFERROR(BZ175/BY175*100-100,"")</f>
        <v>0.94398320476204844</v>
      </c>
      <c r="CA207" s="16">
        <f t="shared" ref="CA207:CB207" si="968">IFERROR(CA175/BZ175*100-100,"")</f>
        <v>0.83854664613755858</v>
      </c>
      <c r="CB207" s="16">
        <f t="shared" si="968"/>
        <v>0.58679582430838195</v>
      </c>
      <c r="CC207" s="16">
        <f>IFERROR(CC175/BX175*100-100,"")</f>
        <v>3.9508459465132546</v>
      </c>
      <c r="CD207" s="16">
        <f>IFERROR(CD175/CB175*100-100,"")</f>
        <v>1.3732751877688827</v>
      </c>
      <c r="CE207" s="16">
        <f>IFERROR(CE175/CD175*100-100,"")</f>
        <v>0.33987858194694809</v>
      </c>
      <c r="CF207" s="16">
        <f t="shared" ref="CF207:CG207" si="969">IFERROR(CF175/CE175*100-100,"")</f>
        <v>0.33590756789850218</v>
      </c>
      <c r="CG207" s="16">
        <f t="shared" si="969"/>
        <v>1.0173311047489761</v>
      </c>
      <c r="CH207" s="16">
        <f>IFERROR(CH175/CC175*100-100,"")</f>
        <v>3.1655084156002147</v>
      </c>
      <c r="CI207" s="16">
        <f>IFERROR(CI175/CG175*100-100,"")</f>
        <v>-4.4342072226712048E-2</v>
      </c>
      <c r="CJ207" s="16">
        <f>IFERROR(CJ175/CI175*100-100,"")</f>
        <v>0.48846893373810474</v>
      </c>
      <c r="CK207" s="16">
        <f t="shared" ref="CK207:CL207" si="970">IFERROR(CK175/CJ175*100-100,"")</f>
        <v>2.322388458014629</v>
      </c>
      <c r="CL207" s="16">
        <f t="shared" si="970"/>
        <v>0.97944437452885325</v>
      </c>
      <c r="CM207" s="16">
        <f>IFERROR(CM175/CH175*100-100,"")</f>
        <v>2.7270036152212924</v>
      </c>
      <c r="CN207" s="16" t="str">
        <f>IFERROR(CN175/CL175*100-100,"")</f>
        <v/>
      </c>
      <c r="CO207" s="16" t="str">
        <f>IFERROR(CO175/CN175*100-100,"")</f>
        <v/>
      </c>
      <c r="CP207" s="16" t="str">
        <f t="shared" ref="CP207:CQ207" si="971">IFERROR(CP175/CO175*100-100,"")</f>
        <v/>
      </c>
      <c r="CQ207" s="16" t="str">
        <f t="shared" si="971"/>
        <v/>
      </c>
      <c r="CR207" s="16" t="str">
        <f>IFERROR(CR175/CM175*100-100,"")</f>
        <v/>
      </c>
    </row>
    <row r="208" spans="1:96" s="9" customFormat="1" ht="15" x14ac:dyDescent="0.4">
      <c r="A208" s="25"/>
      <c r="B208" s="42"/>
      <c r="C208" s="22"/>
      <c r="D208" s="22"/>
      <c r="E208" s="22"/>
      <c r="F208" s="42"/>
      <c r="G208" s="22"/>
      <c r="H208" s="22"/>
      <c r="I208" s="22"/>
      <c r="J208" s="22"/>
      <c r="K208" s="24"/>
      <c r="L208" s="22"/>
      <c r="M208" s="22"/>
      <c r="N208" s="22"/>
      <c r="O208" s="22"/>
      <c r="P208" s="24"/>
      <c r="Q208" s="22"/>
      <c r="R208" s="22"/>
      <c r="S208" s="22"/>
      <c r="T208" s="22"/>
      <c r="U208" s="24"/>
      <c r="V208" s="22"/>
      <c r="W208" s="22"/>
      <c r="X208" s="22"/>
      <c r="Y208" s="22"/>
      <c r="Z208" s="24"/>
      <c r="AA208" s="22"/>
      <c r="AB208" s="22"/>
      <c r="AC208" s="22"/>
      <c r="AD208" s="22"/>
      <c r="AE208" s="24"/>
      <c r="AF208" s="22"/>
      <c r="AG208" s="22"/>
      <c r="AH208" s="22"/>
      <c r="AI208" s="22"/>
      <c r="AJ208" s="24"/>
      <c r="AK208" s="22"/>
      <c r="AL208" s="22"/>
      <c r="AM208" s="22"/>
      <c r="AN208" s="22"/>
      <c r="AO208" s="24"/>
      <c r="AP208" s="22"/>
      <c r="AQ208" s="22"/>
      <c r="AR208" s="22"/>
      <c r="AS208" s="22"/>
      <c r="AT208" s="24"/>
      <c r="AU208" s="22"/>
      <c r="AV208" s="22"/>
      <c r="AW208" s="22"/>
      <c r="AX208" s="22"/>
      <c r="AY208" s="24"/>
      <c r="AZ208" s="22"/>
      <c r="BA208" s="22"/>
      <c r="BB208" s="22"/>
      <c r="BC208" s="22"/>
      <c r="BD208" s="24"/>
      <c r="BE208" s="22"/>
      <c r="BF208" s="22"/>
      <c r="BG208" s="22"/>
      <c r="BH208" s="22"/>
      <c r="BI208" s="24"/>
      <c r="BJ208" s="22"/>
      <c r="BK208" s="22"/>
      <c r="BL208" s="22"/>
      <c r="BM208" s="22"/>
      <c r="BN208" s="24"/>
      <c r="BO208" s="22"/>
      <c r="BP208" s="22"/>
      <c r="BQ208" s="22"/>
      <c r="BR208" s="22"/>
      <c r="BS208" s="24"/>
      <c r="BT208" s="22"/>
      <c r="BU208" s="22"/>
      <c r="BV208" s="22"/>
      <c r="BW208" s="22"/>
      <c r="BX208" s="24"/>
      <c r="BY208" s="22"/>
      <c r="BZ208" s="22"/>
      <c r="CA208" s="22"/>
      <c r="CB208" s="22"/>
      <c r="CC208" s="24"/>
      <c r="CD208" s="22"/>
      <c r="CE208" s="22"/>
      <c r="CF208" s="22"/>
      <c r="CG208" s="22"/>
      <c r="CH208" s="24"/>
      <c r="CI208" s="22"/>
      <c r="CJ208" s="22"/>
      <c r="CK208" s="22"/>
      <c r="CL208" s="22"/>
      <c r="CM208" s="24"/>
      <c r="CN208" s="22"/>
      <c r="CO208" s="22"/>
      <c r="CP208" s="22"/>
      <c r="CQ208" s="22"/>
      <c r="CR208" s="24"/>
    </row>
    <row r="209" spans="1:96" s="17" customFormat="1" ht="15" x14ac:dyDescent="0.4">
      <c r="A209" s="15" t="s">
        <v>88</v>
      </c>
      <c r="B209" s="37"/>
      <c r="C209" s="16">
        <f>IFERROR(C177/B177*100-100,"")</f>
        <v>0.67845724777946259</v>
      </c>
      <c r="D209" s="16">
        <f t="shared" ref="D209:E209" si="972">IFERROR(D177/C177*100-100,"")</f>
        <v>-2.265263076074632</v>
      </c>
      <c r="E209" s="16">
        <f t="shared" si="972"/>
        <v>3.1281492524563674</v>
      </c>
      <c r="F209" s="37"/>
      <c r="G209" s="16">
        <f>IFERROR(G177/E177*100-100,"")</f>
        <v>12.034598838806218</v>
      </c>
      <c r="H209" s="16">
        <f>IFERROR(H177/G177*100-100,"")</f>
        <v>2.6070035306859012</v>
      </c>
      <c r="I209" s="16">
        <f t="shared" ref="I209:J209" si="973">IFERROR(I177/H177*100-100,"")</f>
        <v>1.1306551424692799</v>
      </c>
      <c r="J209" s="16">
        <f t="shared" si="973"/>
        <v>1.6499553522167929</v>
      </c>
      <c r="K209" s="16">
        <f>IFERROR(K177/F177*100-100,"")</f>
        <v>17.105964955397468</v>
      </c>
      <c r="L209" s="16">
        <f>IFERROR(L177/J177*100-100,"")</f>
        <v>1.720203321091887</v>
      </c>
      <c r="M209" s="16">
        <f>IFERROR(M177/L177*100-100,"")</f>
        <v>2.0310008478618471</v>
      </c>
      <c r="N209" s="16">
        <f t="shared" ref="N209:O209" si="974">IFERROR(N177/M177*100-100,"")</f>
        <v>2.5907815406176553</v>
      </c>
      <c r="O209" s="16">
        <f t="shared" si="974"/>
        <v>-0.66070541813728312</v>
      </c>
      <c r="P209" s="16">
        <f>IFERROR(P177/K177*100-100,"")</f>
        <v>6.9550089777564779</v>
      </c>
      <c r="Q209" s="16">
        <f>IFERROR(Q177/O177*100-100,"")</f>
        <v>13.910612428875396</v>
      </c>
      <c r="R209" s="16" t="str">
        <f>IFERROR(R177/Q177*100-100,"")</f>
        <v/>
      </c>
      <c r="S209" s="16" t="str">
        <f t="shared" ref="S209:T209" si="975">IFERROR(S177/R177*100-100,"")</f>
        <v/>
      </c>
      <c r="T209" s="16">
        <f t="shared" si="975"/>
        <v>-3.5900595240775033</v>
      </c>
      <c r="U209" s="16" t="str">
        <f>IFERROR(U177/P177*100-100,"")</f>
        <v/>
      </c>
      <c r="V209" s="16">
        <f>IFERROR(V177/T177*100-100,"")</f>
        <v>-1.4386832661532054</v>
      </c>
      <c r="W209" s="16">
        <f>IFERROR(W177/V177*100-100,"")</f>
        <v>0.74078229790610806</v>
      </c>
      <c r="X209" s="16">
        <f t="shared" ref="X209:Y209" si="976">IFERROR(X177/W177*100-100,"")</f>
        <v>-1.4034578665910402</v>
      </c>
      <c r="Y209" s="16">
        <f t="shared" si="976"/>
        <v>5.7120396495303254</v>
      </c>
      <c r="Z209" s="16" t="str">
        <f>IFERROR(Z177/U177*100-100,"")</f>
        <v/>
      </c>
      <c r="AA209" s="16">
        <f>IFERROR(AA177/Y177*100-100,"")</f>
        <v>-6.1636627231278567</v>
      </c>
      <c r="AB209" s="16">
        <f>IFERROR(AB177/AA177*100-100,"")</f>
        <v>2.4957223230613721</v>
      </c>
      <c r="AC209" s="16">
        <f t="shared" ref="AC209:AD209" si="977">IFERROR(AC177/AB177*100-100,"")</f>
        <v>2.6515728304577664</v>
      </c>
      <c r="AD209" s="16">
        <f t="shared" si="977"/>
        <v>1.6095841799116215</v>
      </c>
      <c r="AE209" s="16">
        <f>IFERROR(AE177/Z177*100-100,"")</f>
        <v>0.96087165720464895</v>
      </c>
      <c r="AF209" s="16">
        <f>IFERROR(AF177/AD177*100-100,"")</f>
        <v>0.87036441664398012</v>
      </c>
      <c r="AG209" s="16">
        <f>IFERROR(AG177/AF177*100-100,"")</f>
        <v>1.3423348160876145</v>
      </c>
      <c r="AH209" s="16">
        <f t="shared" ref="AH209:AI209" si="978">IFERROR(AH177/AG177*100-100,"")</f>
        <v>1.3895809745913681</v>
      </c>
      <c r="AI209" s="16">
        <f t="shared" si="978"/>
        <v>0.40193395303487023</v>
      </c>
      <c r="AJ209" s="16">
        <f>IFERROR(AJ177/AE177*100-100,"")</f>
        <v>5.7867339438911927</v>
      </c>
      <c r="AK209" s="16">
        <f>IFERROR(AK177/AI177*100-100,"")</f>
        <v>1.9249747199492191</v>
      </c>
      <c r="AL209" s="16">
        <f>IFERROR(AL177/AK177*100-100,"")</f>
        <v>-0.10664462521953055</v>
      </c>
      <c r="AM209" s="16">
        <f t="shared" ref="AM209:AN209" si="979">IFERROR(AM177/AL177*100-100,"")</f>
        <v>0.98528516366233987</v>
      </c>
      <c r="AN209" s="16">
        <f t="shared" si="979"/>
        <v>1.967002833672467</v>
      </c>
      <c r="AO209" s="16">
        <f>IFERROR(AO177/AJ177*100-100,"")</f>
        <v>4.1875906095065289</v>
      </c>
      <c r="AP209" s="16">
        <f>IFERROR(AP177/AN177*100-100,"")</f>
        <v>1.1576715134564779</v>
      </c>
      <c r="AQ209" s="16">
        <f>IFERROR(AQ177/AP177*100-100,"")</f>
        <v>2.4419103673235725</v>
      </c>
      <c r="AR209" s="16">
        <f t="shared" ref="AR209:AS209" si="980">IFERROR(AR177/AQ177*100-100,"")</f>
        <v>2.0982977262875835</v>
      </c>
      <c r="AS209" s="16">
        <f t="shared" si="980"/>
        <v>0.61993532173391941</v>
      </c>
      <c r="AT209" s="16">
        <f>IFERROR(AT177/AO177*100-100,"")</f>
        <v>6.3232370947510219</v>
      </c>
      <c r="AU209" s="16">
        <f>IFERROR(AU177/AS177*100-100,"")</f>
        <v>0.20658948037417701</v>
      </c>
      <c r="AV209" s="16">
        <f>IFERROR(AV177/AU177*100-100,"")</f>
        <v>1.3424904949027194</v>
      </c>
      <c r="AW209" s="16">
        <f t="shared" ref="AW209:AX209" si="981">IFERROR(AW177/AV177*100-100,"")</f>
        <v>0.1627190884384504</v>
      </c>
      <c r="AX209" s="16">
        <f t="shared" si="981"/>
        <v>0.23175178946375752</v>
      </c>
      <c r="AY209" s="16">
        <f>IFERROR(AY177/AT177*100-100,"")</f>
        <v>3.3884690019591091</v>
      </c>
      <c r="AZ209" s="16">
        <f>IFERROR(AZ177/AX177*100-100,"")</f>
        <v>6.8772223481758488E-2</v>
      </c>
      <c r="BA209" s="16">
        <f>IFERROR(BA177/AZ177*100-100,"")</f>
        <v>1.5743537902510525</v>
      </c>
      <c r="BB209" s="16">
        <f t="shared" ref="BB209:BC209" si="982">IFERROR(BB177/BA177*100-100,"")</f>
        <v>0.94194137330138972</v>
      </c>
      <c r="BC209" s="16">
        <f t="shared" si="982"/>
        <v>0.24647978622689948</v>
      </c>
      <c r="BD209" s="16">
        <f>IFERROR(BD177/AY177*100-100,"")</f>
        <v>2.4248252579016452</v>
      </c>
      <c r="BE209" s="16">
        <f>IFERROR(BE177/BC177*100-100,"")</f>
        <v>1.5857944226349758</v>
      </c>
      <c r="BF209" s="16">
        <f>IFERROR(BF177/BE177*100-100,"")</f>
        <v>6.7995372478369944</v>
      </c>
      <c r="BG209" s="16">
        <f t="shared" ref="BG209:BH209" si="983">IFERROR(BG177/BF177*100-100,"")</f>
        <v>3.5049120851737428</v>
      </c>
      <c r="BH209" s="16">
        <f t="shared" si="983"/>
        <v>5.3444978647149526</v>
      </c>
      <c r="BI209" s="16">
        <f>IFERROR(BI177/BD177*100-100,"")</f>
        <v>11.662178813500731</v>
      </c>
      <c r="BJ209" s="16">
        <f>IFERROR(BJ177/BH177*100-100,"")</f>
        <v>-5.1003293832721823</v>
      </c>
      <c r="BK209" s="16">
        <f>IFERROR(BK177/BJ177*100-100,"")</f>
        <v>0.69869505000414733</v>
      </c>
      <c r="BL209" s="16">
        <f t="shared" ref="BL209:BM209" si="984">IFERROR(BL177/BK177*100-100,"")</f>
        <v>1.3373366600738734</v>
      </c>
      <c r="BM209" s="16">
        <f t="shared" si="984"/>
        <v>-3.6547905138286865</v>
      </c>
      <c r="BN209" s="16">
        <f>IFERROR(BN177/BI177*100-100,"")</f>
        <v>1.654111617882819</v>
      </c>
      <c r="BO209" s="16">
        <f>IFERROR(BO177/BM177*100-100,"")</f>
        <v>2.2630117420429769</v>
      </c>
      <c r="BP209" s="16">
        <f>IFERROR(BP177/BO177*100-100,"")</f>
        <v>1.8273153642769557</v>
      </c>
      <c r="BQ209" s="16">
        <f t="shared" ref="BQ209:BR209" si="985">IFERROR(BQ177/BP177*100-100,"")</f>
        <v>-1.5593544655945522</v>
      </c>
      <c r="BR209" s="16">
        <f t="shared" si="985"/>
        <v>2.3198100849015475</v>
      </c>
      <c r="BS209" s="16">
        <f>IFERROR(BS177/BN177*100-100,"")</f>
        <v>1.8919462821707782</v>
      </c>
      <c r="BT209" s="16">
        <f>IFERROR(BT177/BR177*100-100,"")</f>
        <v>0.33209634278850331</v>
      </c>
      <c r="BU209" s="16">
        <f>IFERROR(BU177/BT177*100-100,"")</f>
        <v>0.4648221560093333</v>
      </c>
      <c r="BV209" s="16">
        <f t="shared" ref="BV209:BW209" si="986">IFERROR(BV177/BU177*100-100,"")</f>
        <v>0.47592917107172639</v>
      </c>
      <c r="BW209" s="16">
        <f t="shared" si="986"/>
        <v>-2.8473387490175526</v>
      </c>
      <c r="BX209" s="16">
        <f>IFERROR(BX177/BS177*100-100,"")</f>
        <v>1.0157840186373761</v>
      </c>
      <c r="BY209" s="16">
        <f>IFERROR(BY177/BW177*100-100,"")</f>
        <v>1.4435880289616279</v>
      </c>
      <c r="BZ209" s="16">
        <f>IFERROR(BZ177/BY177*100-100,"")</f>
        <v>0.86540722447256258</v>
      </c>
      <c r="CA209" s="16">
        <f t="shared" ref="CA209:CB209" si="987">IFERROR(CA177/BZ177*100-100,"")</f>
        <v>0.384777760122617</v>
      </c>
      <c r="CB209" s="16">
        <f t="shared" si="987"/>
        <v>9.3166568439556841E-2</v>
      </c>
      <c r="CC209" s="16">
        <f>IFERROR(CC177/BX177*100-100,"")</f>
        <v>0.85150667831877058</v>
      </c>
      <c r="CD209" s="16">
        <f>IFERROR(CD177/CB177*100-100,"")</f>
        <v>1.263342511697104</v>
      </c>
      <c r="CE209" s="16">
        <f>IFERROR(CE177/CD177*100-100,"")</f>
        <v>0.44262832690962739</v>
      </c>
      <c r="CF209" s="16">
        <f t="shared" ref="CF209:CG209" si="988">IFERROR(CF177/CE177*100-100,"")</f>
        <v>-0.35420489067050198</v>
      </c>
      <c r="CG209" s="16">
        <f t="shared" si="988"/>
        <v>-0.30357544080736432</v>
      </c>
      <c r="CH209" s="16">
        <f>IFERROR(CH177/CC177*100-100,"")</f>
        <v>1.6751519083759234</v>
      </c>
      <c r="CI209" s="16">
        <f>IFERROR(CI177/CG177*100-100,"")</f>
        <v>1.4099632733057774</v>
      </c>
      <c r="CJ209" s="16">
        <f>IFERROR(CJ177/CI177*100-100,"")</f>
        <v>1.5191542729015026</v>
      </c>
      <c r="CK209" s="16">
        <f t="shared" ref="CK209:CL209" si="989">IFERROR(CK177/CJ177*100-100,"")</f>
        <v>0.85241153771147538</v>
      </c>
      <c r="CL209" s="16">
        <f t="shared" si="989"/>
        <v>0.53518159197803072</v>
      </c>
      <c r="CM209" s="16">
        <f>IFERROR(CM177/CH177*100-100,"")</f>
        <v>3.0165731636058837</v>
      </c>
      <c r="CN209" s="16" t="str">
        <f>IFERROR(CN177/CL177*100-100,"")</f>
        <v/>
      </c>
      <c r="CO209" s="16" t="str">
        <f>IFERROR(CO177/CN177*100-100,"")</f>
        <v/>
      </c>
      <c r="CP209" s="16" t="str">
        <f t="shared" ref="CP209:CQ209" si="990">IFERROR(CP177/CO177*100-100,"")</f>
        <v/>
      </c>
      <c r="CQ209" s="16" t="str">
        <f t="shared" si="990"/>
        <v/>
      </c>
      <c r="CR209" s="16" t="str">
        <f>IFERROR(CR177/CM177*100-100,"")</f>
        <v/>
      </c>
    </row>
    <row r="210" spans="1:96" s="9" customFormat="1" ht="15" x14ac:dyDescent="0.4">
      <c r="A210" s="25"/>
      <c r="B210" s="42"/>
      <c r="C210" s="22"/>
      <c r="D210" s="22"/>
      <c r="E210" s="22"/>
      <c r="F210" s="42"/>
      <c r="G210" s="22"/>
      <c r="H210" s="22"/>
      <c r="I210" s="22"/>
      <c r="J210" s="22"/>
      <c r="K210" s="24"/>
      <c r="L210" s="22"/>
      <c r="M210" s="22"/>
      <c r="N210" s="22"/>
      <c r="O210" s="22"/>
      <c r="P210" s="24"/>
      <c r="Q210" s="22"/>
      <c r="R210" s="22"/>
      <c r="S210" s="22"/>
      <c r="T210" s="22"/>
      <c r="U210" s="24"/>
      <c r="V210" s="22"/>
      <c r="W210" s="22"/>
      <c r="X210" s="22"/>
      <c r="Y210" s="22"/>
      <c r="Z210" s="24"/>
      <c r="AA210" s="22"/>
      <c r="AB210" s="22"/>
      <c r="AC210" s="22"/>
      <c r="AD210" s="22"/>
      <c r="AE210" s="24"/>
      <c r="AF210" s="22"/>
      <c r="AG210" s="22"/>
      <c r="AH210" s="22"/>
      <c r="AI210" s="22"/>
      <c r="AJ210" s="24"/>
      <c r="AK210" s="22"/>
      <c r="AL210" s="22"/>
      <c r="AM210" s="22"/>
      <c r="AN210" s="22"/>
      <c r="AO210" s="24"/>
      <c r="AP210" s="22"/>
      <c r="AQ210" s="22"/>
      <c r="AR210" s="22"/>
      <c r="AS210" s="22"/>
      <c r="AT210" s="24"/>
      <c r="AU210" s="22"/>
      <c r="AV210" s="22"/>
      <c r="AW210" s="22"/>
      <c r="AX210" s="22"/>
      <c r="AY210" s="24"/>
      <c r="AZ210" s="22"/>
      <c r="BA210" s="22"/>
      <c r="BB210" s="22"/>
      <c r="BC210" s="22"/>
      <c r="BD210" s="24"/>
      <c r="BE210" s="22"/>
      <c r="BF210" s="22"/>
      <c r="BG210" s="22"/>
      <c r="BH210" s="22"/>
      <c r="BI210" s="24"/>
      <c r="BJ210" s="22"/>
      <c r="BK210" s="22"/>
      <c r="BL210" s="22"/>
      <c r="BM210" s="22"/>
      <c r="BN210" s="24"/>
      <c r="BO210" s="22"/>
      <c r="BP210" s="22"/>
      <c r="BQ210" s="22"/>
      <c r="BR210" s="22"/>
      <c r="BS210" s="24"/>
      <c r="BT210" s="22"/>
      <c r="BU210" s="22"/>
      <c r="BV210" s="22"/>
      <c r="BW210" s="22"/>
      <c r="BX210" s="24"/>
      <c r="BY210" s="22"/>
      <c r="BZ210" s="22"/>
      <c r="CA210" s="22"/>
      <c r="CB210" s="22"/>
      <c r="CC210" s="24"/>
      <c r="CD210" s="22"/>
      <c r="CE210" s="22"/>
      <c r="CF210" s="22"/>
      <c r="CG210" s="22"/>
      <c r="CH210" s="24"/>
      <c r="CI210" s="22"/>
      <c r="CJ210" s="22"/>
      <c r="CK210" s="22"/>
      <c r="CL210" s="22"/>
      <c r="CM210" s="24"/>
      <c r="CN210" s="22"/>
      <c r="CO210" s="22"/>
      <c r="CP210" s="22"/>
      <c r="CQ210" s="22"/>
      <c r="CR210" s="24"/>
    </row>
    <row r="211" spans="1:96" s="17" customFormat="1" ht="15" x14ac:dyDescent="0.4">
      <c r="A211" s="15" t="s">
        <v>89</v>
      </c>
      <c r="B211" s="37"/>
      <c r="C211" s="16">
        <f>IFERROR(C179/B179*100-100,"")</f>
        <v>0.68452523730128689</v>
      </c>
      <c r="D211" s="16">
        <f t="shared" ref="D211:E211" si="991">IFERROR(D179/C179*100-100,"")</f>
        <v>1.1526305269023993</v>
      </c>
      <c r="E211" s="16">
        <f t="shared" si="991"/>
        <v>0.6720821747908019</v>
      </c>
      <c r="F211" s="37"/>
      <c r="G211" s="16">
        <f>IFERROR(G179/E179*100-100,"")</f>
        <v>9.0629127948815835</v>
      </c>
      <c r="H211" s="16">
        <f>IFERROR(H179/G179*100-100,"")</f>
        <v>3.0784328739134281</v>
      </c>
      <c r="I211" s="16">
        <f t="shared" ref="I211:J211" si="992">IFERROR(I179/H179*100-100,"")</f>
        <v>3.7733638280424771</v>
      </c>
      <c r="J211" s="16">
        <f t="shared" si="992"/>
        <v>2.96376910099616</v>
      </c>
      <c r="K211" s="16">
        <f>IFERROR(K179/F179*100-100,"")</f>
        <v>16.134905863298442</v>
      </c>
      <c r="L211" s="16">
        <f>IFERROR(L179/J179*100-100,"")</f>
        <v>5.1028484267678209</v>
      </c>
      <c r="M211" s="16">
        <f>IFERROR(M179/L179*100-100,"")</f>
        <v>-8.9111095542619978E-2</v>
      </c>
      <c r="N211" s="16">
        <f t="shared" ref="N211:O211" si="993">IFERROR(N179/M179*100-100,"")</f>
        <v>-0.1338154518911665</v>
      </c>
      <c r="O211" s="16">
        <f t="shared" si="993"/>
        <v>0.16258200603238038</v>
      </c>
      <c r="P211" s="16">
        <f>IFERROR(P179/K179*100-100,"")</f>
        <v>9.9397019131943267</v>
      </c>
      <c r="Q211" s="16">
        <f>IFERROR(Q179/O179*100-100,"")</f>
        <v>2.4558483881990583</v>
      </c>
      <c r="R211" s="16" t="str">
        <f>IFERROR(R179/Q179*100-100,"")</f>
        <v/>
      </c>
      <c r="S211" s="16" t="str">
        <f t="shared" ref="S211:T211" si="994">IFERROR(S179/R179*100-100,"")</f>
        <v/>
      </c>
      <c r="T211" s="16">
        <f t="shared" si="994"/>
        <v>1.0876117047974105</v>
      </c>
      <c r="U211" s="16" t="str">
        <f>IFERROR(U179/P179*100-100,"")</f>
        <v/>
      </c>
      <c r="V211" s="16">
        <f>IFERROR(V179/T179*100-100,"")</f>
        <v>0.6211149641243594</v>
      </c>
      <c r="W211" s="16">
        <f>IFERROR(W179/V179*100-100,"")</f>
        <v>4.329176406924006</v>
      </c>
      <c r="X211" s="16">
        <f t="shared" ref="X211:Y211" si="995">IFERROR(X179/W179*100-100,"")</f>
        <v>4.117685096114073</v>
      </c>
      <c r="Y211" s="16">
        <f t="shared" si="995"/>
        <v>2.4977661296786238</v>
      </c>
      <c r="Z211" s="16" t="str">
        <f>IFERROR(Z179/U179*100-100,"")</f>
        <v/>
      </c>
      <c r="AA211" s="16">
        <f>IFERROR(AA179/Y179*100-100,"")</f>
        <v>-4.2846491453717448</v>
      </c>
      <c r="AB211" s="16">
        <f>IFERROR(AB179/AA179*100-100,"")</f>
        <v>3.8836530896951871</v>
      </c>
      <c r="AC211" s="16">
        <f t="shared" ref="AC211:AD211" si="996">IFERROR(AC179/AB179*100-100,"")</f>
        <v>2.9795663198790123</v>
      </c>
      <c r="AD211" s="16">
        <f t="shared" si="996"/>
        <v>-0.50590986902344071</v>
      </c>
      <c r="AE211" s="16">
        <f>IFERROR(AE179/Z179*100-100,"")</f>
        <v>4.6338182451372063</v>
      </c>
      <c r="AF211" s="16">
        <f>IFERROR(AF179/AD179*100-100,"")</f>
        <v>1.3519087225854634</v>
      </c>
      <c r="AG211" s="16">
        <f>IFERROR(AG179/AF179*100-100,"")</f>
        <v>0.83354324977847227</v>
      </c>
      <c r="AH211" s="16">
        <f t="shared" ref="AH211:AI211" si="997">IFERROR(AH179/AG179*100-100,"")</f>
        <v>-6.9095997097434747E-2</v>
      </c>
      <c r="AI211" s="16">
        <f t="shared" si="997"/>
        <v>-0.62109828984966953</v>
      </c>
      <c r="AJ211" s="16">
        <f>IFERROR(AJ179/AE179*100-100,"")</f>
        <v>3.8674726513178115</v>
      </c>
      <c r="AK211" s="16">
        <f>IFERROR(AK179/AI179*100-100,"")</f>
        <v>0.98578077648446083</v>
      </c>
      <c r="AL211" s="16">
        <f>IFERROR(AL179/AK179*100-100,"")</f>
        <v>0.98276737474813558</v>
      </c>
      <c r="AM211" s="16">
        <f t="shared" ref="AM211:AN211" si="998">IFERROR(AM179/AL179*100-100,"")</f>
        <v>-3.8679554304891894E-2</v>
      </c>
      <c r="AN211" s="16">
        <f t="shared" si="998"/>
        <v>1.4899753308490489</v>
      </c>
      <c r="AO211" s="16">
        <f>IFERROR(AO179/AJ179*100-100,"")</f>
        <v>1.8610903116862829</v>
      </c>
      <c r="AP211" s="16">
        <f>IFERROR(AP179/AN179*100-100,"")</f>
        <v>1.2626745076077555</v>
      </c>
      <c r="AQ211" s="16">
        <f>IFERROR(AQ179/AP179*100-100,"")</f>
        <v>1.9412379130393305</v>
      </c>
      <c r="AR211" s="16">
        <f t="shared" ref="AR211:AS211" si="999">IFERROR(AR179/AQ179*100-100,"")</f>
        <v>1.7960934554594417</v>
      </c>
      <c r="AS211" s="16">
        <f t="shared" si="999"/>
        <v>0.69973580877027075</v>
      </c>
      <c r="AT211" s="16">
        <f>IFERROR(AT179/AO179*100-100,"")</f>
        <v>5.2676413484054478</v>
      </c>
      <c r="AU211" s="16">
        <f>IFERROR(AU179/AS179*100-100,"")</f>
        <v>1.2130886821998956</v>
      </c>
      <c r="AV211" s="16">
        <f>IFERROR(AV179/AU179*100-100,"")</f>
        <v>1.0340596955228847</v>
      </c>
      <c r="AW211" s="16">
        <f t="shared" ref="AW211:AX211" si="1000">IFERROR(AW179/AV179*100-100,"")</f>
        <v>1.5222258617460795</v>
      </c>
      <c r="AX211" s="16">
        <f t="shared" si="1000"/>
        <v>1.2052801269996536</v>
      </c>
      <c r="AY211" s="16">
        <f>IFERROR(AY179/AT179*100-100,"")</f>
        <v>5.0248451310858968</v>
      </c>
      <c r="AZ211" s="16">
        <f>IFERROR(AZ179/AX179*100-100,"")</f>
        <v>0.18193892253199806</v>
      </c>
      <c r="BA211" s="16">
        <f>IFERROR(BA179/AZ179*100-100,"")</f>
        <v>0.72789939404597703</v>
      </c>
      <c r="BB211" s="16">
        <f t="shared" ref="BB211:BC211" si="1001">IFERROR(BB179/BA179*100-100,"")</f>
        <v>0.49349733966954545</v>
      </c>
      <c r="BC211" s="16">
        <f t="shared" si="1001"/>
        <v>1.0996225058337927</v>
      </c>
      <c r="BD211" s="16">
        <f>IFERROR(BD179/AY179*100-100,"")</f>
        <v>3.1528458352629798</v>
      </c>
      <c r="BE211" s="16">
        <f>IFERROR(BE179/BC179*100-100,"")</f>
        <v>1.4120751110222756</v>
      </c>
      <c r="BF211" s="16">
        <f>IFERROR(BF179/BE179*100-100,"")</f>
        <v>0.8637787588048127</v>
      </c>
      <c r="BG211" s="16">
        <f t="shared" ref="BG211:BH211" si="1002">IFERROR(BG179/BF179*100-100,"")</f>
        <v>0.97385233337696775</v>
      </c>
      <c r="BH211" s="16">
        <f t="shared" si="1002"/>
        <v>0.51899766127539237</v>
      </c>
      <c r="BI211" s="16">
        <f>IFERROR(BI179/BD179*100-100,"")</f>
        <v>4.0095517270768823</v>
      </c>
      <c r="BJ211" s="16">
        <f>IFERROR(BJ179/BH179*100-100,"")</f>
        <v>1.1404392514482851</v>
      </c>
      <c r="BK211" s="16">
        <f>IFERROR(BK179/BJ179*100-100,"")</f>
        <v>0.45786891513755279</v>
      </c>
      <c r="BL211" s="16">
        <f t="shared" ref="BL211:BM211" si="1003">IFERROR(BL179/BK179*100-100,"")</f>
        <v>0.54221486090115434</v>
      </c>
      <c r="BM211" s="16">
        <f t="shared" si="1003"/>
        <v>-0.34563094733766775</v>
      </c>
      <c r="BN211" s="16">
        <f>IFERROR(BN179/BI179*100-100,"")</f>
        <v>2.7499190151439592</v>
      </c>
      <c r="BO211" s="16">
        <f>IFERROR(BO179/BM179*100-100,"")</f>
        <v>-7.8308652350287389E-2</v>
      </c>
      <c r="BP211" s="16">
        <f>IFERROR(BP179/BO179*100-100,"")</f>
        <v>1.8625437746565154</v>
      </c>
      <c r="BQ211" s="16">
        <f t="shared" ref="BQ211:BR211" si="1004">IFERROR(BQ179/BP179*100-100,"")</f>
        <v>0.38920237789774603</v>
      </c>
      <c r="BR211" s="16">
        <f t="shared" si="1004"/>
        <v>0.74630701484552731</v>
      </c>
      <c r="BS211" s="16">
        <f>IFERROR(BS179/BN179*100-100,"")</f>
        <v>1.8563630757118688</v>
      </c>
      <c r="BT211" s="16">
        <f>IFERROR(BT179/BR179*100-100,"")</f>
        <v>6.9956504347914006E-2</v>
      </c>
      <c r="BU211" s="16">
        <f>IFERROR(BU179/BT179*100-100,"")</f>
        <v>0.74351008002750518</v>
      </c>
      <c r="BV211" s="16">
        <f t="shared" ref="BV211:BW211" si="1005">IFERROR(BV179/BU179*100-100,"")</f>
        <v>0.57071875692280116</v>
      </c>
      <c r="BW211" s="16">
        <f t="shared" si="1005"/>
        <v>1.1044027808036532</v>
      </c>
      <c r="BX211" s="16">
        <f>IFERROR(BX179/BS179*100-100,"")</f>
        <v>2.4374164329725687</v>
      </c>
      <c r="BY211" s="16">
        <f>IFERROR(BY179/BW179*100-100,"")</f>
        <v>-1.3928451790653185</v>
      </c>
      <c r="BZ211" s="16">
        <f>IFERROR(BZ179/BY179*100-100,"")</f>
        <v>1.1092209376688942</v>
      </c>
      <c r="CA211" s="16">
        <f t="shared" ref="CA211:CB211" si="1006">IFERROR(CA179/BZ179*100-100,"")</f>
        <v>0.80397390274376335</v>
      </c>
      <c r="CB211" s="16">
        <f t="shared" si="1006"/>
        <v>0.5210981093077578</v>
      </c>
      <c r="CC211" s="16">
        <f>IFERROR(CC179/BX179*100-100,"")</f>
        <v>1.2439408406866903</v>
      </c>
      <c r="CD211" s="16">
        <f>IFERROR(CD179/CB179*100-100,"")</f>
        <v>0.16975107166736336</v>
      </c>
      <c r="CE211" s="16">
        <f>IFERROR(CE179/CD179*100-100,"")</f>
        <v>0.54546718310871256</v>
      </c>
      <c r="CF211" s="16">
        <f t="shared" ref="CF211:CG213" si="1007">IFERROR(CF179/CE179*100-100,"")</f>
        <v>0.5696665408363657</v>
      </c>
      <c r="CG211" s="16">
        <f t="shared" si="1007"/>
        <v>0.6488360410841949</v>
      </c>
      <c r="CH211" s="16">
        <f>IFERROR(CH179/CC179*100-100,"")</f>
        <v>2.100414657567967</v>
      </c>
      <c r="CI211" s="16">
        <f>IFERROR(CI179/CG179*100-100,"")</f>
        <v>0.37480188580451568</v>
      </c>
      <c r="CJ211" s="16">
        <f>IFERROR(CJ179/CI179*100-100,"")</f>
        <v>0.56778253626548292</v>
      </c>
      <c r="CK211" s="16">
        <f t="shared" ref="CK211:CL213" si="1008">IFERROR(CK179/CJ179*100-100,"")</f>
        <v>0.34393310942388666</v>
      </c>
      <c r="CL211" s="16">
        <f t="shared" si="1008"/>
        <v>0.31464765444451359</v>
      </c>
      <c r="CM211" s="16">
        <f>IFERROR(CM179/CH179*100-100,"")</f>
        <v>1.9617702003297097</v>
      </c>
      <c r="CN211" s="16" t="str">
        <f>IFERROR(CN179/CL179*100-100,"")</f>
        <v/>
      </c>
      <c r="CO211" s="16" t="str">
        <f>IFERROR(CO179/CN179*100-100,"")</f>
        <v/>
      </c>
      <c r="CP211" s="16" t="str">
        <f t="shared" ref="CP211:CQ213" si="1009">IFERROR(CP179/CO179*100-100,"")</f>
        <v/>
      </c>
      <c r="CQ211" s="16" t="str">
        <f t="shared" si="1009"/>
        <v/>
      </c>
      <c r="CR211" s="16" t="str">
        <f>IFERROR(CR179/CM179*100-100,"")</f>
        <v/>
      </c>
    </row>
    <row r="212" spans="1:96" s="9" customFormat="1" ht="15" x14ac:dyDescent="0.4">
      <c r="A212" s="18" t="s">
        <v>90</v>
      </c>
      <c r="B212" s="38"/>
      <c r="C212" s="39">
        <f t="shared" ref="C212:E213" si="1010">IFERROR(C180/B180*100-100,"")</f>
        <v>1.5584400060385235</v>
      </c>
      <c r="D212" s="39">
        <f t="shared" si="1010"/>
        <v>0.66040965938780971</v>
      </c>
      <c r="E212" s="39">
        <f t="shared" si="1010"/>
        <v>1.2910146642542912</v>
      </c>
      <c r="F212" s="38"/>
      <c r="G212" s="39">
        <f t="shared" ref="G212:G213" si="1011">IFERROR(G180/E180*100-100,"")</f>
        <v>1.4237487355416789</v>
      </c>
      <c r="H212" s="39">
        <f t="shared" ref="H212:J213" si="1012">IFERROR(H180/G180*100-100,"")</f>
        <v>8.5525823026005128</v>
      </c>
      <c r="I212" s="39">
        <f t="shared" si="1012"/>
        <v>6.572613568125746</v>
      </c>
      <c r="J212" s="39">
        <f t="shared" si="1012"/>
        <v>6.0560978278588919</v>
      </c>
      <c r="K212" s="40">
        <f t="shared" ref="K212:K213" si="1013">IFERROR(K180/F180*100-100,"")</f>
        <v>15.722985866732913</v>
      </c>
      <c r="L212" s="39">
        <f t="shared" ref="L212:L213" si="1014">IFERROR(L180/J180*100-100,"")</f>
        <v>5.22745765663295</v>
      </c>
      <c r="M212" s="39">
        <f t="shared" ref="M212:O213" si="1015">IFERROR(M180/L180*100-100,"")</f>
        <v>-0.22296290721614298</v>
      </c>
      <c r="N212" s="39">
        <f t="shared" si="1015"/>
        <v>-0.19312370209715368</v>
      </c>
      <c r="O212" s="39">
        <f t="shared" si="1015"/>
        <v>0.18527838895579407</v>
      </c>
      <c r="P212" s="40">
        <f t="shared" ref="P212:P213" si="1016">IFERROR(P180/K180*100-100,"")</f>
        <v>14.75050003243193</v>
      </c>
      <c r="Q212" s="39">
        <f t="shared" ref="Q212:Q213" si="1017">IFERROR(Q180/O180*100-100,"")</f>
        <v>-0.84642195865069425</v>
      </c>
      <c r="R212" s="39" t="str">
        <f t="shared" ref="R212:T213" si="1018">IFERROR(R180/Q180*100-100,"")</f>
        <v/>
      </c>
      <c r="S212" s="39" t="str">
        <f t="shared" si="1018"/>
        <v/>
      </c>
      <c r="T212" s="39">
        <f t="shared" si="1018"/>
        <v>-0.96033823016016129</v>
      </c>
      <c r="U212" s="40" t="str">
        <f t="shared" ref="U212:U213" si="1019">IFERROR(U180/P180*100-100,"")</f>
        <v/>
      </c>
      <c r="V212" s="39">
        <f t="shared" ref="V212:V213" si="1020">IFERROR(V180/T180*100-100,"")</f>
        <v>4.2036849310214279</v>
      </c>
      <c r="W212" s="39">
        <f t="shared" ref="W212:Y213" si="1021">IFERROR(W180/V180*100-100,"")</f>
        <v>1.5003910203775774</v>
      </c>
      <c r="X212" s="39">
        <f t="shared" si="1021"/>
        <v>4.0376829758445751</v>
      </c>
      <c r="Y212" s="39">
        <f t="shared" si="1021"/>
        <v>7.844417615090066</v>
      </c>
      <c r="Z212" s="40" t="str">
        <f t="shared" ref="Z212:Z213" si="1022">IFERROR(Z180/U180*100-100,"")</f>
        <v/>
      </c>
      <c r="AA212" s="39">
        <f t="shared" ref="AA212:AA213" si="1023">IFERROR(AA180/Y180*100-100,"")</f>
        <v>-6.2545892741460136</v>
      </c>
      <c r="AB212" s="39">
        <f t="shared" ref="AB212:AD213" si="1024">IFERROR(AB180/AA180*100-100,"")</f>
        <v>3.6165509297372296</v>
      </c>
      <c r="AC212" s="39">
        <f t="shared" si="1024"/>
        <v>3.0750502508492872</v>
      </c>
      <c r="AD212" s="39">
        <f t="shared" si="1024"/>
        <v>-0.23329838790981228</v>
      </c>
      <c r="AE212" s="40">
        <f t="shared" ref="AE212:AE213" si="1025">IFERROR(AE180/Z180*100-100,"")</f>
        <v>5.6184042344410727</v>
      </c>
      <c r="AF212" s="39">
        <f t="shared" ref="AF212:AF213" si="1026">IFERROR(AF180/AD180*100-100,"")</f>
        <v>1.402464142474912</v>
      </c>
      <c r="AG212" s="39">
        <f t="shared" ref="AG212:AI213" si="1027">IFERROR(AG180/AF180*100-100,"")</f>
        <v>-0.50664155900572894</v>
      </c>
      <c r="AH212" s="39">
        <f t="shared" si="1027"/>
        <v>-0.43130777952930544</v>
      </c>
      <c r="AI212" s="39">
        <f t="shared" si="1027"/>
        <v>-0.99984637722178604</v>
      </c>
      <c r="AJ212" s="40">
        <f t="shared" ref="AJ212:AJ213" si="1028">IFERROR(AJ180/AE180*100-100,"")</f>
        <v>2.7214939221668999</v>
      </c>
      <c r="AK212" s="39">
        <f t="shared" ref="AK212:AK213" si="1029">IFERROR(AK180/AI180*100-100,"")</f>
        <v>1.5209314858962557</v>
      </c>
      <c r="AL212" s="39">
        <f t="shared" ref="AL212:AN213" si="1030">IFERROR(AL180/AK180*100-100,"")</f>
        <v>0.9254263880168736</v>
      </c>
      <c r="AM212" s="39">
        <f t="shared" si="1030"/>
        <v>0.12706138176068293</v>
      </c>
      <c r="AN212" s="39">
        <f t="shared" si="1030"/>
        <v>1.0446144480509503</v>
      </c>
      <c r="AO212" s="40">
        <f t="shared" ref="AO212:AO213" si="1031">IFERROR(AO180/AJ180*100-100,"")</f>
        <v>1.5104290496065857</v>
      </c>
      <c r="AP212" s="39">
        <f t="shared" ref="AP212:AP213" si="1032">IFERROR(AP180/AN180*100-100,"")</f>
        <v>2.3757490289223284</v>
      </c>
      <c r="AQ212" s="39">
        <f t="shared" ref="AQ212:AS213" si="1033">IFERROR(AQ180/AP180*100-100,"")</f>
        <v>1.0786371541229585</v>
      </c>
      <c r="AR212" s="39">
        <f t="shared" si="1033"/>
        <v>1.030369458604639</v>
      </c>
      <c r="AS212" s="39">
        <f t="shared" si="1033"/>
        <v>0.85938835005543979</v>
      </c>
      <c r="AT212" s="40">
        <f t="shared" ref="AT212:AT213" si="1034">IFERROR(AT180/AO180*100-100,"")</f>
        <v>5.0865210838366437</v>
      </c>
      <c r="AU212" s="39">
        <f t="shared" ref="AU212:AU213" si="1035">IFERROR(AU180/AS180*100-100,"")</f>
        <v>1.2428736429397986</v>
      </c>
      <c r="AV212" s="39">
        <f t="shared" ref="AV212:AX213" si="1036">IFERROR(AV180/AU180*100-100,"")</f>
        <v>0.64761584340786271</v>
      </c>
      <c r="AW212" s="39">
        <f t="shared" si="1036"/>
        <v>1.7006584041223078</v>
      </c>
      <c r="AX212" s="39">
        <f t="shared" si="1036"/>
        <v>1.6232997696514104</v>
      </c>
      <c r="AY212" s="40">
        <f t="shared" ref="AY212:AY213" si="1037">IFERROR(AY180/AT180*100-100,"")</f>
        <v>4.5286504325302985</v>
      </c>
      <c r="AZ212" s="39">
        <f t="shared" ref="AZ212:AZ213" si="1038">IFERROR(AZ180/AX180*100-100,"")</f>
        <v>4.3439323555375609E-2</v>
      </c>
      <c r="BA212" s="39">
        <f t="shared" ref="BA212:BC213" si="1039">IFERROR(BA180/AZ180*100-100,"")</f>
        <v>0.24017929503763469</v>
      </c>
      <c r="BB212" s="39">
        <f t="shared" si="1039"/>
        <v>5.6575763392729073E-2</v>
      </c>
      <c r="BC212" s="39">
        <f t="shared" si="1039"/>
        <v>1.5207259755494817</v>
      </c>
      <c r="BD212" s="40">
        <f t="shared" ref="BD212:BD213" si="1040">IFERROR(BD180/AY180*100-100,"")</f>
        <v>2.8009583635384416</v>
      </c>
      <c r="BE212" s="39">
        <f t="shared" ref="BE212:BE213" si="1041">IFERROR(BE180/BC180*100-100,"")</f>
        <v>1.37726540114231</v>
      </c>
      <c r="BF212" s="39">
        <f t="shared" ref="BF212:BH213" si="1042">IFERROR(BF180/BE180*100-100,"")</f>
        <v>0.53043848629104673</v>
      </c>
      <c r="BG212" s="39">
        <f t="shared" si="1042"/>
        <v>1.0191272393245754</v>
      </c>
      <c r="BH212" s="39">
        <f t="shared" si="1042"/>
        <v>0.65649656997561578</v>
      </c>
      <c r="BI212" s="40">
        <f t="shared" ref="BI212:BI213" si="1043">IFERROR(BI180/BD180*100-100,"")</f>
        <v>3.7401718002861344</v>
      </c>
      <c r="BJ212" s="39">
        <f t="shared" ref="BJ212:BJ213" si="1044">IFERROR(BJ180/BH180*100-100,"")</f>
        <v>1.0988610840562387</v>
      </c>
      <c r="BK212" s="39">
        <f t="shared" ref="BK212:BM213" si="1045">IFERROR(BK180/BJ180*100-100,"")</f>
        <v>0.26098462985532933</v>
      </c>
      <c r="BL212" s="39">
        <f t="shared" si="1045"/>
        <v>0.95510413926417925</v>
      </c>
      <c r="BM212" s="39">
        <f t="shared" si="1045"/>
        <v>-0.31980174651756954</v>
      </c>
      <c r="BN212" s="40">
        <f t="shared" ref="BN212:BN213" si="1046">IFERROR(BN180/BI180*100-100,"")</f>
        <v>2.8305842740176104</v>
      </c>
      <c r="BO212" s="39">
        <f t="shared" ref="BO212:BO213" si="1047">IFERROR(BO180/BM180*100-100,"")</f>
        <v>9.1269647151847266E-2</v>
      </c>
      <c r="BP212" s="39">
        <f t="shared" ref="BP212:BR213" si="1048">IFERROR(BP180/BO180*100-100,"")</f>
        <v>2.3008139926403715</v>
      </c>
      <c r="BQ212" s="39">
        <f t="shared" si="1048"/>
        <v>3.3336994586719015E-2</v>
      </c>
      <c r="BR212" s="39">
        <f t="shared" si="1048"/>
        <v>1.0339416374673789</v>
      </c>
      <c r="BS212" s="40">
        <f t="shared" ref="BS212:BS213" si="1049">IFERROR(BS180/BN180*100-100,"")</f>
        <v>2.4517393660678835</v>
      </c>
      <c r="BT212" s="39">
        <f t="shared" ref="BT212:BT213" si="1050">IFERROR(BT180/BR180*100-100,"")</f>
        <v>0.36009058886384082</v>
      </c>
      <c r="BU212" s="39">
        <f t="shared" ref="BU212:BW213" si="1051">IFERROR(BU180/BT180*100-100,"")</f>
        <v>0.16714264629899844</v>
      </c>
      <c r="BV212" s="39">
        <f t="shared" si="1051"/>
        <v>0.27176093526415457</v>
      </c>
      <c r="BW212" s="39">
        <f t="shared" si="1051"/>
        <v>1.4288373274848283</v>
      </c>
      <c r="BX212" s="40">
        <f t="shared" ref="BX212:BX213" si="1052">IFERROR(BX180/BS180*100-100,"")</f>
        <v>2.3328093852211111</v>
      </c>
      <c r="BY212" s="39">
        <f t="shared" ref="BY212:BY213" si="1053">IFERROR(BY180/BW180*100-100,"")</f>
        <v>-8.3694969525510032E-2</v>
      </c>
      <c r="BZ212" s="39">
        <f t="shared" ref="BZ212:CB213" si="1054">IFERROR(BZ180/BY180*100-100,"")</f>
        <v>0.904861252877879</v>
      </c>
      <c r="CA212" s="39">
        <f t="shared" si="1054"/>
        <v>0.65442499574601243</v>
      </c>
      <c r="CB212" s="39">
        <f t="shared" si="1054"/>
        <v>0.68584943558762745</v>
      </c>
      <c r="CC212" s="40">
        <f t="shared" ref="CC212:CC213" si="1055">IFERROR(CC180/BX180*100-100,"")</f>
        <v>2.3427825419740458</v>
      </c>
      <c r="CD212" s="39">
        <f t="shared" ref="CD212:CD213" si="1056">IFERROR(CD180/CB180*100-100,"")</f>
        <v>2.1733390182475887E-2</v>
      </c>
      <c r="CE212" s="39">
        <f t="shared" ref="CE212:CE213" si="1057">IFERROR(CE180/CD180*100-100,"")</f>
        <v>0.73921210977789542</v>
      </c>
      <c r="CF212" s="39">
        <f t="shared" si="1007"/>
        <v>0.38068540498076686</v>
      </c>
      <c r="CG212" s="39">
        <f t="shared" si="1007"/>
        <v>0.8611331210696278</v>
      </c>
      <c r="CH212" s="40">
        <f t="shared" ref="CH212:CH213" si="1058">IFERROR(CH180/CC180*100-100,"")</f>
        <v>2.0601726286787851</v>
      </c>
      <c r="CI212" s="39">
        <f t="shared" ref="CI212:CI213" si="1059">IFERROR(CI180/CG180*100-100,"")</f>
        <v>4.9627709379706175E-2</v>
      </c>
      <c r="CJ212" s="39">
        <f t="shared" ref="CJ212:CJ213" si="1060">IFERROR(CJ180/CI180*100-100,"")</f>
        <v>0.4235239182432764</v>
      </c>
      <c r="CK212" s="39">
        <f t="shared" si="1008"/>
        <v>0.22514827075394805</v>
      </c>
      <c r="CL212" s="39">
        <f t="shared" si="1008"/>
        <v>0.46643266781742909</v>
      </c>
      <c r="CM212" s="40">
        <f t="shared" ref="CM212:CM213" si="1061">IFERROR(CM180/CH180*100-100,"")</f>
        <v>1.6140832142035038</v>
      </c>
      <c r="CN212" s="39" t="str">
        <f t="shared" ref="CN212:CN213" si="1062">IFERROR(CN180/CL180*100-100,"")</f>
        <v/>
      </c>
      <c r="CO212" s="39" t="str">
        <f t="shared" ref="CO212:CO213" si="1063">IFERROR(CO180/CN180*100-100,"")</f>
        <v/>
      </c>
      <c r="CP212" s="39" t="str">
        <f t="shared" si="1009"/>
        <v/>
      </c>
      <c r="CQ212" s="39" t="str">
        <f t="shared" si="1009"/>
        <v/>
      </c>
      <c r="CR212" s="40" t="str">
        <f t="shared" ref="CR212:CR213" si="1064">IFERROR(CR180/CM180*100-100,"")</f>
        <v/>
      </c>
    </row>
    <row r="213" spans="1:96" s="9" customFormat="1" ht="15" x14ac:dyDescent="0.4">
      <c r="A213" s="18" t="s">
        <v>91</v>
      </c>
      <c r="B213" s="41"/>
      <c r="C213" s="39">
        <f t="shared" si="1010"/>
        <v>-4.9437752952457004E-2</v>
      </c>
      <c r="D213" s="39">
        <f t="shared" si="1010"/>
        <v>1.8010247598390947</v>
      </c>
      <c r="E213" s="39">
        <f t="shared" si="1010"/>
        <v>0.16274057857692981</v>
      </c>
      <c r="F213" s="38"/>
      <c r="G213" s="39">
        <f t="shared" si="1011"/>
        <v>17.556642210243297</v>
      </c>
      <c r="H213" s="39">
        <f t="shared" si="1012"/>
        <v>-1.9525931114355188</v>
      </c>
      <c r="I213" s="39">
        <f t="shared" si="1012"/>
        <v>1.0301638499614825</v>
      </c>
      <c r="J213" s="39">
        <f t="shared" si="1012"/>
        <v>-0.66232296988067674</v>
      </c>
      <c r="K213" s="40">
        <f t="shared" si="1013"/>
        <v>17.396422879092867</v>
      </c>
      <c r="L213" s="39">
        <f t="shared" si="1014"/>
        <v>4.945101228626811</v>
      </c>
      <c r="M213" s="39">
        <f t="shared" si="1015"/>
        <v>7.9423472554069008E-2</v>
      </c>
      <c r="N213" s="39">
        <f t="shared" si="1015"/>
        <v>-6.8093444100426836E-2</v>
      </c>
      <c r="O213" s="39">
        <f t="shared" si="1015"/>
        <v>0.14610968674566038</v>
      </c>
      <c r="P213" s="40">
        <f t="shared" si="1016"/>
        <v>4.5120363677072675</v>
      </c>
      <c r="Q213" s="39">
        <f t="shared" si="1017"/>
        <v>5.6857444088796143</v>
      </c>
      <c r="R213" s="39" t="str">
        <f t="shared" si="1018"/>
        <v/>
      </c>
      <c r="S213" s="39" t="str">
        <f t="shared" si="1018"/>
        <v/>
      </c>
      <c r="T213" s="39">
        <f t="shared" si="1018"/>
        <v>3.052487489263882</v>
      </c>
      <c r="U213" s="40" t="str">
        <f t="shared" si="1019"/>
        <v/>
      </c>
      <c r="V213" s="39">
        <f t="shared" si="1020"/>
        <v>-3.1418342978973328</v>
      </c>
      <c r="W213" s="39">
        <f t="shared" si="1021"/>
        <v>7.7737029801350275</v>
      </c>
      <c r="X213" s="39">
        <f t="shared" si="1021"/>
        <v>4.2966134276399401</v>
      </c>
      <c r="Y213" s="39">
        <f t="shared" si="1021"/>
        <v>-3.6032289602013918</v>
      </c>
      <c r="Z213" s="40" t="str">
        <f t="shared" si="1022"/>
        <v/>
      </c>
      <c r="AA213" s="39">
        <f t="shared" si="1023"/>
        <v>-1.2783035585234614</v>
      </c>
      <c r="AB213" s="39">
        <f t="shared" si="1024"/>
        <v>2.0813837432194049</v>
      </c>
      <c r="AC213" s="39">
        <f t="shared" si="1024"/>
        <v>3.6910664945679201</v>
      </c>
      <c r="AD213" s="39">
        <f t="shared" si="1024"/>
        <v>-0.24900243014849366</v>
      </c>
      <c r="AE213" s="40">
        <f t="shared" si="1025"/>
        <v>3.0195743852588208</v>
      </c>
      <c r="AF213" s="39">
        <f t="shared" si="1026"/>
        <v>1.9215291201910105</v>
      </c>
      <c r="AG213" s="39">
        <f t="shared" si="1027"/>
        <v>0.30634185085523313</v>
      </c>
      <c r="AH213" s="39">
        <f t="shared" si="1027"/>
        <v>0.80449732790587802</v>
      </c>
      <c r="AI213" s="39">
        <f t="shared" si="1027"/>
        <v>0.51288095143542023</v>
      </c>
      <c r="AJ213" s="40">
        <f t="shared" si="1028"/>
        <v>4.9210222724745307</v>
      </c>
      <c r="AK213" s="39">
        <f t="shared" si="1029"/>
        <v>0.22549702934723825</v>
      </c>
      <c r="AL213" s="39">
        <f t="shared" si="1030"/>
        <v>0.76633907424914582</v>
      </c>
      <c r="AM213" s="39">
        <f t="shared" si="1030"/>
        <v>-0.13074279804295941</v>
      </c>
      <c r="AN213" s="39">
        <f t="shared" si="1030"/>
        <v>2.2276209183942086</v>
      </c>
      <c r="AO213" s="40">
        <f t="shared" si="1031"/>
        <v>2.2407246153952229</v>
      </c>
      <c r="AP213" s="39">
        <f t="shared" si="1032"/>
        <v>-0.1622841254033176</v>
      </c>
      <c r="AQ213" s="39">
        <f t="shared" si="1033"/>
        <v>2.9575398126123105</v>
      </c>
      <c r="AR213" s="39">
        <f t="shared" si="1033"/>
        <v>2.739342461056566</v>
      </c>
      <c r="AS213" s="39">
        <f t="shared" si="1033"/>
        <v>0.69799821500775749</v>
      </c>
      <c r="AT213" s="40">
        <f t="shared" si="1034"/>
        <v>5.5534525745876522</v>
      </c>
      <c r="AU213" s="39">
        <f t="shared" si="1035"/>
        <v>1.0707982209800235</v>
      </c>
      <c r="AV213" s="39">
        <f t="shared" si="1036"/>
        <v>1.531043217172126</v>
      </c>
      <c r="AW213" s="39">
        <f t="shared" si="1036"/>
        <v>1.2343867079556787</v>
      </c>
      <c r="AX213" s="39">
        <f t="shared" si="1036"/>
        <v>0.22119395787474616</v>
      </c>
      <c r="AY213" s="40">
        <f t="shared" si="1037"/>
        <v>5.5110184175631787</v>
      </c>
      <c r="AZ213" s="39">
        <f t="shared" si="1038"/>
        <v>0.89191369931236864</v>
      </c>
      <c r="BA213" s="39">
        <f t="shared" si="1039"/>
        <v>1.1844839248666261</v>
      </c>
      <c r="BB213" s="39">
        <f t="shared" si="1039"/>
        <v>1.0008518034597245</v>
      </c>
      <c r="BC213" s="39">
        <f t="shared" si="1039"/>
        <v>0.41120134458851965</v>
      </c>
      <c r="BD213" s="40">
        <f t="shared" si="1040"/>
        <v>3.5664972978711944</v>
      </c>
      <c r="BE213" s="39">
        <f t="shared" si="1041"/>
        <v>1.5312019943270769</v>
      </c>
      <c r="BF213" s="39">
        <f t="shared" si="1042"/>
        <v>1.3417361607877041</v>
      </c>
      <c r="BG213" s="39">
        <f t="shared" si="1042"/>
        <v>0.96082872053995061</v>
      </c>
      <c r="BH213" s="39">
        <f t="shared" si="1042"/>
        <v>0.42379423132700822</v>
      </c>
      <c r="BI213" s="40">
        <f t="shared" si="1043"/>
        <v>4.3328126771168911</v>
      </c>
      <c r="BJ213" s="39">
        <f t="shared" si="1044"/>
        <v>1.3181573012937662</v>
      </c>
      <c r="BK213" s="39">
        <f t="shared" si="1045"/>
        <v>0.30512889032243606</v>
      </c>
      <c r="BL213" s="39">
        <f t="shared" si="1045"/>
        <v>4.4715598418449076E-2</v>
      </c>
      <c r="BM213" s="39">
        <f t="shared" si="1045"/>
        <v>4.9831558602704717E-2</v>
      </c>
      <c r="BN213" s="40">
        <f t="shared" si="1046"/>
        <v>2.6823673539958293</v>
      </c>
      <c r="BO213" s="39">
        <f t="shared" si="1047"/>
        <v>2.6847418654242006E-2</v>
      </c>
      <c r="BP213" s="39">
        <f t="shared" si="1048"/>
        <v>0.87894345814805774</v>
      </c>
      <c r="BQ213" s="39">
        <f t="shared" si="1048"/>
        <v>0.52826692029243816</v>
      </c>
      <c r="BR213" s="39">
        <f t="shared" si="1048"/>
        <v>0.23186538963473424</v>
      </c>
      <c r="BS213" s="40">
        <f t="shared" si="1049"/>
        <v>1.1499887633837034</v>
      </c>
      <c r="BT213" s="39">
        <f t="shared" si="1050"/>
        <v>0.33714025229387801</v>
      </c>
      <c r="BU213" s="39">
        <f t="shared" si="1051"/>
        <v>1.4704509239496133</v>
      </c>
      <c r="BV213" s="39">
        <f t="shared" si="1051"/>
        <v>0.9709593303145283</v>
      </c>
      <c r="BW213" s="39">
        <f t="shared" si="1051"/>
        <v>0.44143145983946397</v>
      </c>
      <c r="BX213" s="40">
        <f t="shared" si="1052"/>
        <v>2.7687739160950855</v>
      </c>
      <c r="BY213" s="39">
        <f t="shared" si="1053"/>
        <v>-2.8684024959171524</v>
      </c>
      <c r="BZ213" s="39">
        <f t="shared" si="1054"/>
        <v>2.2297544939170706</v>
      </c>
      <c r="CA213" s="39">
        <f t="shared" si="1054"/>
        <v>0.55623495526162969</v>
      </c>
      <c r="CB213" s="39">
        <f t="shared" si="1054"/>
        <v>0.28815587321446401</v>
      </c>
      <c r="CC213" s="40">
        <f t="shared" si="1055"/>
        <v>0.27469696660647003</v>
      </c>
      <c r="CD213" s="39">
        <f t="shared" si="1056"/>
        <v>0.30033952946817521</v>
      </c>
      <c r="CE213" s="39">
        <f t="shared" si="1057"/>
        <v>0.46437710232029872</v>
      </c>
      <c r="CF213" s="39">
        <f t="shared" si="1007"/>
        <v>0.85319723283473081</v>
      </c>
      <c r="CG213" s="39">
        <f t="shared" si="1007"/>
        <v>0.42770994882958746</v>
      </c>
      <c r="CH213" s="40">
        <f t="shared" si="1058"/>
        <v>2.21949211128954</v>
      </c>
      <c r="CI213" s="39">
        <f t="shared" si="1059"/>
        <v>0.68984352586120679</v>
      </c>
      <c r="CJ213" s="39">
        <f t="shared" si="1060"/>
        <v>0.73753614554172486</v>
      </c>
      <c r="CK213" s="39">
        <f t="shared" si="1008"/>
        <v>0.43022793500793455</v>
      </c>
      <c r="CL213" s="39">
        <f t="shared" si="1008"/>
        <v>0.19390909511871257</v>
      </c>
      <c r="CM213" s="40">
        <f t="shared" si="1061"/>
        <v>2.3755880715152813</v>
      </c>
      <c r="CN213" s="39" t="str">
        <f t="shared" si="1062"/>
        <v/>
      </c>
      <c r="CO213" s="39" t="str">
        <f t="shared" si="1063"/>
        <v/>
      </c>
      <c r="CP213" s="39" t="str">
        <f t="shared" si="1009"/>
        <v/>
      </c>
      <c r="CQ213" s="39" t="str">
        <f t="shared" si="1009"/>
        <v/>
      </c>
      <c r="CR213" s="40" t="str">
        <f t="shared" si="1064"/>
        <v/>
      </c>
    </row>
    <row r="214" spans="1:96" s="9" customFormat="1" ht="15" x14ac:dyDescent="0.4">
      <c r="A214" s="25"/>
      <c r="B214" s="42"/>
      <c r="C214" s="22"/>
      <c r="D214" s="22"/>
      <c r="E214" s="22"/>
      <c r="F214" s="42"/>
      <c r="G214" s="22"/>
      <c r="H214" s="22"/>
      <c r="I214" s="22"/>
      <c r="J214" s="22"/>
      <c r="K214" s="24"/>
      <c r="L214" s="22"/>
      <c r="M214" s="22"/>
      <c r="N214" s="22"/>
      <c r="O214" s="22"/>
      <c r="P214" s="24"/>
      <c r="Q214" s="22"/>
      <c r="R214" s="22"/>
      <c r="S214" s="22"/>
      <c r="T214" s="22"/>
      <c r="U214" s="24"/>
      <c r="V214" s="22"/>
      <c r="W214" s="22"/>
      <c r="X214" s="22"/>
      <c r="Y214" s="22"/>
      <c r="Z214" s="24"/>
      <c r="AA214" s="22"/>
      <c r="AB214" s="22"/>
      <c r="AC214" s="22"/>
      <c r="AD214" s="22"/>
      <c r="AE214" s="24"/>
      <c r="AF214" s="22"/>
      <c r="AG214" s="22"/>
      <c r="AH214" s="22"/>
      <c r="AI214" s="22"/>
      <c r="AJ214" s="24"/>
      <c r="AK214" s="22"/>
      <c r="AL214" s="22"/>
      <c r="AM214" s="22"/>
      <c r="AN214" s="22"/>
      <c r="AO214" s="24"/>
      <c r="AP214" s="22"/>
      <c r="AQ214" s="22"/>
      <c r="AR214" s="22"/>
      <c r="AS214" s="22"/>
      <c r="AT214" s="24"/>
      <c r="AU214" s="22"/>
      <c r="AV214" s="22"/>
      <c r="AW214" s="22"/>
      <c r="AX214" s="22"/>
      <c r="AY214" s="24"/>
      <c r="AZ214" s="22"/>
      <c r="BA214" s="22"/>
      <c r="BB214" s="22"/>
      <c r="BC214" s="22"/>
      <c r="BD214" s="24"/>
      <c r="BE214" s="22"/>
      <c r="BF214" s="22"/>
      <c r="BG214" s="22"/>
      <c r="BH214" s="22"/>
      <c r="BI214" s="24"/>
      <c r="BJ214" s="22"/>
      <c r="BK214" s="22"/>
      <c r="BL214" s="22"/>
      <c r="BM214" s="22"/>
      <c r="BN214" s="24"/>
      <c r="BO214" s="22"/>
      <c r="BP214" s="22"/>
      <c r="BQ214" s="22"/>
      <c r="BR214" s="22"/>
      <c r="BS214" s="24"/>
      <c r="BT214" s="22"/>
      <c r="BU214" s="22"/>
      <c r="BV214" s="22"/>
      <c r="BW214" s="22"/>
      <c r="BX214" s="24"/>
      <c r="BY214" s="22"/>
      <c r="BZ214" s="22"/>
      <c r="CA214" s="22"/>
      <c r="CB214" s="22"/>
      <c r="CC214" s="24"/>
      <c r="CD214" s="22"/>
      <c r="CE214" s="22"/>
      <c r="CF214" s="22"/>
      <c r="CG214" s="22"/>
      <c r="CH214" s="24"/>
      <c r="CI214" s="22"/>
      <c r="CJ214" s="22"/>
      <c r="CK214" s="22"/>
      <c r="CL214" s="22"/>
      <c r="CM214" s="24"/>
      <c r="CN214" s="22"/>
      <c r="CO214" s="22"/>
      <c r="CP214" s="22"/>
      <c r="CQ214" s="22"/>
      <c r="CR214" s="24"/>
    </row>
    <row r="215" spans="1:96" s="17" customFormat="1" ht="15" x14ac:dyDescent="0.4">
      <c r="A215" s="15" t="s">
        <v>92</v>
      </c>
      <c r="B215" s="37"/>
      <c r="C215" s="16">
        <f>IFERROR(C183/B183*100-100,"")</f>
        <v>1.0717125666010645</v>
      </c>
      <c r="D215" s="16">
        <f t="shared" ref="D215:E215" si="1065">IFERROR(D183/C183*100-100,"")</f>
        <v>0.26273793285913882</v>
      </c>
      <c r="E215" s="16">
        <f t="shared" si="1065"/>
        <v>9.2894295909238309</v>
      </c>
      <c r="F215" s="37"/>
      <c r="G215" s="16">
        <f>IFERROR(G183/E183*100-100,"")</f>
        <v>-18.394655167680199</v>
      </c>
      <c r="H215" s="16">
        <f>IFERROR(H183/G183*100-100,"")</f>
        <v>-9.0931922308875528</v>
      </c>
      <c r="I215" s="16">
        <f t="shared" ref="I215:J215" si="1066">IFERROR(I183/H183*100-100,"")</f>
        <v>24.447478276349671</v>
      </c>
      <c r="J215" s="16">
        <f t="shared" si="1066"/>
        <v>-19.036014118687945</v>
      </c>
      <c r="K215" s="16">
        <f>IFERROR(K183/F183*100-100,"")</f>
        <v>-10.6452559645615</v>
      </c>
      <c r="L215" s="16">
        <f>IFERROR(L183/J183*100-100,"")</f>
        <v>18.661009073794972</v>
      </c>
      <c r="M215" s="16">
        <f>IFERROR(M183/L183*100-100,"")</f>
        <v>10.274900164520886</v>
      </c>
      <c r="N215" s="16">
        <f t="shared" ref="N215:O215" si="1067">IFERROR(N183/M183*100-100,"")</f>
        <v>5.6616829555355679</v>
      </c>
      <c r="O215" s="16">
        <f t="shared" si="1067"/>
        <v>-30.472305778549995</v>
      </c>
      <c r="P215" s="16">
        <f>IFERROR(P183/K183*100-100,"")</f>
        <v>17.31005488926705</v>
      </c>
      <c r="Q215" s="16">
        <f>IFERROR(Q183/O183*100-100,"")</f>
        <v>54.342930792345015</v>
      </c>
      <c r="R215" s="16" t="str">
        <f>IFERROR(R183/Q183*100-100,"")</f>
        <v/>
      </c>
      <c r="S215" s="16" t="str">
        <f t="shared" ref="S215:T215" si="1068">IFERROR(S183/R183*100-100,"")</f>
        <v/>
      </c>
      <c r="T215" s="16">
        <f t="shared" si="1068"/>
        <v>-17.489912442814614</v>
      </c>
      <c r="U215" s="16" t="str">
        <f>IFERROR(U183/P183*100-100,"")</f>
        <v/>
      </c>
      <c r="V215" s="16">
        <f>IFERROR(V183/T183*100-100,"")</f>
        <v>5.2868604660818193</v>
      </c>
      <c r="W215" s="16">
        <f>IFERROR(W183/V183*100-100,"")</f>
        <v>9.1543708979901339</v>
      </c>
      <c r="X215" s="16">
        <f t="shared" ref="X215:Y215" si="1069">IFERROR(X183/W183*100-100,"")</f>
        <v>-4.7815712161793584</v>
      </c>
      <c r="Y215" s="16">
        <f t="shared" si="1069"/>
        <v>4.0636090967774692</v>
      </c>
      <c r="Z215" s="16" t="str">
        <f>IFERROR(Z183/U183*100-100,"")</f>
        <v/>
      </c>
      <c r="AA215" s="16">
        <f>IFERROR(AA183/Y183*100-100,"")</f>
        <v>19.124797060878151</v>
      </c>
      <c r="AB215" s="16">
        <f>IFERROR(AB183/AA183*100-100,"")</f>
        <v>13.043501482396437</v>
      </c>
      <c r="AC215" s="16">
        <f t="shared" ref="AC215:AD215" si="1070">IFERROR(AC183/AB183*100-100,"")</f>
        <v>14.561113829693369</v>
      </c>
      <c r="AD215" s="16">
        <f t="shared" si="1070"/>
        <v>1.7280264675380295</v>
      </c>
      <c r="AE215" s="16">
        <f>IFERROR(AE183/Z183*100-100,"")</f>
        <v>39.705603791398204</v>
      </c>
      <c r="AF215" s="16">
        <f>IFERROR(AF183/AD183*100-100,"")</f>
        <v>-17.197119053938252</v>
      </c>
      <c r="AG215" s="16">
        <f>IFERROR(AG183/AF183*100-100,"")</f>
        <v>8.1051966189606048</v>
      </c>
      <c r="AH215" s="16">
        <f t="shared" ref="AH215:AI215" si="1071">IFERROR(AH183/AG183*100-100,"")</f>
        <v>7.814603240534268</v>
      </c>
      <c r="AI215" s="16">
        <f t="shared" si="1071"/>
        <v>-3.7018286817653063</v>
      </c>
      <c r="AJ215" s="16">
        <f>IFERROR(AJ183/AE183*100-100,"")</f>
        <v>4.6073919290549554</v>
      </c>
      <c r="AK215" s="16">
        <f>IFERROR(AK183/AI183*100-100,"")</f>
        <v>1.771148372831675</v>
      </c>
      <c r="AL215" s="16">
        <f>IFERROR(AL183/AK183*100-100,"")</f>
        <v>1.4123818516973188</v>
      </c>
      <c r="AM215" s="16">
        <f t="shared" ref="AM215:AN215" si="1072">IFERROR(AM183/AL183*100-100,"")</f>
        <v>1.3760593863777899</v>
      </c>
      <c r="AN215" s="16">
        <f t="shared" si="1072"/>
        <v>0.88617903410914778</v>
      </c>
      <c r="AO215" s="16">
        <f>IFERROR(AO183/AJ183*100-100,"")</f>
        <v>7.2350271485509978</v>
      </c>
      <c r="AP215" s="16">
        <f>IFERROR(AP183/AN183*100-100,"")</f>
        <v>-0.51072082204728986</v>
      </c>
      <c r="AQ215" s="16">
        <f>IFERROR(AQ183/AP183*100-100,"")</f>
        <v>0.71669174594113372</v>
      </c>
      <c r="AR215" s="16">
        <f t="shared" ref="AR215:AS215" si="1073">IFERROR(AR183/AQ183*100-100,"")</f>
        <v>2.665519879354477</v>
      </c>
      <c r="AS215" s="16">
        <f t="shared" si="1073"/>
        <v>1.2322280776887027</v>
      </c>
      <c r="AT215" s="16">
        <f>IFERROR(AT183/AO183*100-100,"")</f>
        <v>3.2955671716609913</v>
      </c>
      <c r="AU215" s="16">
        <f>IFERROR(AU183/AS183*100-100,"")</f>
        <v>1.0256756631729758</v>
      </c>
      <c r="AV215" s="16">
        <f>IFERROR(AV183/AU183*100-100,"")</f>
        <v>0.57724273126660819</v>
      </c>
      <c r="AW215" s="16">
        <f t="shared" ref="AW215:AX215" si="1074">IFERROR(AW183/AV183*100-100,"")</f>
        <v>0.57811452420880016</v>
      </c>
      <c r="AX215" s="16">
        <f t="shared" si="1074"/>
        <v>0.57892618149124075</v>
      </c>
      <c r="AY215" s="16">
        <f>IFERROR(AY183/AT183*100-100,"")</f>
        <v>4.3959392903215218</v>
      </c>
      <c r="AZ215" s="16">
        <f>IFERROR(AZ183/AX183*100-100,"")</f>
        <v>3.9856687862170617</v>
      </c>
      <c r="BA215" s="16">
        <f>IFERROR(BA183/AZ183*100-100,"")</f>
        <v>0.50621229927412514</v>
      </c>
      <c r="BB215" s="16">
        <f t="shared" ref="BB215:BC215" si="1075">IFERROR(BB183/BA183*100-100,"")</f>
        <v>9.4753546280983869E-2</v>
      </c>
      <c r="BC215" s="16">
        <f t="shared" si="1075"/>
        <v>3.755641432671041</v>
      </c>
      <c r="BD215" s="16">
        <f>IFERROR(BD183/AY183*100-100,"")</f>
        <v>6.3269290468757333</v>
      </c>
      <c r="BE215" s="16">
        <f>IFERROR(BE183/BC183*100-100,"")</f>
        <v>2.8329776171187433</v>
      </c>
      <c r="BF215" s="16">
        <f>IFERROR(BF183/BE183*100-100,"")</f>
        <v>0.81524243042576927</v>
      </c>
      <c r="BG215" s="16">
        <f t="shared" ref="BG215:BH215" si="1076">IFERROR(BG183/BF183*100-100,"")</f>
        <v>0.17571985159933945</v>
      </c>
      <c r="BH215" s="16">
        <f t="shared" si="1076"/>
        <v>0.26704048062818231</v>
      </c>
      <c r="BI215" s="16">
        <f>IFERROR(BI183/BD183*100-100,"")</f>
        <v>6.6920441293903252</v>
      </c>
      <c r="BJ215" s="16">
        <f>IFERROR(BJ183/BH183*100-100,"")</f>
        <v>1.4254912814483305</v>
      </c>
      <c r="BK215" s="16">
        <f>IFERROR(BK183/BJ183*100-100,"")</f>
        <v>1.0461600017823258</v>
      </c>
      <c r="BL215" s="16">
        <f t="shared" ref="BL215:BM215" si="1077">IFERROR(BL183/BK183*100-100,"")</f>
        <v>1.8749793503685623</v>
      </c>
      <c r="BM215" s="16">
        <f t="shared" si="1077"/>
        <v>2.6741553323047782</v>
      </c>
      <c r="BN215" s="16">
        <f>IFERROR(BN183/BI183*100-100,"")</f>
        <v>4.3805483368013256</v>
      </c>
      <c r="BO215" s="16">
        <f>IFERROR(BO183/BM183*100-100,"")</f>
        <v>-0.33146630365564533</v>
      </c>
      <c r="BP215" s="16">
        <f>IFERROR(BP183/BO183*100-100,"")</f>
        <v>-0.6350024787763715</v>
      </c>
      <c r="BQ215" s="16">
        <f t="shared" ref="BQ215:BR215" si="1078">IFERROR(BQ183/BP183*100-100,"")</f>
        <v>3.9638365862926435</v>
      </c>
      <c r="BR215" s="16">
        <f t="shared" si="1078"/>
        <v>-1.3339051227276144</v>
      </c>
      <c r="BS215" s="16">
        <f>IFERROR(BS183/BN183*100-100,"")</f>
        <v>4.0068100547341601</v>
      </c>
      <c r="BT215" s="16">
        <f>IFERROR(BT183/BR183*100-100,"")</f>
        <v>-0.39791674252198561</v>
      </c>
      <c r="BU215" s="16">
        <f>IFERROR(BU183/BT183*100-100,"")</f>
        <v>0.73273169358883194</v>
      </c>
      <c r="BV215" s="16">
        <f t="shared" ref="BV215:BW215" si="1079">IFERROR(BV183/BU183*100-100,"")</f>
        <v>2.3104366247051189</v>
      </c>
      <c r="BW215" s="16">
        <f t="shared" si="1079"/>
        <v>2.8728474027001312</v>
      </c>
      <c r="BX215" s="16">
        <f>IFERROR(BX183/BS183*100-100,"")</f>
        <v>2.8643998703612965</v>
      </c>
      <c r="BY215" s="16">
        <f>IFERROR(BY183/BW183*100-100,"")</f>
        <v>-4.6369616290188276</v>
      </c>
      <c r="BZ215" s="16">
        <f>IFERROR(BZ183/BY183*100-100,"")</f>
        <v>0.782619448801114</v>
      </c>
      <c r="CA215" s="16">
        <f t="shared" ref="CA215:CB215" si="1080">IFERROR(CA183/BZ183*100-100,"")</f>
        <v>0.85321499136755108</v>
      </c>
      <c r="CB215" s="16">
        <f t="shared" si="1080"/>
        <v>3.56369792068989E-2</v>
      </c>
      <c r="CC215" s="16">
        <f>IFERROR(CC183/BX183*100-100,"")</f>
        <v>-0.31817699203388372</v>
      </c>
      <c r="CD215" s="16">
        <f>IFERROR(CD183/CB183*100-100,"")</f>
        <v>1.2095374890062089</v>
      </c>
      <c r="CE215" s="16">
        <f>IFERROR(CE183/CD183*100-100,"")</f>
        <v>0.55315087691525378</v>
      </c>
      <c r="CF215" s="16">
        <f t="shared" ref="CF215:CG215" si="1081">IFERROR(CF183/CE183*100-100,"")</f>
        <v>-0.23978202815884231</v>
      </c>
      <c r="CG215" s="16">
        <f t="shared" si="1081"/>
        <v>0.59138460770400059</v>
      </c>
      <c r="CH215" s="16">
        <f>IFERROR(CH183/CC183*100-100,"")</f>
        <v>2.3211947032754381</v>
      </c>
      <c r="CI215" s="16">
        <f>IFERROR(CI183/CG183*100-100,"")</f>
        <v>0.63137632955738354</v>
      </c>
      <c r="CJ215" s="16">
        <f>IFERROR(CJ183/CI183*100-100,"")</f>
        <v>0.50619871087266688</v>
      </c>
      <c r="CK215" s="16">
        <f t="shared" ref="CK215:CL215" si="1082">IFERROR(CK183/CJ183*100-100,"")</f>
        <v>0.15694045352469743</v>
      </c>
      <c r="CL215" s="16">
        <f t="shared" si="1082"/>
        <v>0.36401853191027556</v>
      </c>
      <c r="CM215" s="16">
        <f>IFERROR(CM183/CH183*100-100,"")</f>
        <v>1.6548279140728113</v>
      </c>
      <c r="CN215" s="16" t="str">
        <f>IFERROR(CN183/CL183*100-100,"")</f>
        <v/>
      </c>
      <c r="CO215" s="16" t="str">
        <f>IFERROR(CO183/CN183*100-100,"")</f>
        <v/>
      </c>
      <c r="CP215" s="16" t="str">
        <f t="shared" ref="CP215:CQ215" si="1083">IFERROR(CP183/CO183*100-100,"")</f>
        <v/>
      </c>
      <c r="CQ215" s="16" t="str">
        <f t="shared" si="1083"/>
        <v/>
      </c>
      <c r="CR215" s="16" t="str">
        <f>IFERROR(CR183/CM183*100-100,"")</f>
        <v/>
      </c>
    </row>
    <row r="216" spans="1:96" s="9" customFormat="1" ht="15" x14ac:dyDescent="0.4">
      <c r="A216" s="25"/>
      <c r="B216" s="42"/>
      <c r="C216" s="22"/>
      <c r="D216" s="22"/>
      <c r="E216" s="22"/>
      <c r="F216" s="42"/>
      <c r="G216" s="22"/>
      <c r="H216" s="22"/>
      <c r="I216" s="22"/>
      <c r="J216" s="22"/>
      <c r="K216" s="24"/>
      <c r="L216" s="22"/>
      <c r="M216" s="22"/>
      <c r="N216" s="22"/>
      <c r="O216" s="22"/>
      <c r="P216" s="24"/>
      <c r="Q216" s="22"/>
      <c r="R216" s="22"/>
      <c r="S216" s="22"/>
      <c r="T216" s="22"/>
      <c r="U216" s="24"/>
      <c r="V216" s="22"/>
      <c r="W216" s="22"/>
      <c r="X216" s="22"/>
      <c r="Y216" s="22"/>
      <c r="Z216" s="24"/>
      <c r="AA216" s="22"/>
      <c r="AB216" s="22"/>
      <c r="AC216" s="22"/>
      <c r="AD216" s="22"/>
      <c r="AE216" s="24"/>
      <c r="AF216" s="22"/>
      <c r="AG216" s="22"/>
      <c r="AH216" s="22"/>
      <c r="AI216" s="22"/>
      <c r="AJ216" s="24"/>
      <c r="AK216" s="22"/>
      <c r="AL216" s="22"/>
      <c r="AM216" s="22"/>
      <c r="AN216" s="22"/>
      <c r="AO216" s="24"/>
      <c r="AP216" s="22"/>
      <c r="AQ216" s="22"/>
      <c r="AR216" s="22"/>
      <c r="AS216" s="22"/>
      <c r="AT216" s="24"/>
      <c r="AU216" s="22"/>
      <c r="AV216" s="22"/>
      <c r="AW216" s="22"/>
      <c r="AX216" s="22"/>
      <c r="AY216" s="24"/>
      <c r="AZ216" s="22"/>
      <c r="BA216" s="22"/>
      <c r="BB216" s="22"/>
      <c r="BC216" s="22"/>
      <c r="BD216" s="24"/>
      <c r="BE216" s="22"/>
      <c r="BF216" s="22"/>
      <c r="BG216" s="22"/>
      <c r="BH216" s="22"/>
      <c r="BI216" s="24"/>
      <c r="BJ216" s="22"/>
      <c r="BK216" s="22"/>
      <c r="BL216" s="22"/>
      <c r="BM216" s="22"/>
      <c r="BN216" s="24"/>
      <c r="BO216" s="22"/>
      <c r="BP216" s="22"/>
      <c r="BQ216" s="22"/>
      <c r="BR216" s="22"/>
      <c r="BS216" s="24"/>
      <c r="BT216" s="22"/>
      <c r="BU216" s="22"/>
      <c r="BV216" s="22"/>
      <c r="BW216" s="22"/>
      <c r="BX216" s="24"/>
      <c r="BY216" s="22"/>
      <c r="BZ216" s="22"/>
      <c r="CA216" s="22"/>
      <c r="CB216" s="22"/>
      <c r="CC216" s="24"/>
      <c r="CD216" s="22"/>
      <c r="CE216" s="22"/>
      <c r="CF216" s="22"/>
      <c r="CG216" s="22"/>
      <c r="CH216" s="24"/>
      <c r="CI216" s="22"/>
      <c r="CJ216" s="22"/>
      <c r="CK216" s="22"/>
      <c r="CL216" s="22"/>
      <c r="CM216" s="24"/>
      <c r="CN216" s="22"/>
      <c r="CO216" s="22"/>
      <c r="CP216" s="22"/>
      <c r="CQ216" s="22"/>
      <c r="CR216" s="24"/>
    </row>
    <row r="217" spans="1:96" s="17" customFormat="1" ht="15" x14ac:dyDescent="0.4">
      <c r="A217" s="15" t="s">
        <v>93</v>
      </c>
      <c r="B217" s="37"/>
      <c r="C217" s="16">
        <f>IFERROR(C185/B185*100-100,"")</f>
        <v>30.595547489750828</v>
      </c>
      <c r="D217" s="16">
        <f t="shared" ref="D217:E217" si="1084">IFERROR(D185/C185*100-100,"")</f>
        <v>-96.955790260957897</v>
      </c>
      <c r="E217" s="16">
        <f t="shared" si="1084"/>
        <v>1945.0520366280184</v>
      </c>
      <c r="F217" s="37"/>
      <c r="G217" s="16">
        <f>IFERROR(G185/E185*100-100,"")</f>
        <v>-82.549789170233865</v>
      </c>
      <c r="H217" s="16">
        <f>IFERROR(H185/G185*100-100,"")</f>
        <v>221.52787119454996</v>
      </c>
      <c r="I217" s="16">
        <f t="shared" ref="I217:J217" si="1085">IFERROR(I185/H185*100-100,"")</f>
        <v>121.42208425156932</v>
      </c>
      <c r="J217" s="16">
        <f t="shared" si="1085"/>
        <v>-29.862175942517482</v>
      </c>
      <c r="K217" s="16">
        <f>IFERROR(K185/F185*100-100,"")</f>
        <v>-32.364991335076908</v>
      </c>
      <c r="L217" s="16">
        <f>IFERROR(L185/J185*100-100,"")</f>
        <v>-9.1358183020719395</v>
      </c>
      <c r="M217" s="16">
        <f>IFERROR(M185/L185*100-100,"")</f>
        <v>39.179391994193679</v>
      </c>
      <c r="N217" s="16">
        <f t="shared" ref="N217:O217" si="1086">IFERROR(N185/M185*100-100,"")</f>
        <v>119.32120324194804</v>
      </c>
      <c r="O217" s="16">
        <f t="shared" si="1086"/>
        <v>-59.07797604038857</v>
      </c>
      <c r="P217" s="16">
        <f>IFERROR(P185/K185*100-100,"")</f>
        <v>31.009289897980693</v>
      </c>
      <c r="Q217" s="16">
        <f>IFERROR(Q185/O185*100-100,"")</f>
        <v>38.647141134828388</v>
      </c>
      <c r="R217" s="16" t="str">
        <f>IFERROR(R185/Q185*100-100,"")</f>
        <v/>
      </c>
      <c r="S217" s="16" t="str">
        <f t="shared" ref="S217:T217" si="1087">IFERROR(S185/R185*100-100,"")</f>
        <v/>
      </c>
      <c r="T217" s="16">
        <f t="shared" si="1087"/>
        <v>-60.719128914072101</v>
      </c>
      <c r="U217" s="16" t="str">
        <f>IFERROR(U185/P185*100-100,"")</f>
        <v/>
      </c>
      <c r="V217" s="16">
        <f>IFERROR(V185/T185*100-100,"")</f>
        <v>75.705074269043507</v>
      </c>
      <c r="W217" s="16">
        <f>IFERROR(W185/V185*100-100,"")</f>
        <v>7.6056118838365876</v>
      </c>
      <c r="X217" s="16">
        <f t="shared" ref="X217:Y217" si="1088">IFERROR(X185/W185*100-100,"")</f>
        <v>-10.309466089880971</v>
      </c>
      <c r="Y217" s="16">
        <f t="shared" si="1088"/>
        <v>-11.310968911176687</v>
      </c>
      <c r="Z217" s="16" t="str">
        <f>IFERROR(Z185/U185*100-100,"")</f>
        <v/>
      </c>
      <c r="AA217" s="16">
        <f>IFERROR(AA185/Y185*100-100,"")</f>
        <v>58.3674838586833</v>
      </c>
      <c r="AB217" s="16">
        <f>IFERROR(AB185/AA185*100-100,"")</f>
        <v>-62.482475564860863</v>
      </c>
      <c r="AC217" s="16">
        <f t="shared" ref="AC217:AD217" si="1089">IFERROR(AC185/AB185*100-100,"")</f>
        <v>167.61977731657078</v>
      </c>
      <c r="AD217" s="16">
        <f t="shared" si="1089"/>
        <v>-21.974451472671035</v>
      </c>
      <c r="AE217" s="16">
        <f>IFERROR(AE185/Z185*100-100,"")</f>
        <v>-0.25525628229405584</v>
      </c>
      <c r="AF217" s="16">
        <f>IFERROR(AF185/AD185*100-100,"")</f>
        <v>-79.927125189362698</v>
      </c>
      <c r="AG217" s="16">
        <f>IFERROR(AG185/AF185*100-100,"")</f>
        <v>406.79550242175583</v>
      </c>
      <c r="AH217" s="16">
        <f t="shared" ref="AH217:AI217" si="1090">IFERROR(AH185/AG185*100-100,"")</f>
        <v>6.9700639768807093</v>
      </c>
      <c r="AI217" s="16">
        <f t="shared" si="1090"/>
        <v>7.8553324117367254</v>
      </c>
      <c r="AJ217" s="16">
        <f>IFERROR(AJ185/AE185*100-100,"")</f>
        <v>7.1451288971023246</v>
      </c>
      <c r="AK217" s="16">
        <f>IFERROR(AK185/AI185*100-100,"")</f>
        <v>1.3503853919123259</v>
      </c>
      <c r="AL217" s="16">
        <f>IFERROR(AL185/AK185*100-100,"")</f>
        <v>-14.021869167375982</v>
      </c>
      <c r="AM217" s="16">
        <f t="shared" ref="AM217:AN217" si="1091">IFERROR(AM185/AL185*100-100,"")</f>
        <v>-1.605411336762657</v>
      </c>
      <c r="AN217" s="16">
        <f t="shared" si="1091"/>
        <v>-0.91751923158706461</v>
      </c>
      <c r="AO217" s="16">
        <f>IFERROR(AO185/AJ185*100-100,"")</f>
        <v>5.43657657238019</v>
      </c>
      <c r="AP217" s="16">
        <f>IFERROR(AP185/AN185*100-100,"")</f>
        <v>28.692081908109287</v>
      </c>
      <c r="AQ217" s="16">
        <f>IFERROR(AQ185/AP185*100-100,"")</f>
        <v>-16.497517415504447</v>
      </c>
      <c r="AR217" s="16">
        <f t="shared" ref="AR217:AS217" si="1092">IFERROR(AR185/AQ185*100-100,"")</f>
        <v>-1.5350648539586871</v>
      </c>
      <c r="AS217" s="16">
        <f t="shared" si="1092"/>
        <v>-0.17579534004437392</v>
      </c>
      <c r="AT217" s="16">
        <f>IFERROR(AT185/AO185*100-100,"")</f>
        <v>5.759239304722513</v>
      </c>
      <c r="AU217" s="16">
        <f>IFERROR(AU185/AS185*100-100,"")</f>
        <v>1.8373099119456242</v>
      </c>
      <c r="AV217" s="16">
        <f>IFERROR(AV185/AU185*100-100,"")</f>
        <v>61.156103825327705</v>
      </c>
      <c r="AW217" s="16">
        <f t="shared" ref="AW217:AX217" si="1093">IFERROR(AW185/AV185*100-100,"")</f>
        <v>-66.42890155566964</v>
      </c>
      <c r="AX217" s="16">
        <f t="shared" si="1093"/>
        <v>126.54336142314179</v>
      </c>
      <c r="AY217" s="16">
        <f>IFERROR(AY185/AT185*100-100,"")</f>
        <v>4.6044754678072053</v>
      </c>
      <c r="AZ217" s="16">
        <f>IFERROR(AZ185/AX185*100-100,"")</f>
        <v>-32.20649051657395</v>
      </c>
      <c r="BA217" s="16">
        <f>IFERROR(BA185/AZ185*100-100,"")</f>
        <v>30.513765379906999</v>
      </c>
      <c r="BB217" s="16">
        <f t="shared" ref="BB217:BC217" si="1094">IFERROR(BB185/BA185*100-100,"")</f>
        <v>17.277812670960373</v>
      </c>
      <c r="BC217" s="16">
        <f t="shared" si="1094"/>
        <v>-14.024621840557444</v>
      </c>
      <c r="BD217" s="16">
        <f>IFERROR(BD185/AY185*100-100,"")</f>
        <v>1.9128691190661868</v>
      </c>
      <c r="BE217" s="16">
        <f>IFERROR(BE185/BC185*100-100,"")</f>
        <v>-61.012239835828659</v>
      </c>
      <c r="BF217" s="16">
        <f>IFERROR(BF185/BE185*100-100,"")</f>
        <v>92.796159194890123</v>
      </c>
      <c r="BG217" s="16">
        <f t="shared" ref="BG217:BH217" si="1095">IFERROR(BG185/BF185*100-100,"")</f>
        <v>-5.8181119640381951</v>
      </c>
      <c r="BH217" s="16">
        <f t="shared" si="1095"/>
        <v>6.3364206074530784</v>
      </c>
      <c r="BI217" s="16">
        <f>IFERROR(BI185/BD185*100-100,"")</f>
        <v>-27.249949202024496</v>
      </c>
      <c r="BJ217" s="16">
        <f>IFERROR(BJ185/BH185*100-100,"")</f>
        <v>13.21404806120772</v>
      </c>
      <c r="BK217" s="16">
        <f>IFERROR(BK185/BJ185*100-100,"")</f>
        <v>163.03143049647468</v>
      </c>
      <c r="BL217" s="16">
        <f t="shared" ref="BL217:BM217" si="1096">IFERROR(BL185/BK185*100-100,"")</f>
        <v>-81.283363901305634</v>
      </c>
      <c r="BM217" s="16">
        <f t="shared" si="1096"/>
        <v>127.6692936137903</v>
      </c>
      <c r="BN217" s="16">
        <f>IFERROR(BN185/BI185*100-100,"")</f>
        <v>4.9190007720942219</v>
      </c>
      <c r="BO217" s="16">
        <f>IFERROR(BO185/BM185*100-100,"")</f>
        <v>-9.7489930704523005</v>
      </c>
      <c r="BP217" s="16">
        <f>IFERROR(BP185/BO185*100-100,"")</f>
        <v>4.2035992738383356</v>
      </c>
      <c r="BQ217" s="16">
        <f t="shared" ref="BQ217:BR217" si="1097">IFERROR(BQ185/BP185*100-100,"")</f>
        <v>-0.18142789962737993</v>
      </c>
      <c r="BR217" s="16">
        <f t="shared" si="1097"/>
        <v>2.0178838213336974</v>
      </c>
      <c r="BS217" s="16">
        <f>IFERROR(BS185/BN185*100-100,"")</f>
        <v>17.050208135588846</v>
      </c>
      <c r="BT217" s="16">
        <f>IFERROR(BT185/BR185*100-100,"")</f>
        <v>-0.44312775680394623</v>
      </c>
      <c r="BU217" s="16">
        <f>IFERROR(BU185/BT185*100-100,"")</f>
        <v>11.061731301295552</v>
      </c>
      <c r="BV217" s="16">
        <f t="shared" ref="BV217:BW217" si="1098">IFERROR(BV185/BU185*100-100,"")</f>
        <v>2.6358024448920503</v>
      </c>
      <c r="BW217" s="16">
        <f t="shared" si="1098"/>
        <v>1.4692079566648033</v>
      </c>
      <c r="BX217" s="16">
        <f>IFERROR(BX185/BS185*100-100,"")</f>
        <v>12.123113344025157</v>
      </c>
      <c r="BY217" s="16">
        <f>IFERROR(BY185/BW185*100-100,"")</f>
        <v>5.4074110956654096</v>
      </c>
      <c r="BZ217" s="16">
        <f>IFERROR(BZ185/BY185*100-100,"")</f>
        <v>3.3310979755607235</v>
      </c>
      <c r="CA217" s="16">
        <f t="shared" ref="CA217:CB217" si="1099">IFERROR(CA185/BZ185*100-100,"")</f>
        <v>0.84241599048695548</v>
      </c>
      <c r="CB217" s="16">
        <f t="shared" si="1099"/>
        <v>12.194665573302615</v>
      </c>
      <c r="CC217" s="16">
        <f>IFERROR(CC185/BX185*100-100,"")</f>
        <v>16.72803594982939</v>
      </c>
      <c r="CD217" s="16">
        <f>IFERROR(CD185/CB185*100-100,"")</f>
        <v>-12.976524586109292</v>
      </c>
      <c r="CE217" s="16">
        <f>IFERROR(CE185/CD185*100-100,"")</f>
        <v>20.216354947869263</v>
      </c>
      <c r="CF217" s="16">
        <f t="shared" ref="CF217:CG217" si="1100">IFERROR(CF185/CE185*100-100,"")</f>
        <v>-7.0881671986627026</v>
      </c>
      <c r="CG217" s="16">
        <f t="shared" si="1100"/>
        <v>0.14213919806660158</v>
      </c>
      <c r="CH217" s="16">
        <f>IFERROR(CH185/CC185*100-100,"")</f>
        <v>6.3270394881788832</v>
      </c>
      <c r="CI217" s="16">
        <f>IFERROR(CI185/CG185*100-100,"")</f>
        <v>17.373495394259749</v>
      </c>
      <c r="CJ217" s="16">
        <f>IFERROR(CJ185/CI185*100-100,"")</f>
        <v>12.163981884858373</v>
      </c>
      <c r="CK217" s="16">
        <f t="shared" ref="CK217:CL217" si="1101">IFERROR(CK185/CJ185*100-100,"")</f>
        <v>-5.5203378217916708</v>
      </c>
      <c r="CL217" s="16">
        <f t="shared" si="1101"/>
        <v>-1.2475773993779882</v>
      </c>
      <c r="CM217" s="16">
        <f>IFERROR(CM185/CH185*100-100,"")</f>
        <v>25.486995615965014</v>
      </c>
      <c r="CN217" s="16" t="str">
        <f>IFERROR(CN185/CL185*100-100,"")</f>
        <v/>
      </c>
      <c r="CO217" s="16" t="str">
        <f>IFERROR(CO185/CN185*100-100,"")</f>
        <v/>
      </c>
      <c r="CP217" s="16" t="str">
        <f t="shared" ref="CP217:CQ217" si="1102">IFERROR(CP185/CO185*100-100,"")</f>
        <v/>
      </c>
      <c r="CQ217" s="16" t="str">
        <f t="shared" si="1102"/>
        <v/>
      </c>
      <c r="CR217" s="16" t="str">
        <f>IFERROR(CR185/CM185*100-100,"")</f>
        <v/>
      </c>
    </row>
    <row r="218" spans="1:96" s="9" customFormat="1" ht="15" x14ac:dyDescent="0.4">
      <c r="A218" s="25"/>
      <c r="B218" s="42"/>
      <c r="C218" s="22"/>
      <c r="D218" s="22"/>
      <c r="E218" s="22"/>
      <c r="F218" s="42"/>
      <c r="G218" s="22"/>
      <c r="H218" s="22"/>
      <c r="I218" s="22"/>
      <c r="J218" s="22"/>
      <c r="K218" s="24"/>
      <c r="L218" s="22"/>
      <c r="M218" s="22"/>
      <c r="N218" s="22"/>
      <c r="O218" s="22"/>
      <c r="P218" s="24"/>
      <c r="Q218" s="22"/>
      <c r="R218" s="22"/>
      <c r="S218" s="22"/>
      <c r="T218" s="22"/>
      <c r="U218" s="24"/>
      <c r="V218" s="22"/>
      <c r="W218" s="22"/>
      <c r="X218" s="22"/>
      <c r="Y218" s="22"/>
      <c r="Z218" s="24"/>
      <c r="AA218" s="22"/>
      <c r="AB218" s="22"/>
      <c r="AC218" s="22"/>
      <c r="AD218" s="22"/>
      <c r="AE218" s="24"/>
      <c r="AF218" s="22"/>
      <c r="AG218" s="22"/>
      <c r="AH218" s="22"/>
      <c r="AI218" s="22"/>
      <c r="AJ218" s="24"/>
      <c r="AK218" s="22"/>
      <c r="AL218" s="22"/>
      <c r="AM218" s="22"/>
      <c r="AN218" s="22"/>
      <c r="AO218" s="24"/>
      <c r="AP218" s="22"/>
      <c r="AQ218" s="22"/>
      <c r="AR218" s="22"/>
      <c r="AS218" s="22"/>
      <c r="AT218" s="24"/>
      <c r="AU218" s="22"/>
      <c r="AV218" s="22"/>
      <c r="AW218" s="22"/>
      <c r="AX218" s="22"/>
      <c r="AY218" s="24"/>
      <c r="AZ218" s="22"/>
      <c r="BA218" s="22"/>
      <c r="BB218" s="22"/>
      <c r="BC218" s="22"/>
      <c r="BD218" s="24"/>
      <c r="BE218" s="22"/>
      <c r="BF218" s="22"/>
      <c r="BG218" s="22"/>
      <c r="BH218" s="22"/>
      <c r="BI218" s="24"/>
      <c r="BJ218" s="22"/>
      <c r="BK218" s="22"/>
      <c r="BL218" s="22"/>
      <c r="BM218" s="22"/>
      <c r="BN218" s="24"/>
      <c r="BO218" s="22"/>
      <c r="BP218" s="22"/>
      <c r="BQ218" s="22"/>
      <c r="BR218" s="22"/>
      <c r="BS218" s="24"/>
      <c r="BT218" s="22"/>
      <c r="BU218" s="22"/>
      <c r="BV218" s="22"/>
      <c r="BW218" s="22"/>
      <c r="BX218" s="24"/>
      <c r="BY218" s="22"/>
      <c r="BZ218" s="22"/>
      <c r="CA218" s="22"/>
      <c r="CB218" s="22"/>
      <c r="CC218" s="24"/>
      <c r="CD218" s="22"/>
      <c r="CE218" s="22"/>
      <c r="CF218" s="22"/>
      <c r="CG218" s="22"/>
      <c r="CH218" s="24"/>
      <c r="CI218" s="22"/>
      <c r="CJ218" s="22"/>
      <c r="CK218" s="22"/>
      <c r="CL218" s="22"/>
      <c r="CM218" s="24"/>
      <c r="CN218" s="22"/>
      <c r="CO218" s="22"/>
      <c r="CP218" s="22"/>
      <c r="CQ218" s="22"/>
      <c r="CR218" s="24"/>
    </row>
    <row r="219" spans="1:96" s="17" customFormat="1" ht="15" x14ac:dyDescent="0.4">
      <c r="A219" s="15" t="s">
        <v>94</v>
      </c>
      <c r="B219" s="37"/>
      <c r="C219" s="16">
        <f>IFERROR(C187/B187*100-100,"")</f>
        <v>2.9014402442974614</v>
      </c>
      <c r="D219" s="16">
        <f t="shared" ref="D219:E219" si="1103">IFERROR(D187/C187*100-100,"")</f>
        <v>-7.6350841477461415</v>
      </c>
      <c r="E219" s="16">
        <f t="shared" si="1103"/>
        <v>6.1223617409112023</v>
      </c>
      <c r="F219" s="37"/>
      <c r="G219" s="16">
        <f>IFERROR(G187/E187*100-100,"")</f>
        <v>-5.2889399725715833</v>
      </c>
      <c r="H219" s="16">
        <f>IFERROR(H187/G187*100-100,"")</f>
        <v>8.5035035216612016</v>
      </c>
      <c r="I219" s="16">
        <f t="shared" ref="I219:J219" si="1104">IFERROR(I187/H187*100-100,"")</f>
        <v>9.5463164162146796</v>
      </c>
      <c r="J219" s="16">
        <f t="shared" si="1104"/>
        <v>-4.5741762628636877</v>
      </c>
      <c r="K219" s="16">
        <f>IFERROR(K187/F187*100-100,"")</f>
        <v>6.0881624714068607</v>
      </c>
      <c r="L219" s="16">
        <f>IFERROR(L187/J187*100-100,"")</f>
        <v>4.3941631166389783</v>
      </c>
      <c r="M219" s="16">
        <f>IFERROR(M187/L187*100-100,"")</f>
        <v>3.6211868463157799</v>
      </c>
      <c r="N219" s="16">
        <f t="shared" ref="N219:O219" si="1105">IFERROR(N187/M187*100-100,"")</f>
        <v>1.2694486103817013</v>
      </c>
      <c r="O219" s="16">
        <f t="shared" si="1105"/>
        <v>-4.426534755253769</v>
      </c>
      <c r="P219" s="16">
        <f>IFERROR(P187/K187*100-100,"")</f>
        <v>9.0617963081420498</v>
      </c>
      <c r="Q219" s="16">
        <f>IFERROR(Q187/O187*100-100,"")</f>
        <v>5.639953238938574</v>
      </c>
      <c r="R219" s="16" t="str">
        <f>IFERROR(R187/Q187*100-100,"")</f>
        <v/>
      </c>
      <c r="S219" s="16" t="str">
        <f t="shared" ref="S219:T219" si="1106">IFERROR(S187/R187*100-100,"")</f>
        <v/>
      </c>
      <c r="T219" s="16">
        <f t="shared" si="1106"/>
        <v>-16.609524385989943</v>
      </c>
      <c r="U219" s="16" t="str">
        <f>IFERROR(U187/P187*100-100,"")</f>
        <v/>
      </c>
      <c r="V219" s="16">
        <f>IFERROR(V187/T187*100-100,"")</f>
        <v>13.518924498872792</v>
      </c>
      <c r="W219" s="16">
        <f>IFERROR(W187/V187*100-100,"")</f>
        <v>3.0627928258737143</v>
      </c>
      <c r="X219" s="16">
        <f t="shared" ref="X219:Y219" si="1107">IFERROR(X187/W187*100-100,"")</f>
        <v>-2.8978153836199567</v>
      </c>
      <c r="Y219" s="16">
        <f t="shared" si="1107"/>
        <v>2.770669148722078</v>
      </c>
      <c r="Z219" s="16" t="str">
        <f>IFERROR(Z187/U187*100-100,"")</f>
        <v/>
      </c>
      <c r="AA219" s="16">
        <f>IFERROR(AA187/Y187*100-100,"")</f>
        <v>0.32286959400764204</v>
      </c>
      <c r="AB219" s="16">
        <f>IFERROR(AB187/AA187*100-100,"")</f>
        <v>-8.993247257358874</v>
      </c>
      <c r="AC219" s="16">
        <f t="shared" ref="AC219:AD219" si="1108">IFERROR(AC187/AB187*100-100,"")</f>
        <v>18.898432036228783</v>
      </c>
      <c r="AD219" s="16">
        <f t="shared" si="1108"/>
        <v>-3.3328747530119216</v>
      </c>
      <c r="AE219" s="16">
        <f>IFERROR(AE187/Z187*100-100,"")</f>
        <v>2.6488141498988114</v>
      </c>
      <c r="AF219" s="16">
        <f>IFERROR(AF187/AD187*100-100,"")</f>
        <v>-4.4662487978525007</v>
      </c>
      <c r="AG219" s="16">
        <f>IFERROR(AG187/AF187*100-100,"")</f>
        <v>5.925114865630718</v>
      </c>
      <c r="AH219" s="16">
        <f t="shared" ref="AH219:AI219" si="1109">IFERROR(AH187/AG187*100-100,"")</f>
        <v>1.0266823255874868</v>
      </c>
      <c r="AI219" s="16">
        <f t="shared" si="1109"/>
        <v>1.5549158829763599</v>
      </c>
      <c r="AJ219" s="16">
        <f>IFERROR(AJ187/AE187*100-100,"")</f>
        <v>4.5387030398420478</v>
      </c>
      <c r="AK219" s="16">
        <f>IFERROR(AK187/AI187*100-100,"")</f>
        <v>1.6554939446620267</v>
      </c>
      <c r="AL219" s="16">
        <f>IFERROR(AL187/AK187*100-100,"")</f>
        <v>-0.4225764865557835</v>
      </c>
      <c r="AM219" s="16">
        <f t="shared" ref="AM219:AN219" si="1110">IFERROR(AM187/AL187*100-100,"")</f>
        <v>0.58343777937184882</v>
      </c>
      <c r="AN219" s="16">
        <f t="shared" si="1110"/>
        <v>1.8204661381085288</v>
      </c>
      <c r="AO219" s="16">
        <f>IFERROR(AO187/AJ187*100-100,"")</f>
        <v>5.0145209346257928</v>
      </c>
      <c r="AP219" s="16">
        <f>IFERROR(AP187/AN187*100-100,"")</f>
        <v>4.3053246095459201</v>
      </c>
      <c r="AQ219" s="16">
        <f>IFERROR(AQ187/AP187*100-100,"")</f>
        <v>-0.97382781629453063</v>
      </c>
      <c r="AR219" s="16">
        <f t="shared" ref="AR219:AS219" si="1111">IFERROR(AR187/AQ187*100-100,"")</f>
        <v>1.865787143077128</v>
      </c>
      <c r="AS219" s="16">
        <f t="shared" si="1111"/>
        <v>1.0254274643703809</v>
      </c>
      <c r="AT219" s="16">
        <f>IFERROR(AT187/AO187*100-100,"")</f>
        <v>6.3817160577211069</v>
      </c>
      <c r="AU219" s="16">
        <f>IFERROR(AU187/AS187*100-100,"")</f>
        <v>1.2799825253990775</v>
      </c>
      <c r="AV219" s="16">
        <f>IFERROR(AV187/AU187*100-100,"")</f>
        <v>6.5501886988771361</v>
      </c>
      <c r="AW219" s="16">
        <f t="shared" ref="AW219:AX219" si="1112">IFERROR(AW187/AV187*100-100,"")</f>
        <v>-8.9613741157642153</v>
      </c>
      <c r="AX219" s="16">
        <f t="shared" si="1112"/>
        <v>8.0989164058301384</v>
      </c>
      <c r="AY219" s="16">
        <f>IFERROR(AY187/AT187*100-100,"")</f>
        <v>4.8715884329068331</v>
      </c>
      <c r="AZ219" s="16">
        <f>IFERROR(AZ187/AX187*100-100,"")</f>
        <v>-3.2319635415416883</v>
      </c>
      <c r="BA219" s="16">
        <f>IFERROR(BA187/AZ187*100-100,"")</f>
        <v>2.5014490132361686</v>
      </c>
      <c r="BB219" s="16">
        <f t="shared" ref="BB219:BC219" si="1113">IFERROR(BB187/BA187*100-100,"")</f>
        <v>2.3588031722509299</v>
      </c>
      <c r="BC219" s="16">
        <f t="shared" si="1113"/>
        <v>-1.4643569336263482</v>
      </c>
      <c r="BD219" s="16">
        <f>IFERROR(BD187/AY187*100-100,"")</f>
        <v>2.1358688972661071</v>
      </c>
      <c r="BE219" s="16">
        <f>IFERROR(BE187/BC187*100-100,"")</f>
        <v>3.2963857740528937</v>
      </c>
      <c r="BF219" s="16">
        <f>IFERROR(BF187/BE187*100-100,"")</f>
        <v>2.6424896360321952</v>
      </c>
      <c r="BG219" s="16">
        <f t="shared" ref="BG219:BH219" si="1114">IFERROR(BG187/BF187*100-100,"")</f>
        <v>3.1941665870736813</v>
      </c>
      <c r="BH219" s="16">
        <f t="shared" si="1114"/>
        <v>-2.3031956175854873</v>
      </c>
      <c r="BI219" s="16">
        <f>IFERROR(BI187/BD187*100-100,"")</f>
        <v>7.1975004345108147</v>
      </c>
      <c r="BJ219" s="16">
        <f>IFERROR(BJ187/BH187*100-100,"")</f>
        <v>0.833865186756924</v>
      </c>
      <c r="BK219" s="16">
        <f>IFERROR(BK187/BJ187*100-100,"")</f>
        <v>8.0886709625840041</v>
      </c>
      <c r="BL219" s="16">
        <f t="shared" ref="BL219:BM219" si="1115">IFERROR(BL187/BK187*100-100,"")</f>
        <v>-7.7738286306086337</v>
      </c>
      <c r="BM219" s="16">
        <f t="shared" si="1115"/>
        <v>6.6719654096343106</v>
      </c>
      <c r="BN219" s="16">
        <f>IFERROR(BN187/BI187*100-100,"")</f>
        <v>4.6680329314498437</v>
      </c>
      <c r="BO219" s="16">
        <f>IFERROR(BO187/BM187*100-100,"")</f>
        <v>0.67013864765988274</v>
      </c>
      <c r="BP219" s="16">
        <f>IFERROR(BP187/BO187*100-100,"")</f>
        <v>3.4764937341342943</v>
      </c>
      <c r="BQ219" s="16">
        <f t="shared" ref="BQ219:BR219" si="1116">IFERROR(BQ187/BP187*100-100,"")</f>
        <v>-4.8006545539621612</v>
      </c>
      <c r="BR219" s="16">
        <f t="shared" si="1116"/>
        <v>4.946027192112453</v>
      </c>
      <c r="BS219" s="16">
        <f>IFERROR(BS187/BN187*100-100,"")</f>
        <v>5.0154181456955911</v>
      </c>
      <c r="BT219" s="16">
        <f>IFERROR(BT187/BR187*100-100,"")</f>
        <v>1.8582400691058183</v>
      </c>
      <c r="BU219" s="16">
        <f>IFERROR(BU187/BT187*100-100,"")</f>
        <v>-0.29267461230401182</v>
      </c>
      <c r="BV219" s="16">
        <f t="shared" ref="BV219:BW219" si="1117">IFERROR(BV187/BU187*100-100,"")</f>
        <v>7.2992674131768354E-2</v>
      </c>
      <c r="BW219" s="16">
        <f t="shared" si="1117"/>
        <v>-1.5667179520638257</v>
      </c>
      <c r="BX219" s="16">
        <f>IFERROR(BX187/BS187*100-100,"")</f>
        <v>2.9739192143999986</v>
      </c>
      <c r="BY219" s="16">
        <f>IFERROR(BY187/BW187*100-100,"")</f>
        <v>1.8330433809077959</v>
      </c>
      <c r="BZ219" s="16">
        <f>IFERROR(BZ187/BY187*100-100,"")</f>
        <v>0.65216599693312105</v>
      </c>
      <c r="CA219" s="16">
        <f t="shared" ref="CA219:CB219" si="1118">IFERROR(CA187/BZ187*100-100,"")</f>
        <v>1.2048698344366358</v>
      </c>
      <c r="CB219" s="16">
        <f t="shared" si="1118"/>
        <v>0.62093164654966415</v>
      </c>
      <c r="CC219" s="16">
        <f>IFERROR(CC187/BX187*100-100,"")</f>
        <v>2.0856278748614159</v>
      </c>
      <c r="CD219" s="16">
        <f>IFERROR(CD187/CB187*100-100,"")</f>
        <v>0.18791580444657541</v>
      </c>
      <c r="CE219" s="16">
        <f>IFERROR(CE187/CD187*100-100,"")</f>
        <v>2.1411978324212555</v>
      </c>
      <c r="CF219" s="16">
        <f t="shared" ref="CF219:CG219" si="1119">IFERROR(CF187/CE187*100-100,"")</f>
        <v>-3.0477916313913056E-2</v>
      </c>
      <c r="CG219" s="16">
        <f t="shared" si="1119"/>
        <v>-1.5741464943947534</v>
      </c>
      <c r="CH219" s="16">
        <f>IFERROR(CH187/CC187*100-100,"")</f>
        <v>2.5013469110242852</v>
      </c>
      <c r="CI219" s="16">
        <f>IFERROR(CI187/CG187*100-100,"")</f>
        <v>3.5913909953460887</v>
      </c>
      <c r="CJ219" s="16">
        <f>IFERROR(CJ187/CI187*100-100,"")</f>
        <v>4.6721014070669327</v>
      </c>
      <c r="CK219" s="16">
        <f t="shared" ref="CK219:CL219" si="1120">IFERROR(CK187/CJ187*100-100,"")</f>
        <v>2.7296511972260333</v>
      </c>
      <c r="CL219" s="16">
        <f t="shared" si="1120"/>
        <v>-1.4896939974198062</v>
      </c>
      <c r="CM219" s="16">
        <f>IFERROR(CM187/CH187*100-100,"")</f>
        <v>7.6862879500306747</v>
      </c>
      <c r="CN219" s="16" t="str">
        <f>IFERROR(CN187/CL187*100-100,"")</f>
        <v/>
      </c>
      <c r="CO219" s="16" t="str">
        <f>IFERROR(CO187/CN187*100-100,"")</f>
        <v/>
      </c>
      <c r="CP219" s="16" t="str">
        <f t="shared" ref="CP219:CQ219" si="1121">IFERROR(CP187/CO187*100-100,"")</f>
        <v/>
      </c>
      <c r="CQ219" s="16" t="str">
        <f t="shared" si="1121"/>
        <v/>
      </c>
      <c r="CR219" s="16" t="str">
        <f>IFERROR(CR187/CM187*100-100,"")</f>
        <v/>
      </c>
    </row>
    <row r="220" spans="1:96" s="9" customFormat="1" ht="15" x14ac:dyDescent="0.4">
      <c r="A220" s="43"/>
      <c r="B220" s="44"/>
      <c r="C220" s="45"/>
      <c r="D220" s="45"/>
      <c r="E220" s="45"/>
      <c r="F220" s="44"/>
      <c r="G220" s="45"/>
      <c r="H220" s="45"/>
      <c r="I220" s="45"/>
      <c r="J220" s="45"/>
      <c r="K220" s="46"/>
      <c r="L220" s="45"/>
      <c r="M220" s="45"/>
      <c r="N220" s="45"/>
      <c r="O220" s="45"/>
      <c r="P220" s="46"/>
      <c r="Q220" s="45"/>
      <c r="R220" s="45"/>
      <c r="S220" s="45"/>
      <c r="T220" s="45"/>
      <c r="U220" s="46"/>
      <c r="V220" s="45"/>
      <c r="W220" s="45"/>
      <c r="X220" s="45"/>
      <c r="Y220" s="45"/>
      <c r="Z220" s="46"/>
      <c r="AA220" s="45"/>
      <c r="AB220" s="45"/>
      <c r="AC220" s="45"/>
      <c r="AD220" s="45"/>
      <c r="AE220" s="46"/>
      <c r="AF220" s="45"/>
      <c r="AG220" s="45"/>
      <c r="AH220" s="45"/>
      <c r="AI220" s="45"/>
      <c r="AJ220" s="46"/>
      <c r="AK220" s="45"/>
      <c r="AL220" s="45"/>
      <c r="AM220" s="45"/>
      <c r="AN220" s="45"/>
      <c r="AO220" s="46"/>
      <c r="AP220" s="45"/>
      <c r="AQ220" s="45"/>
      <c r="AR220" s="45"/>
      <c r="AS220" s="45"/>
      <c r="AT220" s="46"/>
      <c r="AU220" s="45"/>
      <c r="AV220" s="45"/>
      <c r="AW220" s="45"/>
      <c r="AX220" s="45"/>
      <c r="AY220" s="46"/>
      <c r="AZ220" s="45"/>
      <c r="BA220" s="45"/>
      <c r="BB220" s="45"/>
      <c r="BC220" s="45"/>
      <c r="BD220" s="46"/>
      <c r="BE220" s="45"/>
      <c r="BF220" s="45"/>
      <c r="BG220" s="45"/>
      <c r="BH220" s="45"/>
      <c r="BI220" s="46"/>
      <c r="BJ220" s="45"/>
      <c r="BK220" s="45"/>
      <c r="BL220" s="45"/>
      <c r="BM220" s="45"/>
      <c r="BN220" s="46"/>
      <c r="BO220" s="45"/>
      <c r="BP220" s="45"/>
      <c r="BQ220" s="45"/>
      <c r="BR220" s="45"/>
      <c r="BS220" s="46"/>
      <c r="BT220" s="45"/>
      <c r="BU220" s="45"/>
      <c r="BV220" s="45"/>
      <c r="BW220" s="45"/>
      <c r="BX220" s="46"/>
      <c r="BY220" s="45"/>
      <c r="BZ220" s="45"/>
      <c r="CA220" s="45"/>
      <c r="CB220" s="45"/>
      <c r="CC220" s="46"/>
      <c r="CD220" s="45"/>
      <c r="CE220" s="45"/>
      <c r="CF220" s="45"/>
      <c r="CG220" s="45"/>
      <c r="CH220" s="46"/>
      <c r="CI220" s="45"/>
      <c r="CJ220" s="45"/>
      <c r="CK220" s="45"/>
      <c r="CL220" s="45"/>
      <c r="CM220" s="46"/>
      <c r="CN220" s="45"/>
      <c r="CO220" s="45"/>
      <c r="CP220" s="45"/>
      <c r="CQ220" s="45"/>
      <c r="CR220" s="46"/>
    </row>
    <row r="221" spans="1:96" s="9" customFormat="1" ht="23.25" customHeight="1" x14ac:dyDescent="0.3">
      <c r="A221" s="47" t="s">
        <v>95</v>
      </c>
      <c r="B221" s="48"/>
      <c r="C221" s="49">
        <f>IFERROR(C189/B189*100-100,"")</f>
        <v>1.873368825968285</v>
      </c>
      <c r="D221" s="49">
        <f t="shared" ref="D221:E221" si="1122">IFERROR(D189/C189*100-100,"")</f>
        <v>1.7406872452868214</v>
      </c>
      <c r="E221" s="49">
        <f t="shared" si="1122"/>
        <v>1.598254078333099</v>
      </c>
      <c r="F221" s="48"/>
      <c r="G221" s="49">
        <f>IFERROR(G189/E189*100-100,"")</f>
        <v>4.5399878501645219</v>
      </c>
      <c r="H221" s="49">
        <f>IFERROR(H189/G189*100-100,"")</f>
        <v>0.57394344995640267</v>
      </c>
      <c r="I221" s="49">
        <f t="shared" ref="I221:J221" si="1123">IFERROR(I189/H189*100-100,"")</f>
        <v>1.1666261366427619</v>
      </c>
      <c r="J221" s="49">
        <f t="shared" si="1123"/>
        <v>2.8324997453529335</v>
      </c>
      <c r="K221" s="49">
        <f>IFERROR(K189/F189*100-100,"")</f>
        <v>9.0439922030152644</v>
      </c>
      <c r="L221" s="49">
        <f>IFERROR(L189/J189*100-100,"")</f>
        <v>1.1972861291344827</v>
      </c>
      <c r="M221" s="49">
        <f>IFERROR(M189/L189*100-100,"")</f>
        <v>1.774214204340268</v>
      </c>
      <c r="N221" s="49">
        <f t="shared" ref="N221:O221" si="1124">IFERROR(N189/M189*100-100,"")</f>
        <v>1.2396010245971496</v>
      </c>
      <c r="O221" s="49">
        <f t="shared" si="1124"/>
        <v>1.060929335544273</v>
      </c>
      <c r="P221" s="49">
        <f>IFERROR(P189/K189*100-100,"")</f>
        <v>6.3889186915079961</v>
      </c>
      <c r="Q221" s="49">
        <f>IFERROR(Q189/O189*100-100,"")</f>
        <v>2.6369421109496471</v>
      </c>
      <c r="R221" s="49" t="str">
        <f>IFERROR(R189/Q189*100-100,"")</f>
        <v/>
      </c>
      <c r="S221" s="49" t="str">
        <f t="shared" ref="S221:T221" si="1125">IFERROR(S189/R189*100-100,"")</f>
        <v/>
      </c>
      <c r="T221" s="49">
        <f t="shared" si="1125"/>
        <v>1.9489955391543674</v>
      </c>
      <c r="U221" s="49" t="str">
        <f>IFERROR(U189/P189*100-100,"")</f>
        <v/>
      </c>
      <c r="V221" s="49">
        <f>IFERROR(V189/T189*100-100,"")</f>
        <v>2.203510662881186</v>
      </c>
      <c r="W221" s="49">
        <f>IFERROR(W189/V189*100-100,"")</f>
        <v>1.7232224199258894</v>
      </c>
      <c r="X221" s="49">
        <f t="shared" ref="X221:Y221" si="1126">IFERROR(X189/W189*100-100,"")</f>
        <v>2.0375176081113437</v>
      </c>
      <c r="Y221" s="49">
        <f t="shared" si="1126"/>
        <v>1.2600789752627009</v>
      </c>
      <c r="Z221" s="49" t="str">
        <f>IFERROR(Z189/U189*100-100,"")</f>
        <v/>
      </c>
      <c r="AA221" s="49">
        <f>IFERROR(AA189/Y189*100-100,"")</f>
        <v>5.6089102366826182E-2</v>
      </c>
      <c r="AB221" s="49">
        <f>IFERROR(AB189/AA189*100-100,"")</f>
        <v>3.2740800135390344</v>
      </c>
      <c r="AC221" s="49">
        <f t="shared" ref="AC221:AD221" si="1127">IFERROR(AC189/AB189*100-100,"")</f>
        <v>2.1521668487209666</v>
      </c>
      <c r="AD221" s="49">
        <f t="shared" si="1127"/>
        <v>2.3493660759078381</v>
      </c>
      <c r="AE221" s="49">
        <f>IFERROR(AE189/Z189*100-100,"")</f>
        <v>6.8229111083491603</v>
      </c>
      <c r="AF221" s="49">
        <f>IFERROR(AF189/AD189*100-100,"")</f>
        <v>1.1638155112164554</v>
      </c>
      <c r="AG221" s="49">
        <f>IFERROR(AG189/AF189*100-100,"")</f>
        <v>1.4627375646005873</v>
      </c>
      <c r="AH221" s="49">
        <f t="shared" ref="AH221:AI221" si="1128">IFERROR(AH189/AG189*100-100,"")</f>
        <v>1.8465074035653117</v>
      </c>
      <c r="AI221" s="49">
        <f t="shared" si="1128"/>
        <v>1.0728263851526663</v>
      </c>
      <c r="AJ221" s="49">
        <f>IFERROR(AJ189/AE189*100-100,"")</f>
        <v>7.1807769293638586</v>
      </c>
      <c r="AK221" s="49">
        <f>IFERROR(AK189/AI189*100-100,"")</f>
        <v>0.60428549549875754</v>
      </c>
      <c r="AL221" s="49">
        <f>IFERROR(AL189/AK189*100-100,"")</f>
        <v>0.97704007918065372</v>
      </c>
      <c r="AM221" s="49">
        <f t="shared" ref="AM221:AN221" si="1129">IFERROR(AM189/AL189*100-100,"")</f>
        <v>1.2106124360011279</v>
      </c>
      <c r="AN221" s="49">
        <f t="shared" si="1129"/>
        <v>1.5258178275680621</v>
      </c>
      <c r="AO221" s="49">
        <f>IFERROR(AO189/AJ189*100-100,"")</f>
        <v>4.4923978883913094</v>
      </c>
      <c r="AP221" s="49">
        <f>IFERROR(AP189/AN189*100-100,"")</f>
        <v>1.3785566709841675</v>
      </c>
      <c r="AQ221" s="49">
        <f>IFERROR(AQ189/AP189*100-100,"")</f>
        <v>1.139132726125311</v>
      </c>
      <c r="AR221" s="49">
        <f t="shared" ref="AR221:AS221" si="1130">IFERROR(AR189/AQ189*100-100,"")</f>
        <v>0.79119109680669908</v>
      </c>
      <c r="AS221" s="49">
        <f t="shared" si="1130"/>
        <v>0.65526576122918812</v>
      </c>
      <c r="AT221" s="49">
        <f>IFERROR(AT189/AO189*100-100,"")</f>
        <v>4.8466177026018187</v>
      </c>
      <c r="AU221" s="49">
        <f>IFERROR(AU189/AS189*100-100,"")</f>
        <v>0.35267994973156647</v>
      </c>
      <c r="AV221" s="49">
        <f>IFERROR(AV189/AU189*100-100,"")</f>
        <v>0.74897626893736913</v>
      </c>
      <c r="AW221" s="49">
        <f t="shared" ref="AW221:AX221" si="1131">IFERROR(AW189/AV189*100-100,"")</f>
        <v>0.61995006631303795</v>
      </c>
      <c r="AX221" s="49">
        <f t="shared" si="1131"/>
        <v>0.77676470574490963</v>
      </c>
      <c r="AY221" s="49">
        <f>IFERROR(AY189/AT189*100-100,"")</f>
        <v>2.6059864690876111</v>
      </c>
      <c r="AZ221" s="49">
        <f>IFERROR(AZ189/AX189*100-100,"")</f>
        <v>0.41141110029154504</v>
      </c>
      <c r="BA221" s="49">
        <f>IFERROR(BA189/AZ189*100-100,"")</f>
        <v>0.60784675206180339</v>
      </c>
      <c r="BB221" s="49">
        <f t="shared" ref="BB221:BC221" si="1132">IFERROR(BB189/BA189*100-100,"")</f>
        <v>0.37846548901150356</v>
      </c>
      <c r="BC221" s="49">
        <f t="shared" si="1132"/>
        <v>0.61211766403745571</v>
      </c>
      <c r="BD221" s="49">
        <f>IFERROR(BD189/AY189*100-100,"")</f>
        <v>2.3029312718690704</v>
      </c>
      <c r="BE221" s="49">
        <f>IFERROR(BE189/BC189*100-100,"")</f>
        <v>0.48704766604510041</v>
      </c>
      <c r="BF221" s="49">
        <f>IFERROR(BF189/BE189*100-100,"")</f>
        <v>0.65299497810617879</v>
      </c>
      <c r="BG221" s="49">
        <f t="shared" ref="BG221:BH221" si="1133">IFERROR(BG189/BF189*100-100,"")</f>
        <v>9.8768724243441852E-2</v>
      </c>
      <c r="BH221" s="49">
        <f t="shared" si="1133"/>
        <v>0.40586253276566708</v>
      </c>
      <c r="BI221" s="49">
        <f>IFERROR(BI189/BD189*100-100,"")</f>
        <v>1.932613592317395</v>
      </c>
      <c r="BJ221" s="49">
        <f>IFERROR(BJ189/BH189*100-100,"")</f>
        <v>0.50177815832357453</v>
      </c>
      <c r="BK221" s="49">
        <f>IFERROR(BK189/BJ189*100-100,"")</f>
        <v>0.1733025530841843</v>
      </c>
      <c r="BL221" s="49">
        <f t="shared" ref="BL221:BM221" si="1134">IFERROR(BL189/BK189*100-100,"")</f>
        <v>-0.29302209025622972</v>
      </c>
      <c r="BM221" s="49">
        <f t="shared" si="1134"/>
        <v>0.36039176300106135</v>
      </c>
      <c r="BN221" s="49">
        <f>IFERROR(BN189/BI189*100-100,"")</f>
        <v>1.0834827013556918</v>
      </c>
      <c r="BO221" s="49">
        <f>IFERROR(BO189/BM189*100-100,"")</f>
        <v>0.71895455303862832</v>
      </c>
      <c r="BP221" s="49">
        <f>IFERROR(BP189/BO189*100-100,"")</f>
        <v>0.55441483876057873</v>
      </c>
      <c r="BQ221" s="49">
        <f t="shared" ref="BQ221:BR221" si="1135">IFERROR(BQ189/BP189*100-100,"")</f>
        <v>0.75211192769764068</v>
      </c>
      <c r="BR221" s="49">
        <f t="shared" si="1135"/>
        <v>0.52745014332683127</v>
      </c>
      <c r="BS221" s="49">
        <f>IFERROR(BS189/BN189*100-100,"")</f>
        <v>1.8401304972482961</v>
      </c>
      <c r="BT221" s="49">
        <f>IFERROR(BT189/BR189*100-100,"")</f>
        <v>0.81270941610343073</v>
      </c>
      <c r="BU221" s="49">
        <f>IFERROR(BU189/BT189*100-100,"")</f>
        <v>1.4077998774133533</v>
      </c>
      <c r="BV221" s="49">
        <f t="shared" ref="BV221:BW221" si="1136">IFERROR(BV189/BU189*100-100,"")</f>
        <v>1.8920235034151318</v>
      </c>
      <c r="BW221" s="49">
        <f t="shared" si="1136"/>
        <v>0.65120682250908146</v>
      </c>
      <c r="BX221" s="49">
        <f>IFERROR(BX189/BS189*100-100,"")</f>
        <v>3.9869452588706054</v>
      </c>
      <c r="BY221" s="49">
        <f>IFERROR(BY189/BW189*100-100,"")</f>
        <v>0.18174348199553947</v>
      </c>
      <c r="BZ221" s="49">
        <f>IFERROR(BZ189/BY189*100-100,"")</f>
        <v>1.157120134924881</v>
      </c>
      <c r="CA221" s="49">
        <f t="shared" ref="CA221:CB221" si="1137">IFERROR(CA189/BZ189*100-100,"")</f>
        <v>0.25700260473806225</v>
      </c>
      <c r="CB221" s="49">
        <f t="shared" si="1137"/>
        <v>0.56901133263261272</v>
      </c>
      <c r="CC221" s="49">
        <f>IFERROR(CC189/BX189*100-100,"")</f>
        <v>3.0923220514487184</v>
      </c>
      <c r="CD221" s="49">
        <f>IFERROR(CD189/CB189*100-100,"")</f>
        <v>0.1689483445796327</v>
      </c>
      <c r="CE221" s="49">
        <f>IFERROR(CE189/CD189*100-100,"")</f>
        <v>1.1003868305722335</v>
      </c>
      <c r="CF221" s="49">
        <f t="shared" ref="CF221:CG221" si="1138">IFERROR(CF189/CE189*100-100,"")</f>
        <v>-4.1592485653652034E-2</v>
      </c>
      <c r="CG221" s="49">
        <f t="shared" si="1138"/>
        <v>0.55353642223083455</v>
      </c>
      <c r="CH221" s="49">
        <f>IFERROR(CH189/CC189*100-100,"")</f>
        <v>1.9625465733796688</v>
      </c>
      <c r="CI221" s="49">
        <f>IFERROR(CI189/CG189*100-100,"")</f>
        <v>0.29985278989687458</v>
      </c>
      <c r="CJ221" s="49">
        <f>IFERROR(CJ189/CI189*100-100,"")</f>
        <v>0.4114710825990926</v>
      </c>
      <c r="CK221" s="49">
        <f t="shared" ref="CK221:CL221" si="1139">IFERROR(CK189/CJ189*100-100,"")</f>
        <v>0.32739437547944306</v>
      </c>
      <c r="CL221" s="49">
        <f t="shared" si="1139"/>
        <v>0.5354113604807651</v>
      </c>
      <c r="CM221" s="49">
        <f>IFERROR(CM189/CH189*100-100,"")</f>
        <v>1.5800924514624199</v>
      </c>
      <c r="CN221" s="49" t="str">
        <f>IFERROR(CN189/CL189*100-100,"")</f>
        <v/>
      </c>
      <c r="CO221" s="49" t="str">
        <f>IFERROR(CO189/CN189*100-100,"")</f>
        <v/>
      </c>
      <c r="CP221" s="49" t="str">
        <f t="shared" ref="CP221:CQ221" si="1140">IFERROR(CP189/CO189*100-100,"")</f>
        <v/>
      </c>
      <c r="CQ221" s="49" t="str">
        <f t="shared" si="1140"/>
        <v/>
      </c>
      <c r="CR221" s="49" t="str">
        <f>IFERROR(CR189/CM189*100-100,"")</f>
        <v/>
      </c>
    </row>
    <row r="222" spans="1:96" s="9" customFormat="1" ht="15" x14ac:dyDescent="0.4">
      <c r="A222" s="28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29"/>
      <c r="BG222" s="29"/>
      <c r="BH222" s="29"/>
      <c r="BI222" s="29"/>
      <c r="BJ222" s="29"/>
      <c r="BK222" s="29"/>
      <c r="BL222" s="29"/>
      <c r="BM222" s="29"/>
      <c r="BN222" s="29"/>
      <c r="BO222" s="29"/>
      <c r="BP222" s="29"/>
      <c r="BQ222" s="29"/>
      <c r="BR222" s="29"/>
      <c r="BS222" s="29"/>
      <c r="BT222" s="29"/>
      <c r="BU222" s="29"/>
      <c r="BV222" s="29"/>
      <c r="BW222" s="29"/>
      <c r="BX222" s="29"/>
      <c r="BY222" s="29"/>
      <c r="BZ222" s="29"/>
      <c r="CA222" s="29"/>
      <c r="CB222" s="29"/>
      <c r="CC222" s="29"/>
      <c r="CD222" s="29"/>
      <c r="CE222" s="29"/>
      <c r="CF222" s="29"/>
      <c r="CG222" s="29"/>
      <c r="CH222" s="29"/>
      <c r="CI222" s="29"/>
      <c r="CJ222" s="29"/>
      <c r="CK222" s="29"/>
      <c r="CL222" s="29"/>
      <c r="CM222" s="29"/>
      <c r="CN222" s="29"/>
      <c r="CO222" s="29"/>
      <c r="CP222" s="29"/>
      <c r="CQ222" s="29"/>
      <c r="CR222" s="29"/>
    </row>
    <row r="223" spans="1:96" s="31" customFormat="1" ht="15" x14ac:dyDescent="0.4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  <c r="BF223" s="30"/>
      <c r="BG223" s="30"/>
      <c r="BH223" s="30"/>
      <c r="BI223" s="30"/>
      <c r="BJ223" s="30"/>
      <c r="BK223" s="30"/>
      <c r="BL223" s="30"/>
      <c r="BM223" s="30"/>
      <c r="BN223" s="30"/>
      <c r="BO223" s="30"/>
      <c r="BP223" s="30"/>
      <c r="BQ223" s="30"/>
      <c r="BR223" s="30"/>
      <c r="BS223" s="30"/>
      <c r="BT223" s="30"/>
      <c r="BU223" s="30"/>
      <c r="BV223" s="30"/>
      <c r="BW223" s="30"/>
      <c r="BX223" s="30"/>
      <c r="BY223" s="30"/>
      <c r="BZ223" s="30"/>
      <c r="CA223" s="30"/>
      <c r="CB223" s="30"/>
      <c r="CC223" s="30"/>
      <c r="CD223" s="30"/>
      <c r="CE223" s="30"/>
      <c r="CF223" s="30"/>
      <c r="CG223" s="30"/>
      <c r="CH223" s="30"/>
      <c r="CI223" s="30"/>
      <c r="CJ223" s="30"/>
      <c r="CK223" s="30"/>
      <c r="CL223" s="30"/>
      <c r="CM223" s="30"/>
      <c r="CN223" s="30"/>
      <c r="CO223" s="30"/>
      <c r="CP223" s="30"/>
      <c r="CQ223" s="30"/>
      <c r="CR223" s="30"/>
    </row>
    <row r="224" spans="1:96" s="31" customFormat="1" ht="15" x14ac:dyDescent="0.4">
      <c r="A224" s="32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D224" s="33"/>
      <c r="BE224" s="33"/>
      <c r="BF224" s="33"/>
      <c r="BG224" s="33"/>
      <c r="BH224" s="33"/>
      <c r="BI224" s="33"/>
      <c r="BJ224" s="33"/>
      <c r="BK224" s="33"/>
      <c r="BL224" s="33"/>
      <c r="BM224" s="33"/>
      <c r="BN224" s="33"/>
      <c r="BO224" s="33"/>
      <c r="BP224" s="33"/>
      <c r="BQ224" s="33"/>
      <c r="BR224" s="33"/>
      <c r="BS224" s="33"/>
      <c r="BT224" s="33"/>
      <c r="BU224" s="33"/>
      <c r="BV224" s="33"/>
      <c r="BW224" s="33"/>
      <c r="BX224" s="33"/>
      <c r="BY224" s="33"/>
      <c r="BZ224" s="33"/>
      <c r="CA224" s="33"/>
      <c r="CB224" s="33"/>
      <c r="CC224" s="33"/>
      <c r="CD224" s="33"/>
      <c r="CE224" s="33"/>
      <c r="CF224" s="33"/>
      <c r="CG224" s="33"/>
      <c r="CH224" s="33"/>
      <c r="CI224" s="33"/>
      <c r="CJ224" s="33"/>
      <c r="CK224" s="33"/>
      <c r="CL224" s="33"/>
      <c r="CM224" s="33"/>
      <c r="CN224" s="33"/>
      <c r="CO224" s="33"/>
      <c r="CP224" s="33"/>
      <c r="CQ224" s="33"/>
      <c r="CR224" s="33"/>
    </row>
    <row r="225" spans="1:96" ht="20" x14ac:dyDescent="0.4">
      <c r="A225" s="1" t="s">
        <v>102</v>
      </c>
    </row>
    <row r="226" spans="1:96" ht="20.5" thickBot="1" x14ac:dyDescent="0.45">
      <c r="A226" s="1" t="str">
        <f>A194</f>
        <v>Kabupaten/Kota :</v>
      </c>
      <c r="B226" s="34" t="str">
        <f>B194</f>
        <v>Kepuluauan Tanimbar</v>
      </c>
      <c r="L226" s="35"/>
      <c r="V226" s="35"/>
      <c r="AF226" s="35"/>
      <c r="AP226" s="35"/>
      <c r="AZ226" s="35"/>
      <c r="BJ226" s="35"/>
      <c r="BT226" s="35"/>
    </row>
    <row r="227" spans="1:96" s="9" customFormat="1" ht="24" customHeight="1" thickBot="1" x14ac:dyDescent="0.35">
      <c r="A227" s="5" t="s">
        <v>2</v>
      </c>
      <c r="B227" s="6" t="s">
        <v>3</v>
      </c>
      <c r="C227" s="6" t="s">
        <v>4</v>
      </c>
      <c r="D227" s="6" t="s">
        <v>5</v>
      </c>
      <c r="E227" s="6" t="s">
        <v>6</v>
      </c>
      <c r="F227" s="6">
        <v>2008</v>
      </c>
      <c r="G227" s="7" t="s">
        <v>7</v>
      </c>
      <c r="H227" s="7" t="s">
        <v>8</v>
      </c>
      <c r="I227" s="7" t="s">
        <v>9</v>
      </c>
      <c r="J227" s="7" t="s">
        <v>10</v>
      </c>
      <c r="K227" s="7">
        <v>2009</v>
      </c>
      <c r="L227" s="6" t="s">
        <v>11</v>
      </c>
      <c r="M227" s="6" t="s">
        <v>12</v>
      </c>
      <c r="N227" s="6" t="s">
        <v>13</v>
      </c>
      <c r="O227" s="6" t="s">
        <v>14</v>
      </c>
      <c r="P227" s="6">
        <v>2010</v>
      </c>
      <c r="Q227" s="7" t="s">
        <v>15</v>
      </c>
      <c r="R227" s="7" t="s">
        <v>16</v>
      </c>
      <c r="S227" s="7" t="s">
        <v>17</v>
      </c>
      <c r="T227" s="7" t="s">
        <v>18</v>
      </c>
      <c r="U227" s="7">
        <v>2011</v>
      </c>
      <c r="V227" s="6" t="s">
        <v>19</v>
      </c>
      <c r="W227" s="6" t="s">
        <v>20</v>
      </c>
      <c r="X227" s="6" t="s">
        <v>21</v>
      </c>
      <c r="Y227" s="6" t="s">
        <v>22</v>
      </c>
      <c r="Z227" s="6">
        <v>2012</v>
      </c>
      <c r="AA227" s="7" t="s">
        <v>23</v>
      </c>
      <c r="AB227" s="7" t="s">
        <v>24</v>
      </c>
      <c r="AC227" s="7" t="s">
        <v>25</v>
      </c>
      <c r="AD227" s="7" t="s">
        <v>26</v>
      </c>
      <c r="AE227" s="7">
        <v>2013</v>
      </c>
      <c r="AF227" s="6" t="s">
        <v>27</v>
      </c>
      <c r="AG227" s="6" t="s">
        <v>28</v>
      </c>
      <c r="AH227" s="6" t="s">
        <v>29</v>
      </c>
      <c r="AI227" s="6" t="s">
        <v>30</v>
      </c>
      <c r="AJ227" s="6">
        <v>2014</v>
      </c>
      <c r="AK227" s="7" t="s">
        <v>31</v>
      </c>
      <c r="AL227" s="7" t="s">
        <v>32</v>
      </c>
      <c r="AM227" s="7" t="s">
        <v>33</v>
      </c>
      <c r="AN227" s="7" t="s">
        <v>34</v>
      </c>
      <c r="AO227" s="7">
        <v>2015</v>
      </c>
      <c r="AP227" s="6" t="s">
        <v>35</v>
      </c>
      <c r="AQ227" s="6" t="s">
        <v>36</v>
      </c>
      <c r="AR227" s="6" t="s">
        <v>37</v>
      </c>
      <c r="AS227" s="6" t="s">
        <v>38</v>
      </c>
      <c r="AT227" s="6">
        <v>2016</v>
      </c>
      <c r="AU227" s="7" t="s">
        <v>39</v>
      </c>
      <c r="AV227" s="7" t="s">
        <v>40</v>
      </c>
      <c r="AW227" s="7" t="s">
        <v>41</v>
      </c>
      <c r="AX227" s="7" t="s">
        <v>42</v>
      </c>
      <c r="AY227" s="7">
        <v>2017</v>
      </c>
      <c r="AZ227" s="6" t="s">
        <v>43</v>
      </c>
      <c r="BA227" s="6" t="s">
        <v>44</v>
      </c>
      <c r="BB227" s="6" t="s">
        <v>45</v>
      </c>
      <c r="BC227" s="6" t="s">
        <v>46</v>
      </c>
      <c r="BD227" s="6">
        <v>2018</v>
      </c>
      <c r="BE227" s="7" t="s">
        <v>47</v>
      </c>
      <c r="BF227" s="7" t="s">
        <v>48</v>
      </c>
      <c r="BG227" s="7" t="s">
        <v>49</v>
      </c>
      <c r="BH227" s="7" t="s">
        <v>50</v>
      </c>
      <c r="BI227" s="7">
        <v>2019</v>
      </c>
      <c r="BJ227" s="6" t="s">
        <v>51</v>
      </c>
      <c r="BK227" s="6" t="s">
        <v>52</v>
      </c>
      <c r="BL227" s="6" t="s">
        <v>53</v>
      </c>
      <c r="BM227" s="6" t="s">
        <v>54</v>
      </c>
      <c r="BN227" s="6">
        <v>2020</v>
      </c>
      <c r="BO227" s="7" t="s">
        <v>55</v>
      </c>
      <c r="BP227" s="7" t="s">
        <v>56</v>
      </c>
      <c r="BQ227" s="7" t="s">
        <v>57</v>
      </c>
      <c r="BR227" s="7" t="s">
        <v>58</v>
      </c>
      <c r="BS227" s="7">
        <v>2021</v>
      </c>
      <c r="BT227" s="6" t="s">
        <v>59</v>
      </c>
      <c r="BU227" s="6" t="s">
        <v>60</v>
      </c>
      <c r="BV227" s="6" t="s">
        <v>61</v>
      </c>
      <c r="BW227" s="6" t="s">
        <v>62</v>
      </c>
      <c r="BX227" s="6">
        <v>2022</v>
      </c>
      <c r="BY227" s="7" t="s">
        <v>63</v>
      </c>
      <c r="BZ227" s="7" t="s">
        <v>64</v>
      </c>
      <c r="CA227" s="7" t="s">
        <v>65</v>
      </c>
      <c r="CB227" s="7" t="s">
        <v>66</v>
      </c>
      <c r="CC227" s="7">
        <v>2023</v>
      </c>
      <c r="CD227" s="8" t="s">
        <v>67</v>
      </c>
      <c r="CE227" s="8" t="s">
        <v>68</v>
      </c>
      <c r="CF227" s="8" t="s">
        <v>69</v>
      </c>
      <c r="CG227" s="8" t="s">
        <v>70</v>
      </c>
      <c r="CH227" s="8">
        <v>2024</v>
      </c>
      <c r="CI227" s="7" t="s">
        <v>71</v>
      </c>
      <c r="CJ227" s="7" t="s">
        <v>72</v>
      </c>
      <c r="CK227" s="7" t="s">
        <v>73</v>
      </c>
      <c r="CL227" s="7" t="s">
        <v>74</v>
      </c>
      <c r="CM227" s="7">
        <v>2025</v>
      </c>
      <c r="CN227" s="8" t="s">
        <v>75</v>
      </c>
      <c r="CO227" s="8" t="s">
        <v>76</v>
      </c>
      <c r="CP227" s="8" t="s">
        <v>77</v>
      </c>
      <c r="CQ227" s="8" t="s">
        <v>78</v>
      </c>
      <c r="CR227" s="8">
        <v>2026</v>
      </c>
    </row>
    <row r="228" spans="1:96" s="9" customFormat="1" ht="13.5" thickBot="1" x14ac:dyDescent="0.35">
      <c r="A228" s="10">
        <v>-1</v>
      </c>
      <c r="B228" s="11">
        <f>Table3361019181011121636465666768696106116126[[#This Row],[Komponen Pengeluaran]]-1</f>
        <v>-2</v>
      </c>
      <c r="C228" s="11">
        <f>B228-1</f>
        <v>-3</v>
      </c>
      <c r="D228" s="11">
        <f t="shared" ref="D228:BO228" si="1141">C228-1</f>
        <v>-4</v>
      </c>
      <c r="E228" s="11">
        <f t="shared" si="1141"/>
        <v>-5</v>
      </c>
      <c r="F228" s="11">
        <f t="shared" si="1141"/>
        <v>-6</v>
      </c>
      <c r="G228" s="11">
        <f t="shared" si="1141"/>
        <v>-7</v>
      </c>
      <c r="H228" s="11">
        <f t="shared" si="1141"/>
        <v>-8</v>
      </c>
      <c r="I228" s="11">
        <f t="shared" si="1141"/>
        <v>-9</v>
      </c>
      <c r="J228" s="11">
        <f t="shared" si="1141"/>
        <v>-10</v>
      </c>
      <c r="K228" s="11">
        <f t="shared" si="1141"/>
        <v>-11</v>
      </c>
      <c r="L228" s="11">
        <f t="shared" si="1141"/>
        <v>-12</v>
      </c>
      <c r="M228" s="11">
        <f t="shared" si="1141"/>
        <v>-13</v>
      </c>
      <c r="N228" s="11">
        <f t="shared" si="1141"/>
        <v>-14</v>
      </c>
      <c r="O228" s="11">
        <f t="shared" si="1141"/>
        <v>-15</v>
      </c>
      <c r="P228" s="11">
        <f t="shared" si="1141"/>
        <v>-16</v>
      </c>
      <c r="Q228" s="11">
        <f t="shared" si="1141"/>
        <v>-17</v>
      </c>
      <c r="R228" s="11">
        <f t="shared" si="1141"/>
        <v>-18</v>
      </c>
      <c r="S228" s="11">
        <f t="shared" si="1141"/>
        <v>-19</v>
      </c>
      <c r="T228" s="11">
        <f t="shared" si="1141"/>
        <v>-20</v>
      </c>
      <c r="U228" s="11">
        <f t="shared" si="1141"/>
        <v>-21</v>
      </c>
      <c r="V228" s="11">
        <f t="shared" si="1141"/>
        <v>-22</v>
      </c>
      <c r="W228" s="11">
        <f t="shared" si="1141"/>
        <v>-23</v>
      </c>
      <c r="X228" s="11">
        <f t="shared" si="1141"/>
        <v>-24</v>
      </c>
      <c r="Y228" s="11">
        <f t="shared" si="1141"/>
        <v>-25</v>
      </c>
      <c r="Z228" s="11">
        <f t="shared" si="1141"/>
        <v>-26</v>
      </c>
      <c r="AA228" s="11">
        <f t="shared" si="1141"/>
        <v>-27</v>
      </c>
      <c r="AB228" s="11">
        <f t="shared" si="1141"/>
        <v>-28</v>
      </c>
      <c r="AC228" s="11">
        <f t="shared" si="1141"/>
        <v>-29</v>
      </c>
      <c r="AD228" s="11">
        <f t="shared" si="1141"/>
        <v>-30</v>
      </c>
      <c r="AE228" s="11">
        <f t="shared" si="1141"/>
        <v>-31</v>
      </c>
      <c r="AF228" s="11">
        <f t="shared" si="1141"/>
        <v>-32</v>
      </c>
      <c r="AG228" s="11">
        <f t="shared" si="1141"/>
        <v>-33</v>
      </c>
      <c r="AH228" s="11">
        <f t="shared" si="1141"/>
        <v>-34</v>
      </c>
      <c r="AI228" s="11">
        <f t="shared" si="1141"/>
        <v>-35</v>
      </c>
      <c r="AJ228" s="11">
        <f t="shared" si="1141"/>
        <v>-36</v>
      </c>
      <c r="AK228" s="11">
        <f t="shared" si="1141"/>
        <v>-37</v>
      </c>
      <c r="AL228" s="11">
        <f t="shared" si="1141"/>
        <v>-38</v>
      </c>
      <c r="AM228" s="11">
        <f t="shared" si="1141"/>
        <v>-39</v>
      </c>
      <c r="AN228" s="11">
        <f t="shared" si="1141"/>
        <v>-40</v>
      </c>
      <c r="AO228" s="11">
        <f t="shared" si="1141"/>
        <v>-41</v>
      </c>
      <c r="AP228" s="11">
        <f t="shared" si="1141"/>
        <v>-42</v>
      </c>
      <c r="AQ228" s="11">
        <f t="shared" si="1141"/>
        <v>-43</v>
      </c>
      <c r="AR228" s="11">
        <f t="shared" si="1141"/>
        <v>-44</v>
      </c>
      <c r="AS228" s="11">
        <f t="shared" si="1141"/>
        <v>-45</v>
      </c>
      <c r="AT228" s="11">
        <f t="shared" si="1141"/>
        <v>-46</v>
      </c>
      <c r="AU228" s="11">
        <f t="shared" si="1141"/>
        <v>-47</v>
      </c>
      <c r="AV228" s="11">
        <f t="shared" si="1141"/>
        <v>-48</v>
      </c>
      <c r="AW228" s="11">
        <f t="shared" si="1141"/>
        <v>-49</v>
      </c>
      <c r="AX228" s="11">
        <f t="shared" si="1141"/>
        <v>-50</v>
      </c>
      <c r="AY228" s="11">
        <f t="shared" si="1141"/>
        <v>-51</v>
      </c>
      <c r="AZ228" s="11">
        <f t="shared" si="1141"/>
        <v>-52</v>
      </c>
      <c r="BA228" s="11">
        <f t="shared" si="1141"/>
        <v>-53</v>
      </c>
      <c r="BB228" s="11">
        <f t="shared" si="1141"/>
        <v>-54</v>
      </c>
      <c r="BC228" s="11">
        <f t="shared" si="1141"/>
        <v>-55</v>
      </c>
      <c r="BD228" s="11">
        <f t="shared" si="1141"/>
        <v>-56</v>
      </c>
      <c r="BE228" s="11">
        <f t="shared" si="1141"/>
        <v>-57</v>
      </c>
      <c r="BF228" s="11">
        <f t="shared" si="1141"/>
        <v>-58</v>
      </c>
      <c r="BG228" s="11">
        <f t="shared" si="1141"/>
        <v>-59</v>
      </c>
      <c r="BH228" s="11">
        <f t="shared" si="1141"/>
        <v>-60</v>
      </c>
      <c r="BI228" s="11">
        <f t="shared" si="1141"/>
        <v>-61</v>
      </c>
      <c r="BJ228" s="11">
        <f t="shared" si="1141"/>
        <v>-62</v>
      </c>
      <c r="BK228" s="11">
        <f t="shared" si="1141"/>
        <v>-63</v>
      </c>
      <c r="BL228" s="11">
        <f t="shared" si="1141"/>
        <v>-64</v>
      </c>
      <c r="BM228" s="11">
        <f t="shared" si="1141"/>
        <v>-65</v>
      </c>
      <c r="BN228" s="11">
        <f t="shared" si="1141"/>
        <v>-66</v>
      </c>
      <c r="BO228" s="11">
        <f t="shared" si="1141"/>
        <v>-67</v>
      </c>
      <c r="BP228" s="11">
        <f t="shared" ref="BP228:CR228" si="1142">BO228-1</f>
        <v>-68</v>
      </c>
      <c r="BQ228" s="11">
        <f t="shared" si="1142"/>
        <v>-69</v>
      </c>
      <c r="BR228" s="11">
        <f t="shared" si="1142"/>
        <v>-70</v>
      </c>
      <c r="BS228" s="11">
        <f t="shared" si="1142"/>
        <v>-71</v>
      </c>
      <c r="BT228" s="11">
        <f t="shared" si="1142"/>
        <v>-72</v>
      </c>
      <c r="BU228" s="11">
        <f t="shared" si="1142"/>
        <v>-73</v>
      </c>
      <c r="BV228" s="11">
        <f t="shared" si="1142"/>
        <v>-74</v>
      </c>
      <c r="BW228" s="11">
        <f t="shared" si="1142"/>
        <v>-75</v>
      </c>
      <c r="BX228" s="11">
        <f t="shared" si="1142"/>
        <v>-76</v>
      </c>
      <c r="BY228" s="11">
        <f t="shared" si="1142"/>
        <v>-77</v>
      </c>
      <c r="BZ228" s="11">
        <f t="shared" si="1142"/>
        <v>-78</v>
      </c>
      <c r="CA228" s="11">
        <f t="shared" si="1142"/>
        <v>-79</v>
      </c>
      <c r="CB228" s="11">
        <f t="shared" si="1142"/>
        <v>-80</v>
      </c>
      <c r="CC228" s="11">
        <f t="shared" si="1142"/>
        <v>-81</v>
      </c>
      <c r="CD228" s="11">
        <f t="shared" si="1142"/>
        <v>-82</v>
      </c>
      <c r="CE228" s="11">
        <f t="shared" si="1142"/>
        <v>-83</v>
      </c>
      <c r="CF228" s="11">
        <f t="shared" si="1142"/>
        <v>-84</v>
      </c>
      <c r="CG228" s="11">
        <f t="shared" si="1142"/>
        <v>-85</v>
      </c>
      <c r="CH228" s="11">
        <f t="shared" si="1142"/>
        <v>-86</v>
      </c>
      <c r="CI228" s="11">
        <f t="shared" si="1142"/>
        <v>-87</v>
      </c>
      <c r="CJ228" s="11">
        <f t="shared" si="1142"/>
        <v>-88</v>
      </c>
      <c r="CK228" s="11">
        <f t="shared" si="1142"/>
        <v>-89</v>
      </c>
      <c r="CL228" s="11">
        <f t="shared" si="1142"/>
        <v>-90</v>
      </c>
      <c r="CM228" s="11">
        <f t="shared" si="1142"/>
        <v>-91</v>
      </c>
      <c r="CN228" s="11">
        <f t="shared" si="1142"/>
        <v>-92</v>
      </c>
      <c r="CO228" s="11">
        <f t="shared" si="1142"/>
        <v>-93</v>
      </c>
      <c r="CP228" s="11">
        <f t="shared" si="1142"/>
        <v>-94</v>
      </c>
      <c r="CQ228" s="11">
        <f t="shared" si="1142"/>
        <v>-95</v>
      </c>
      <c r="CR228" s="11">
        <f t="shared" si="1142"/>
        <v>-96</v>
      </c>
    </row>
    <row r="229" spans="1:96" s="9" customFormat="1" ht="16.5" thickTop="1" x14ac:dyDescent="0.4">
      <c r="A229" s="12"/>
      <c r="B229" s="36"/>
      <c r="C229" s="36"/>
      <c r="D229" s="36"/>
      <c r="E229" s="36"/>
      <c r="F229" s="36"/>
      <c r="G229" s="13"/>
      <c r="H229" s="13"/>
      <c r="I229" s="13"/>
      <c r="J229" s="13"/>
      <c r="K229" s="14"/>
      <c r="L229" s="13"/>
      <c r="M229" s="13"/>
      <c r="N229" s="13"/>
      <c r="O229" s="13"/>
      <c r="P229" s="14"/>
      <c r="Q229" s="13"/>
      <c r="R229" s="13"/>
      <c r="S229" s="13"/>
      <c r="T229" s="13"/>
      <c r="U229" s="14"/>
      <c r="V229" s="13"/>
      <c r="W229" s="13"/>
      <c r="X229" s="13"/>
      <c r="Y229" s="13"/>
      <c r="Z229" s="14"/>
      <c r="AA229" s="13"/>
      <c r="AB229" s="13"/>
      <c r="AC229" s="13"/>
      <c r="AD229" s="13"/>
      <c r="AE229" s="14"/>
      <c r="AF229" s="13"/>
      <c r="AG229" s="13"/>
      <c r="AH229" s="13"/>
      <c r="AI229" s="13"/>
      <c r="AJ229" s="14"/>
      <c r="AK229" s="13"/>
      <c r="AL229" s="13"/>
      <c r="AM229" s="13"/>
      <c r="AN229" s="13"/>
      <c r="AO229" s="14"/>
      <c r="AP229" s="13"/>
      <c r="AQ229" s="13"/>
      <c r="AR229" s="13"/>
      <c r="AS229" s="13"/>
      <c r="AT229" s="14"/>
      <c r="AU229" s="13"/>
      <c r="AV229" s="13"/>
      <c r="AW229" s="13"/>
      <c r="AX229" s="13"/>
      <c r="AY229" s="14"/>
      <c r="AZ229" s="13"/>
      <c r="BA229" s="13"/>
      <c r="BB229" s="13"/>
      <c r="BC229" s="13"/>
      <c r="BD229" s="14"/>
      <c r="BE229" s="13"/>
      <c r="BF229" s="13"/>
      <c r="BG229" s="13"/>
      <c r="BH229" s="13"/>
      <c r="BI229" s="14"/>
      <c r="BJ229" s="13"/>
      <c r="BK229" s="13"/>
      <c r="BL229" s="13"/>
      <c r="BM229" s="13"/>
      <c r="BN229" s="14"/>
      <c r="BO229" s="13"/>
      <c r="BP229" s="13"/>
      <c r="BQ229" s="13"/>
      <c r="BR229" s="13"/>
      <c r="BS229" s="14"/>
      <c r="BT229" s="13"/>
      <c r="BU229" s="13"/>
      <c r="BV229" s="13"/>
      <c r="BW229" s="13"/>
      <c r="BX229" s="14"/>
      <c r="BY229" s="13"/>
      <c r="BZ229" s="13"/>
      <c r="CA229" s="13"/>
      <c r="CB229" s="13"/>
      <c r="CC229" s="14"/>
      <c r="CD229" s="13"/>
      <c r="CE229" s="13"/>
      <c r="CF229" s="13"/>
      <c r="CG229" s="13"/>
      <c r="CH229" s="14"/>
      <c r="CI229" s="13"/>
      <c r="CJ229" s="13"/>
      <c r="CK229" s="13"/>
      <c r="CL229" s="13"/>
      <c r="CM229" s="14"/>
      <c r="CN229" s="13"/>
      <c r="CO229" s="13"/>
      <c r="CP229" s="13"/>
      <c r="CQ229" s="13"/>
      <c r="CR229" s="14"/>
    </row>
    <row r="230" spans="1:96" s="17" customFormat="1" ht="15" x14ac:dyDescent="0.4">
      <c r="A230" s="15" t="s">
        <v>79</v>
      </c>
      <c r="B230" s="37"/>
      <c r="C230" s="37"/>
      <c r="D230" s="37"/>
      <c r="E230" s="37"/>
      <c r="F230" s="37"/>
      <c r="G230" s="16">
        <f>IFERROR(G166/B166*100-100,"")</f>
        <v>4.5520133359765396</v>
      </c>
      <c r="H230" s="16">
        <f t="shared" ref="H230:L237" si="1143">IFERROR(H166/C166*100-100,"")</f>
        <v>4.7928497961765117</v>
      </c>
      <c r="I230" s="16">
        <f t="shared" si="1143"/>
        <v>3.3547702567868924</v>
      </c>
      <c r="J230" s="16">
        <f t="shared" si="1143"/>
        <v>2.6336128913717118</v>
      </c>
      <c r="K230" s="16">
        <f t="shared" si="1143"/>
        <v>3.8025491414916957</v>
      </c>
      <c r="L230" s="16">
        <f>IFERROR(L166/G166*100-100,"")</f>
        <v>3.4788788793691907</v>
      </c>
      <c r="M230" s="16">
        <f t="shared" ref="M230:Q237" si="1144">IFERROR(M166/H166*100-100,"")</f>
        <v>6.3822318787642729</v>
      </c>
      <c r="N230" s="16">
        <f t="shared" si="1144"/>
        <v>4.7803192269181523</v>
      </c>
      <c r="O230" s="16">
        <f t="shared" si="1144"/>
        <v>2.4894426717298614</v>
      </c>
      <c r="P230" s="16">
        <f t="shared" si="1144"/>
        <v>4.2378226933550422</v>
      </c>
      <c r="Q230" s="16">
        <f>IFERROR(Q166/L166*100-100,"")</f>
        <v>-3.3909230708098903</v>
      </c>
      <c r="R230" s="16" t="str">
        <f t="shared" ref="R230:V237" si="1145">IFERROR(R166/M166*100-100,"")</f>
        <v/>
      </c>
      <c r="S230" s="16">
        <f t="shared" si="1145"/>
        <v>7.0426125675029567</v>
      </c>
      <c r="T230" s="16">
        <f t="shared" si="1145"/>
        <v>5.2296199269981685</v>
      </c>
      <c r="U230" s="16" t="str">
        <f t="shared" si="1145"/>
        <v/>
      </c>
      <c r="V230" s="16">
        <f>IFERROR(V166/Q166*100-100,"")</f>
        <v>22.438726008669533</v>
      </c>
      <c r="W230" s="16" t="str">
        <f t="shared" ref="W230:AA237" si="1146">IFERROR(W166/R166*100-100,"")</f>
        <v/>
      </c>
      <c r="X230" s="16">
        <f t="shared" si="1146"/>
        <v>5.8068534492122836</v>
      </c>
      <c r="Y230" s="16">
        <f t="shared" si="1146"/>
        <v>9.9587703321238905</v>
      </c>
      <c r="Z230" s="16" t="str">
        <f t="shared" si="1146"/>
        <v/>
      </c>
      <c r="AA230" s="16">
        <f>IFERROR(AA166/V166*100-100,"")</f>
        <v>2.0786117516256013</v>
      </c>
      <c r="AB230" s="16">
        <f t="shared" ref="AB230:AF237" si="1147">IFERROR(AB166/W166*100-100,"")</f>
        <v>4.7461423097034015</v>
      </c>
      <c r="AC230" s="16">
        <f t="shared" si="1147"/>
        <v>10.952581118026757</v>
      </c>
      <c r="AD230" s="16">
        <f t="shared" si="1147"/>
        <v>12.812157418499709</v>
      </c>
      <c r="AE230" s="16">
        <f t="shared" si="1147"/>
        <v>7.8618201235787382</v>
      </c>
      <c r="AF230" s="16">
        <f>IFERROR(AF166/AA166*100-100,"")</f>
        <v>11.34294982332122</v>
      </c>
      <c r="AG230" s="16">
        <f t="shared" ref="AG230:AK237" si="1148">IFERROR(AG166/AB166*100-100,"")</f>
        <v>8.3335241703407945</v>
      </c>
      <c r="AH230" s="16">
        <f t="shared" si="1148"/>
        <v>4.8311697414203252</v>
      </c>
      <c r="AI230" s="16">
        <f t="shared" si="1148"/>
        <v>4.4875003133869882</v>
      </c>
      <c r="AJ230" s="16">
        <f t="shared" si="1148"/>
        <v>7.0090364303000001</v>
      </c>
      <c r="AK230" s="16">
        <f>IFERROR(AK166/AF166*100-100,"")</f>
        <v>5.0326441634125842</v>
      </c>
      <c r="AL230" s="16">
        <f t="shared" ref="AL230:AP237" si="1149">IFERROR(AL166/AG166*100-100,"")</f>
        <v>6.6053651697293816</v>
      </c>
      <c r="AM230" s="16">
        <f t="shared" si="1149"/>
        <v>7.2057032648845905</v>
      </c>
      <c r="AN230" s="16">
        <f t="shared" si="1149"/>
        <v>7.0182549802612755</v>
      </c>
      <c r="AO230" s="16">
        <f t="shared" si="1149"/>
        <v>6.5102582983236346</v>
      </c>
      <c r="AP230" s="16">
        <f>IFERROR(AP166/AK166*100-100,"")</f>
        <v>7.7306785619813922</v>
      </c>
      <c r="AQ230" s="16">
        <f t="shared" ref="AQ230:AU237" si="1150">IFERROR(AQ166/AL166*100-100,"")</f>
        <v>5.4055770895448347</v>
      </c>
      <c r="AR230" s="16">
        <f t="shared" si="1150"/>
        <v>4.979769652665027</v>
      </c>
      <c r="AS230" s="16">
        <f t="shared" si="1150"/>
        <v>4.4462893366320202</v>
      </c>
      <c r="AT230" s="16">
        <f t="shared" si="1150"/>
        <v>5.5378725879126733</v>
      </c>
      <c r="AU230" s="16">
        <f>IFERROR(AU166/AP166*100-100,"")</f>
        <v>2.5300703921240881</v>
      </c>
      <c r="AV230" s="16">
        <f t="shared" ref="AV230:AZ237" si="1151">IFERROR(AV166/AQ166*100-100,"")</f>
        <v>3.5183832689757395</v>
      </c>
      <c r="AW230" s="16">
        <f t="shared" si="1151"/>
        <v>3.5310021812475583</v>
      </c>
      <c r="AX230" s="16">
        <f t="shared" si="1151"/>
        <v>2.711383285573632</v>
      </c>
      <c r="AY230" s="16">
        <f t="shared" si="1151"/>
        <v>3.0832038298693902</v>
      </c>
      <c r="AZ230" s="16">
        <f>IFERROR(AZ166/AU166*100-100,"")</f>
        <v>2.4422432799529759</v>
      </c>
      <c r="BA230" s="16">
        <f t="shared" ref="BA230:BE237" si="1152">IFERROR(BA166/AV166*100-100,"")</f>
        <v>1.885922833186342</v>
      </c>
      <c r="BB230" s="16">
        <f t="shared" si="1152"/>
        <v>0.96892567525380002</v>
      </c>
      <c r="BC230" s="16">
        <f t="shared" si="1152"/>
        <v>0.62584152171289986</v>
      </c>
      <c r="BD230" s="16">
        <f t="shared" si="1152"/>
        <v>1.4438368970695876</v>
      </c>
      <c r="BE230" s="16">
        <f>IFERROR(BE166/AZ166*100-100,"")</f>
        <v>2.7946859310074643</v>
      </c>
      <c r="BF230" s="16">
        <f t="shared" ref="BF230:BJ237" si="1153">IFERROR(BF166/BA166*100-100,"")</f>
        <v>3.0117856277838371</v>
      </c>
      <c r="BG230" s="16">
        <f t="shared" si="1153"/>
        <v>5.7198777066531648</v>
      </c>
      <c r="BH230" s="16">
        <f t="shared" si="1153"/>
        <v>4.9731873049204296</v>
      </c>
      <c r="BI230" s="16">
        <f t="shared" si="1153"/>
        <v>4.1651631316599094</v>
      </c>
      <c r="BJ230" s="16">
        <f>IFERROR(BJ166/BE166*100-100,"")</f>
        <v>0.80530011633391041</v>
      </c>
      <c r="BK230" s="16">
        <f t="shared" ref="BK230:BO237" si="1154">IFERROR(BK166/BF166*100-100,"")</f>
        <v>2.325276202344611</v>
      </c>
      <c r="BL230" s="16">
        <f t="shared" si="1154"/>
        <v>2.4791320839710806</v>
      </c>
      <c r="BM230" s="16">
        <f t="shared" si="1154"/>
        <v>3.3579167346699137</v>
      </c>
      <c r="BN230" s="16">
        <f t="shared" si="1154"/>
        <v>2.2135439697406269</v>
      </c>
      <c r="BO230" s="16">
        <f>IFERROR(BO166/BJ166*100-100,"")</f>
        <v>6.1464487468671649</v>
      </c>
      <c r="BP230" s="16">
        <f t="shared" ref="BP230:BT237" si="1155">IFERROR(BP166/BK166*100-100,"")</f>
        <v>6.2405014745080791</v>
      </c>
      <c r="BQ230" s="16">
        <f t="shared" si="1155"/>
        <v>0.70147405150400743</v>
      </c>
      <c r="BR230" s="16">
        <f t="shared" si="1155"/>
        <v>3.7166006141089269</v>
      </c>
      <c r="BS230" s="16">
        <f t="shared" si="1155"/>
        <v>4.1785738220523285</v>
      </c>
      <c r="BT230" s="16">
        <f>IFERROR(BT166/BO166*100-100,"")</f>
        <v>4.6367779996348162</v>
      </c>
      <c r="BU230" s="16">
        <f t="shared" ref="BU230:BY237" si="1156">IFERROR(BU166/BP166*100-100,"")</f>
        <v>3.2739131039727312</v>
      </c>
      <c r="BV230" s="16">
        <f t="shared" si="1156"/>
        <v>7.0898007207269984</v>
      </c>
      <c r="BW230" s="16">
        <f t="shared" si="1156"/>
        <v>4.2534617797057166</v>
      </c>
      <c r="BX230" s="16">
        <f t="shared" si="1156"/>
        <v>4.7943495674446694</v>
      </c>
      <c r="BY230" s="16">
        <f>IFERROR(BY166/BT166*100-100,"")</f>
        <v>3.0643758025294972</v>
      </c>
      <c r="BZ230" s="16">
        <f t="shared" ref="BZ230:CD237" si="1157">IFERROR(BZ166/BU166*100-100,"")</f>
        <v>3.5214165426529007</v>
      </c>
      <c r="CA230" s="16">
        <f t="shared" si="1157"/>
        <v>3.0844141957304032</v>
      </c>
      <c r="CB230" s="16">
        <f t="shared" si="1157"/>
        <v>3.1400351548677179</v>
      </c>
      <c r="CC230" s="16">
        <f t="shared" si="1157"/>
        <v>3.1999659835450558</v>
      </c>
      <c r="CD230" s="16">
        <f>IFERROR(CD166/BY166*100-100,"")</f>
        <v>2.0337347326928779</v>
      </c>
      <c r="CE230" s="16">
        <f t="shared" ref="CE230:CI237" si="1158">IFERROR(CE166/BZ166*100-100,"")</f>
        <v>2.7289308836169681</v>
      </c>
      <c r="CF230" s="16">
        <f t="shared" si="1158"/>
        <v>2.5224299809335236</v>
      </c>
      <c r="CG230" s="16">
        <f t="shared" si="1158"/>
        <v>0.9913077862098163</v>
      </c>
      <c r="CH230" s="16">
        <f t="shared" si="1158"/>
        <v>2.0549926711897655</v>
      </c>
      <c r="CI230" s="16">
        <f>IFERROR(CI166/CD166*100-100,"")</f>
        <v>1.8956142674230421</v>
      </c>
      <c r="CJ230" s="16">
        <f t="shared" ref="CJ230:CN237" si="1159">IFERROR(CJ166/CE166*100-100,"")</f>
        <v>3.1559053520942939</v>
      </c>
      <c r="CK230" s="16">
        <f t="shared" si="1159"/>
        <v>5.3068926423064795</v>
      </c>
      <c r="CL230" s="16">
        <f t="shared" si="1159"/>
        <v>5.835861315146488</v>
      </c>
      <c r="CM230" s="16">
        <f t="shared" si="1159"/>
        <v>4.0761654520248243</v>
      </c>
      <c r="CN230" s="16" t="str">
        <f>IFERROR(CN166/CI166*100-100,"")</f>
        <v/>
      </c>
      <c r="CO230" s="16" t="str">
        <f t="shared" ref="CO230:CR237" si="1160">IFERROR(CO166/CJ166*100-100,"")</f>
        <v/>
      </c>
      <c r="CP230" s="16" t="str">
        <f t="shared" si="1160"/>
        <v/>
      </c>
      <c r="CQ230" s="16" t="str">
        <f t="shared" si="1160"/>
        <v/>
      </c>
      <c r="CR230" s="16" t="str">
        <f t="shared" si="1160"/>
        <v/>
      </c>
    </row>
    <row r="231" spans="1:96" s="9" customFormat="1" ht="15" x14ac:dyDescent="0.4">
      <c r="A231" s="18" t="s">
        <v>80</v>
      </c>
      <c r="B231" s="38"/>
      <c r="C231" s="38"/>
      <c r="D231" s="38"/>
      <c r="E231" s="38"/>
      <c r="F231" s="38"/>
      <c r="G231" s="39">
        <f>IFERROR(G167/B167*100-100,"")</f>
        <v>5.2242196074156766</v>
      </c>
      <c r="H231" s="39">
        <f t="shared" si="1143"/>
        <v>5.8300933706098732</v>
      </c>
      <c r="I231" s="39">
        <f t="shared" si="1143"/>
        <v>2.505808014198152</v>
      </c>
      <c r="J231" s="39">
        <f t="shared" si="1143"/>
        <v>1.0801884350622544</v>
      </c>
      <c r="K231" s="40">
        <f t="shared" si="1143"/>
        <v>3.5803173809699302</v>
      </c>
      <c r="L231" s="39">
        <f>IFERROR(L167/G167*100-100,"")</f>
        <v>3.4503926420458697</v>
      </c>
      <c r="M231" s="39">
        <f t="shared" si="1144"/>
        <v>6.5974453330702971</v>
      </c>
      <c r="N231" s="39">
        <f t="shared" si="1144"/>
        <v>4.7258243661012784</v>
      </c>
      <c r="O231" s="39">
        <f t="shared" si="1144"/>
        <v>1.5218347879711587</v>
      </c>
      <c r="P231" s="40">
        <f t="shared" si="1144"/>
        <v>4.0213116634325416</v>
      </c>
      <c r="Q231" s="39">
        <f>IFERROR(Q167/L167*100-100,"")</f>
        <v>-6.3696307141125175</v>
      </c>
      <c r="R231" s="39" t="str">
        <f t="shared" si="1145"/>
        <v/>
      </c>
      <c r="S231" s="39">
        <f t="shared" si="1145"/>
        <v>8.3594616996699642</v>
      </c>
      <c r="T231" s="39">
        <f t="shared" si="1145"/>
        <v>2.6938274236215847</v>
      </c>
      <c r="U231" s="40" t="str">
        <f t="shared" si="1145"/>
        <v/>
      </c>
      <c r="V231" s="39">
        <f>IFERROR(V167/Q167*100-100,"")</f>
        <v>30.502256855643139</v>
      </c>
      <c r="W231" s="39" t="str">
        <f t="shared" si="1146"/>
        <v/>
      </c>
      <c r="X231" s="39">
        <f t="shared" si="1146"/>
        <v>3.8277344678777467</v>
      </c>
      <c r="Y231" s="39">
        <f t="shared" si="1146"/>
        <v>13.128349458266712</v>
      </c>
      <c r="Z231" s="40" t="str">
        <f t="shared" si="1146"/>
        <v/>
      </c>
      <c r="AA231" s="39">
        <f>IFERROR(AA167/V167*100-100,"")</f>
        <v>-2.9943082015234666</v>
      </c>
      <c r="AB231" s="39">
        <f t="shared" si="1147"/>
        <v>2.3275876306080079</v>
      </c>
      <c r="AC231" s="39">
        <f t="shared" si="1147"/>
        <v>13.701115255900234</v>
      </c>
      <c r="AD231" s="39">
        <f t="shared" si="1147"/>
        <v>16.239354260065753</v>
      </c>
      <c r="AE231" s="40">
        <f t="shared" si="1147"/>
        <v>7.4895339689303455</v>
      </c>
      <c r="AF231" s="39">
        <f>IFERROR(AF167/AA167*100-100,"")</f>
        <v>13.019163223478074</v>
      </c>
      <c r="AG231" s="39">
        <f t="shared" si="1148"/>
        <v>8.6906095892129542</v>
      </c>
      <c r="AH231" s="39">
        <f t="shared" si="1148"/>
        <v>4.0066536746194714</v>
      </c>
      <c r="AI231" s="39">
        <f t="shared" si="1148"/>
        <v>3.7446346180679342</v>
      </c>
      <c r="AJ231" s="40">
        <f t="shared" si="1148"/>
        <v>7.006109817443857</v>
      </c>
      <c r="AK231" s="39">
        <f>IFERROR(AK167/AF167*100-100,"")</f>
        <v>5.3140425233090269</v>
      </c>
      <c r="AL231" s="39">
        <f t="shared" si="1149"/>
        <v>7.5712029873147912</v>
      </c>
      <c r="AM231" s="39">
        <f t="shared" si="1149"/>
        <v>8.2812627584030594</v>
      </c>
      <c r="AN231" s="39">
        <f t="shared" si="1149"/>
        <v>7.893604045603908</v>
      </c>
      <c r="AO231" s="40">
        <f t="shared" si="1149"/>
        <v>7.3278024565790076</v>
      </c>
      <c r="AP231" s="39">
        <f>IFERROR(AP167/AK167*100-100,"")</f>
        <v>8.6655024333615671</v>
      </c>
      <c r="AQ231" s="39">
        <f t="shared" si="1150"/>
        <v>5.4957828476871526</v>
      </c>
      <c r="AR231" s="39">
        <f t="shared" si="1150"/>
        <v>4.9738594612705782</v>
      </c>
      <c r="AS231" s="39">
        <f t="shared" si="1150"/>
        <v>4.2802572261157366</v>
      </c>
      <c r="AT231" s="40">
        <f t="shared" si="1150"/>
        <v>5.7175815410019766</v>
      </c>
      <c r="AU231" s="39">
        <f>IFERROR(AU167/AP167*100-100,"")</f>
        <v>2.0543323863080616</v>
      </c>
      <c r="AV231" s="39">
        <f t="shared" si="1151"/>
        <v>3.4197592147221343</v>
      </c>
      <c r="AW231" s="39">
        <f t="shared" si="1151"/>
        <v>3.4613022871738792</v>
      </c>
      <c r="AX231" s="39">
        <f t="shared" si="1151"/>
        <v>2.3441313345355042</v>
      </c>
      <c r="AY231" s="40">
        <f t="shared" si="1151"/>
        <v>2.834504897116858</v>
      </c>
      <c r="AZ231" s="39">
        <f>IFERROR(AZ167/AU167*100-100,"")</f>
        <v>1.8995147320367778</v>
      </c>
      <c r="BA231" s="39">
        <f t="shared" si="1152"/>
        <v>1.0069086342381297</v>
      </c>
      <c r="BB231" s="39">
        <f t="shared" si="1152"/>
        <v>-0.21018674848887997</v>
      </c>
      <c r="BC231" s="39">
        <f t="shared" si="1152"/>
        <v>-0.56355560902869684</v>
      </c>
      <c r="BD231" s="40">
        <f t="shared" si="1152"/>
        <v>0.47489904590727861</v>
      </c>
      <c r="BE231" s="39">
        <f>IFERROR(BE167/AZ167*100-100,"")</f>
        <v>2.4852937593376652</v>
      </c>
      <c r="BF231" s="39">
        <f t="shared" si="1153"/>
        <v>3.0892472557135591</v>
      </c>
      <c r="BG231" s="39">
        <f t="shared" si="1153"/>
        <v>7.30683759389035</v>
      </c>
      <c r="BH231" s="39">
        <f t="shared" si="1153"/>
        <v>6.3313203462899139</v>
      </c>
      <c r="BI231" s="40">
        <f t="shared" si="1153"/>
        <v>4.8745984920220025</v>
      </c>
      <c r="BJ231" s="39">
        <f>IFERROR(BJ167/BE167*100-100,"")</f>
        <v>7.7427088443798198E-2</v>
      </c>
      <c r="BK231" s="39">
        <f t="shared" si="1154"/>
        <v>2.3626654072492101</v>
      </c>
      <c r="BL231" s="39">
        <f t="shared" si="1154"/>
        <v>2.2923005386360558</v>
      </c>
      <c r="BM231" s="39">
        <f t="shared" si="1154"/>
        <v>3.4483095908182975</v>
      </c>
      <c r="BN231" s="40">
        <f t="shared" si="1154"/>
        <v>2.0206687013998987</v>
      </c>
      <c r="BO231" s="39">
        <f>IFERROR(BO167/BJ167*100-100,"")</f>
        <v>7.7219966787991154</v>
      </c>
      <c r="BP231" s="39">
        <f t="shared" si="1155"/>
        <v>7.4107371528353525</v>
      </c>
      <c r="BQ231" s="39">
        <f t="shared" si="1155"/>
        <v>-6.8217656038868313E-2</v>
      </c>
      <c r="BR231" s="39">
        <f t="shared" si="1155"/>
        <v>3.7032199808710402</v>
      </c>
      <c r="BS231" s="40">
        <f t="shared" si="1155"/>
        <v>4.6244661721549107</v>
      </c>
      <c r="BT231" s="39">
        <f>IFERROR(BT167/BO167*100-100,"")</f>
        <v>4.6374429101016403</v>
      </c>
      <c r="BU231" s="39">
        <f t="shared" si="1156"/>
        <v>2.6826660574330532</v>
      </c>
      <c r="BV231" s="39">
        <f t="shared" si="1156"/>
        <v>7.7067625075554247</v>
      </c>
      <c r="BW231" s="39">
        <f t="shared" si="1156"/>
        <v>4.2195755668702049</v>
      </c>
      <c r="BX231" s="40">
        <f t="shared" si="1156"/>
        <v>4.7752667102970037</v>
      </c>
      <c r="BY231" s="39">
        <f>IFERROR(BY167/BT167*100-100,"")</f>
        <v>3.1141913774650192</v>
      </c>
      <c r="BZ231" s="39">
        <f t="shared" si="1157"/>
        <v>4.0161864832844145</v>
      </c>
      <c r="CA231" s="39">
        <f t="shared" si="1157"/>
        <v>3.5213934400086373</v>
      </c>
      <c r="CB231" s="39">
        <f t="shared" si="1157"/>
        <v>3.6197063341771667</v>
      </c>
      <c r="CC231" s="40">
        <f t="shared" si="1157"/>
        <v>3.5721548319404945</v>
      </c>
      <c r="CD231" s="39">
        <f>IFERROR(CD167/BY167*100-100,"")</f>
        <v>2.0657365392957132</v>
      </c>
      <c r="CE231" s="39">
        <f t="shared" si="1158"/>
        <v>2.9088416875866017</v>
      </c>
      <c r="CF231" s="39">
        <f t="shared" si="1158"/>
        <v>2.4428089119059564</v>
      </c>
      <c r="CG231" s="39">
        <f t="shared" si="1158"/>
        <v>0.23018739319286396</v>
      </c>
      <c r="CH231" s="40">
        <f t="shared" si="1158"/>
        <v>1.888571378801231</v>
      </c>
      <c r="CI231" s="39">
        <f>IFERROR(CI167/CD167*100-100,"")</f>
        <v>2.0808425782962985</v>
      </c>
      <c r="CJ231" s="39">
        <f t="shared" si="1159"/>
        <v>3.19567493201383</v>
      </c>
      <c r="CK231" s="39">
        <f t="shared" si="1159"/>
        <v>6.1835666307164132</v>
      </c>
      <c r="CL231" s="39">
        <f t="shared" si="1159"/>
        <v>6.827987021243743</v>
      </c>
      <c r="CM231" s="40">
        <f t="shared" si="1159"/>
        <v>4.6001920175519473</v>
      </c>
      <c r="CN231" s="39" t="str">
        <f>IFERROR(CN167/CI167*100-100,"")</f>
        <v/>
      </c>
      <c r="CO231" s="39" t="str">
        <f t="shared" si="1160"/>
        <v/>
      </c>
      <c r="CP231" s="39" t="str">
        <f t="shared" si="1160"/>
        <v/>
      </c>
      <c r="CQ231" s="39" t="str">
        <f t="shared" si="1160"/>
        <v/>
      </c>
      <c r="CR231" s="40" t="str">
        <f t="shared" si="1160"/>
        <v/>
      </c>
    </row>
    <row r="232" spans="1:96" s="9" customFormat="1" ht="15" x14ac:dyDescent="0.4">
      <c r="A232" s="18" t="s">
        <v>81</v>
      </c>
      <c r="B232" s="41"/>
      <c r="C232" s="41"/>
      <c r="D232" s="41"/>
      <c r="E232" s="41"/>
      <c r="F232" s="41"/>
      <c r="G232" s="39">
        <f t="shared" ref="G232:G237" si="1161">IFERROR(G168/B168*100-100,"")</f>
        <v>3.4038102596966695</v>
      </c>
      <c r="H232" s="39">
        <f t="shared" si="1143"/>
        <v>2.008021371331111</v>
      </c>
      <c r="I232" s="39">
        <f t="shared" si="1143"/>
        <v>8.8093089133964781</v>
      </c>
      <c r="J232" s="39">
        <f t="shared" si="1143"/>
        <v>1.6224175789890012</v>
      </c>
      <c r="K232" s="40">
        <f t="shared" si="1143"/>
        <v>3.9325504056851628</v>
      </c>
      <c r="L232" s="39">
        <f t="shared" si="1143"/>
        <v>1.6044952033765583</v>
      </c>
      <c r="M232" s="39">
        <f t="shared" si="1144"/>
        <v>9.0266680836904527</v>
      </c>
      <c r="N232" s="39">
        <f t="shared" si="1144"/>
        <v>10.062374126543077</v>
      </c>
      <c r="O232" s="39">
        <f t="shared" si="1144"/>
        <v>13.459390886224213</v>
      </c>
      <c r="P232" s="40">
        <f t="shared" si="1144"/>
        <v>7.9179291864476937</v>
      </c>
      <c r="Q232" s="39">
        <f t="shared" si="1144"/>
        <v>7.7691583635010915</v>
      </c>
      <c r="R232" s="39" t="str">
        <f t="shared" si="1145"/>
        <v/>
      </c>
      <c r="S232" s="39">
        <f t="shared" si="1145"/>
        <v>3.2495607785790952</v>
      </c>
      <c r="T232" s="39">
        <f t="shared" si="1145"/>
        <v>8.0082796541112771</v>
      </c>
      <c r="U232" s="40" t="str">
        <f t="shared" si="1145"/>
        <v/>
      </c>
      <c r="V232" s="39">
        <f t="shared" si="1145"/>
        <v>5.580867460685198</v>
      </c>
      <c r="W232" s="39" t="str">
        <f t="shared" si="1146"/>
        <v/>
      </c>
      <c r="X232" s="39">
        <f t="shared" si="1146"/>
        <v>4.2279563269212304</v>
      </c>
      <c r="Y232" s="39">
        <f t="shared" si="1146"/>
        <v>-2.8716534779220666</v>
      </c>
      <c r="Z232" s="40" t="str">
        <f t="shared" si="1146"/>
        <v/>
      </c>
      <c r="AA232" s="39">
        <f t="shared" si="1146"/>
        <v>21.315930726876744</v>
      </c>
      <c r="AB232" s="39">
        <f t="shared" si="1147"/>
        <v>9.2458083062409742</v>
      </c>
      <c r="AC232" s="39">
        <f t="shared" si="1147"/>
        <v>4.9880786426055721</v>
      </c>
      <c r="AD232" s="39">
        <f t="shared" si="1147"/>
        <v>7.490310404859386</v>
      </c>
      <c r="AE232" s="40">
        <f t="shared" si="1147"/>
        <v>9.853297727997969</v>
      </c>
      <c r="AF232" s="39">
        <f t="shared" si="1147"/>
        <v>10.682576964519086</v>
      </c>
      <c r="AG232" s="39">
        <f t="shared" si="1148"/>
        <v>13.060028532007223</v>
      </c>
      <c r="AH232" s="39">
        <f t="shared" si="1148"/>
        <v>8.8970733260489681</v>
      </c>
      <c r="AI232" s="39">
        <f t="shared" si="1148"/>
        <v>7.6615278852416111</v>
      </c>
      <c r="AJ232" s="40">
        <f t="shared" si="1148"/>
        <v>9.9561037589199941</v>
      </c>
      <c r="AK232" s="39">
        <f t="shared" si="1148"/>
        <v>3.1255193784101891</v>
      </c>
      <c r="AL232" s="39">
        <f t="shared" si="1149"/>
        <v>1.064274139274616</v>
      </c>
      <c r="AM232" s="39">
        <f t="shared" si="1149"/>
        <v>2.3976400318699262</v>
      </c>
      <c r="AN232" s="39">
        <f t="shared" si="1149"/>
        <v>2.7253079593064058</v>
      </c>
      <c r="AO232" s="40">
        <f t="shared" si="1149"/>
        <v>2.3398667524678416</v>
      </c>
      <c r="AP232" s="39">
        <f t="shared" si="1149"/>
        <v>7.1805852191999548</v>
      </c>
      <c r="AQ232" s="39">
        <f t="shared" si="1150"/>
        <v>8.2495682980353422</v>
      </c>
      <c r="AR232" s="39">
        <f t="shared" si="1150"/>
        <v>7.129333359834817</v>
      </c>
      <c r="AS232" s="39">
        <f t="shared" si="1150"/>
        <v>6.9646152948665332</v>
      </c>
      <c r="AT232" s="40">
        <f t="shared" si="1150"/>
        <v>7.3234909111756537</v>
      </c>
      <c r="AU232" s="39">
        <f t="shared" si="1150"/>
        <v>3.5870976364380027</v>
      </c>
      <c r="AV232" s="39">
        <f t="shared" si="1151"/>
        <v>2.6941945985666109</v>
      </c>
      <c r="AW232" s="39">
        <f t="shared" si="1151"/>
        <v>2.0790297230560952</v>
      </c>
      <c r="AX232" s="39">
        <f t="shared" si="1151"/>
        <v>1.5736775593748149</v>
      </c>
      <c r="AY232" s="40">
        <f t="shared" si="1151"/>
        <v>2.4365827135110578</v>
      </c>
      <c r="AZ232" s="39">
        <f t="shared" si="1151"/>
        <v>1.7975544081454444</v>
      </c>
      <c r="BA232" s="39">
        <f t="shared" si="1152"/>
        <v>1.9619437398702928</v>
      </c>
      <c r="BB232" s="39">
        <f t="shared" si="1152"/>
        <v>4.7983410709837386</v>
      </c>
      <c r="BC232" s="39">
        <f t="shared" si="1152"/>
        <v>4.5503965910808262</v>
      </c>
      <c r="BD232" s="40">
        <f t="shared" si="1152"/>
        <v>3.3350844212400403</v>
      </c>
      <c r="BE232" s="39">
        <f t="shared" si="1152"/>
        <v>5.6408865473020882</v>
      </c>
      <c r="BF232" s="39">
        <f t="shared" si="1153"/>
        <v>8.1247841394073532</v>
      </c>
      <c r="BG232" s="39">
        <f t="shared" si="1153"/>
        <v>4.487046127914823</v>
      </c>
      <c r="BH232" s="39">
        <f t="shared" si="1153"/>
        <v>4.8879995125007412</v>
      </c>
      <c r="BI232" s="40">
        <f t="shared" si="1153"/>
        <v>5.7524484646410201</v>
      </c>
      <c r="BJ232" s="39">
        <f t="shared" si="1153"/>
        <v>4.8443879447272167</v>
      </c>
      <c r="BK232" s="39">
        <f t="shared" si="1154"/>
        <v>2.6332982549763102</v>
      </c>
      <c r="BL232" s="39">
        <f t="shared" si="1154"/>
        <v>3.8413728006251375</v>
      </c>
      <c r="BM232" s="39">
        <f t="shared" si="1154"/>
        <v>4.6587969489721104</v>
      </c>
      <c r="BN232" s="40">
        <f t="shared" si="1154"/>
        <v>3.8197442190783875</v>
      </c>
      <c r="BO232" s="39">
        <f t="shared" si="1154"/>
        <v>3.2044358123527701</v>
      </c>
      <c r="BP232" s="39">
        <f t="shared" si="1155"/>
        <v>2.9841515062296793</v>
      </c>
      <c r="BQ232" s="39">
        <f t="shared" si="1155"/>
        <v>2.7213567984245088</v>
      </c>
      <c r="BR232" s="39">
        <f t="shared" si="1155"/>
        <v>1.928408419223345</v>
      </c>
      <c r="BS232" s="40">
        <f t="shared" si="1155"/>
        <v>2.8362891306540376</v>
      </c>
      <c r="BT232" s="39">
        <f t="shared" si="1155"/>
        <v>3.8224413292394814</v>
      </c>
      <c r="BU232" s="39">
        <f t="shared" si="1156"/>
        <v>4.9472432356649279</v>
      </c>
      <c r="BV232" s="39">
        <f t="shared" si="1156"/>
        <v>6.3409984742169883</v>
      </c>
      <c r="BW232" s="39">
        <f t="shared" si="1156"/>
        <v>6.1903282794737038</v>
      </c>
      <c r="BX232" s="40">
        <f t="shared" si="1156"/>
        <v>5.384818946568501</v>
      </c>
      <c r="BY232" s="39">
        <f t="shared" si="1156"/>
        <v>3.3124561323545549</v>
      </c>
      <c r="BZ232" s="39">
        <f t="shared" si="1157"/>
        <v>1.4584635743471637</v>
      </c>
      <c r="CA232" s="39">
        <f t="shared" si="1157"/>
        <v>-0.60000433803247688</v>
      </c>
      <c r="CB232" s="39">
        <f t="shared" si="1157"/>
        <v>-0.6146705841892981</v>
      </c>
      <c r="CC232" s="40">
        <f t="shared" si="1157"/>
        <v>0.79433718638912865</v>
      </c>
      <c r="CD232" s="39">
        <f t="shared" si="1157"/>
        <v>4.2784376193012008E-2</v>
      </c>
      <c r="CE232" s="39">
        <f t="shared" si="1158"/>
        <v>0.8063204919602498</v>
      </c>
      <c r="CF232" s="39">
        <f t="shared" si="1158"/>
        <v>1.4824492177778552</v>
      </c>
      <c r="CG232" s="39">
        <f t="shared" si="1158"/>
        <v>1.5175597885035188</v>
      </c>
      <c r="CH232" s="40">
        <f t="shared" si="1158"/>
        <v>0.96768958838673313</v>
      </c>
      <c r="CI232" s="39">
        <f t="shared" si="1158"/>
        <v>1.9478299077249801</v>
      </c>
      <c r="CJ232" s="39">
        <f t="shared" si="1159"/>
        <v>0.526632381379045</v>
      </c>
      <c r="CK232" s="39">
        <f t="shared" si="1159"/>
        <v>0.89248175490949677</v>
      </c>
      <c r="CL232" s="39">
        <f t="shared" si="1159"/>
        <v>-6.3727194587102076E-3</v>
      </c>
      <c r="CM232" s="40">
        <f t="shared" si="1159"/>
        <v>0.8254023789253182</v>
      </c>
      <c r="CN232" s="39" t="str">
        <f t="shared" si="1159"/>
        <v/>
      </c>
      <c r="CO232" s="39" t="str">
        <f t="shared" si="1160"/>
        <v/>
      </c>
      <c r="CP232" s="39" t="str">
        <f t="shared" si="1160"/>
        <v/>
      </c>
      <c r="CQ232" s="39" t="str">
        <f t="shared" si="1160"/>
        <v/>
      </c>
      <c r="CR232" s="40" t="str">
        <f t="shared" si="1160"/>
        <v/>
      </c>
    </row>
    <row r="233" spans="1:96" s="9" customFormat="1" ht="15" x14ac:dyDescent="0.4">
      <c r="A233" s="18" t="s">
        <v>82</v>
      </c>
      <c r="B233" s="38"/>
      <c r="C233" s="38"/>
      <c r="D233" s="38"/>
      <c r="E233" s="38"/>
      <c r="F233" s="38"/>
      <c r="G233" s="39">
        <f t="shared" si="1161"/>
        <v>2.5402029655765119</v>
      </c>
      <c r="H233" s="39">
        <f t="shared" si="1143"/>
        <v>4.0649341389265174</v>
      </c>
      <c r="I233" s="39">
        <f t="shared" si="1143"/>
        <v>1.3669954760476202</v>
      </c>
      <c r="J233" s="39">
        <f t="shared" si="1143"/>
        <v>8.5449237544129204</v>
      </c>
      <c r="K233" s="40">
        <f t="shared" si="1143"/>
        <v>4.1634261980980369</v>
      </c>
      <c r="L233" s="39">
        <f t="shared" si="1143"/>
        <v>3.4662656820826214</v>
      </c>
      <c r="M233" s="39">
        <f t="shared" si="1144"/>
        <v>4.7504120774191705</v>
      </c>
      <c r="N233" s="39">
        <f t="shared" si="1144"/>
        <v>5.9974551439930082</v>
      </c>
      <c r="O233" s="39">
        <f t="shared" si="1144"/>
        <v>1.3160181314628545</v>
      </c>
      <c r="P233" s="40">
        <f t="shared" si="1144"/>
        <v>3.8531827332051023</v>
      </c>
      <c r="Q233" s="39">
        <f t="shared" si="1144"/>
        <v>2.8005669075315041</v>
      </c>
      <c r="R233" s="39" t="str">
        <f t="shared" si="1145"/>
        <v/>
      </c>
      <c r="S233" s="39">
        <f t="shared" si="1145"/>
        <v>6.6440277317523453</v>
      </c>
      <c r="T233" s="39">
        <f t="shared" si="1145"/>
        <v>5.216048842557683</v>
      </c>
      <c r="U233" s="40" t="str">
        <f t="shared" si="1145"/>
        <v/>
      </c>
      <c r="V233" s="39">
        <f t="shared" si="1145"/>
        <v>0.28717795154371117</v>
      </c>
      <c r="W233" s="39" t="str">
        <f t="shared" si="1146"/>
        <v/>
      </c>
      <c r="X233" s="39">
        <f t="shared" si="1146"/>
        <v>15.001052847792266</v>
      </c>
      <c r="Y233" s="39">
        <f t="shared" si="1146"/>
        <v>16.37834730497336</v>
      </c>
      <c r="Z233" s="40" t="str">
        <f t="shared" si="1146"/>
        <v/>
      </c>
      <c r="AA233" s="39">
        <f t="shared" si="1146"/>
        <v>20.910656715229663</v>
      </c>
      <c r="AB233" s="39">
        <f t="shared" si="1147"/>
        <v>8.3939090180290066</v>
      </c>
      <c r="AC233" s="39">
        <f t="shared" si="1147"/>
        <v>1.9820522184931662</v>
      </c>
      <c r="AD233" s="39">
        <f t="shared" si="1147"/>
        <v>3.9997480924804449</v>
      </c>
      <c r="AE233" s="40">
        <f t="shared" si="1147"/>
        <v>8.0233045184233731</v>
      </c>
      <c r="AF233" s="39">
        <f t="shared" si="1147"/>
        <v>5.3856842442425119</v>
      </c>
      <c r="AG233" s="39">
        <f t="shared" si="1148"/>
        <v>5.7565533781581735</v>
      </c>
      <c r="AH233" s="39">
        <f t="shared" si="1148"/>
        <v>5.8050873374308765</v>
      </c>
      <c r="AI233" s="39">
        <f t="shared" si="1148"/>
        <v>5.0577846911149749</v>
      </c>
      <c r="AJ233" s="40">
        <f t="shared" si="1148"/>
        <v>5.5118503310991969</v>
      </c>
      <c r="AK233" s="39">
        <f t="shared" si="1148"/>
        <v>3.3311496551269926</v>
      </c>
      <c r="AL233" s="39">
        <f t="shared" si="1149"/>
        <v>2.1414537414351571</v>
      </c>
      <c r="AM233" s="39">
        <f t="shared" si="1149"/>
        <v>1.9088125645980512</v>
      </c>
      <c r="AN233" s="39">
        <f t="shared" si="1149"/>
        <v>3.2009977183425207</v>
      </c>
      <c r="AO233" s="40">
        <f t="shared" si="1149"/>
        <v>2.6242704821752909</v>
      </c>
      <c r="AP233" s="39">
        <f t="shared" si="1149"/>
        <v>4.3156420962174451</v>
      </c>
      <c r="AQ233" s="39">
        <f t="shared" si="1150"/>
        <v>4.1395948878695918</v>
      </c>
      <c r="AR233" s="39">
        <f t="shared" si="1150"/>
        <v>4.3248862362217437</v>
      </c>
      <c r="AS233" s="39">
        <f t="shared" si="1150"/>
        <v>3.8285676706229026</v>
      </c>
      <c r="AT233" s="40">
        <f t="shared" si="1150"/>
        <v>4.1331620728457352</v>
      </c>
      <c r="AU233" s="39">
        <f t="shared" si="1150"/>
        <v>2.1660755059441215</v>
      </c>
      <c r="AV233" s="39">
        <f t="shared" si="1151"/>
        <v>2.9030435198464772</v>
      </c>
      <c r="AW233" s="39">
        <f t="shared" si="1151"/>
        <v>2.619836434647894</v>
      </c>
      <c r="AX233" s="39">
        <f t="shared" si="1151"/>
        <v>3.1487290030553652</v>
      </c>
      <c r="AY233" s="40">
        <f t="shared" si="1151"/>
        <v>2.7119553204068865</v>
      </c>
      <c r="AZ233" s="39">
        <f t="shared" si="1151"/>
        <v>3.0688027588408886</v>
      </c>
      <c r="BA233" s="39">
        <f t="shared" si="1152"/>
        <v>2.9034157060415993</v>
      </c>
      <c r="BB233" s="39">
        <f t="shared" si="1152"/>
        <v>2.136369556624345</v>
      </c>
      <c r="BC233" s="39">
        <f t="shared" si="1152"/>
        <v>1.5966712580425053</v>
      </c>
      <c r="BD233" s="40">
        <f t="shared" si="1152"/>
        <v>2.4078811386882819</v>
      </c>
      <c r="BE233" s="39">
        <f t="shared" si="1152"/>
        <v>2.1488251889215206</v>
      </c>
      <c r="BF233" s="39">
        <f t="shared" si="1153"/>
        <v>1.1005289172375683</v>
      </c>
      <c r="BG233" s="39">
        <f t="shared" si="1153"/>
        <v>1.3667402675618945</v>
      </c>
      <c r="BH233" s="39">
        <f t="shared" si="1153"/>
        <v>0.8157525906206331</v>
      </c>
      <c r="BI233" s="40">
        <f t="shared" si="1153"/>
        <v>1.3432024933446343</v>
      </c>
      <c r="BJ233" s="39">
        <f t="shared" si="1153"/>
        <v>1.3390405183860992</v>
      </c>
      <c r="BK233" s="39">
        <f t="shared" si="1154"/>
        <v>0.20200055487316604</v>
      </c>
      <c r="BL233" s="39">
        <f t="shared" si="1154"/>
        <v>1.9764804549019459</v>
      </c>
      <c r="BM233" s="39">
        <f t="shared" si="1154"/>
        <v>0.82324716542379406</v>
      </c>
      <c r="BN233" s="40">
        <f t="shared" si="1154"/>
        <v>1.0816546099560895</v>
      </c>
      <c r="BO233" s="39">
        <f t="shared" si="1154"/>
        <v>2.1103522811750821</v>
      </c>
      <c r="BP233" s="39">
        <f t="shared" si="1155"/>
        <v>3.7145461146143646</v>
      </c>
      <c r="BQ233" s="39">
        <f t="shared" si="1155"/>
        <v>1.6851595311078142</v>
      </c>
      <c r="BR233" s="39">
        <f t="shared" si="1155"/>
        <v>4.3174282094362155</v>
      </c>
      <c r="BS233" s="40">
        <f t="shared" si="1155"/>
        <v>2.9561160000603763</v>
      </c>
      <c r="BT233" s="39">
        <f t="shared" si="1155"/>
        <v>2.2926549349615755</v>
      </c>
      <c r="BU233" s="39">
        <f t="shared" si="1156"/>
        <v>3.5928123994748375</v>
      </c>
      <c r="BV233" s="39">
        <f t="shared" si="1156"/>
        <v>3.5356661977426995</v>
      </c>
      <c r="BW233" s="39">
        <f t="shared" si="1156"/>
        <v>2.5156402342147999</v>
      </c>
      <c r="BX233" s="40">
        <f t="shared" si="1156"/>
        <v>3.0050652319016535</v>
      </c>
      <c r="BY233" s="39">
        <f t="shared" si="1156"/>
        <v>2.3881206145920828</v>
      </c>
      <c r="BZ233" s="39">
        <f t="shared" si="1157"/>
        <v>1.1524648085290607</v>
      </c>
      <c r="CA233" s="39">
        <f t="shared" si="1157"/>
        <v>2.2947017015776368</v>
      </c>
      <c r="CB233" s="39">
        <f t="shared" si="1157"/>
        <v>1.9396619451991057</v>
      </c>
      <c r="CC233" s="40">
        <f t="shared" si="1157"/>
        <v>1.9262996894962185</v>
      </c>
      <c r="CD233" s="39">
        <f t="shared" si="1157"/>
        <v>2.0235410527596827</v>
      </c>
      <c r="CE233" s="39">
        <f t="shared" si="1158"/>
        <v>2.4759738857591032</v>
      </c>
      <c r="CF233" s="39">
        <f t="shared" si="1158"/>
        <v>2.2605536945137601</v>
      </c>
      <c r="CG233" s="39">
        <f t="shared" si="1158"/>
        <v>2.0804450758774635</v>
      </c>
      <c r="CH233" s="40">
        <f t="shared" si="1158"/>
        <v>2.2011913979263369</v>
      </c>
      <c r="CI233" s="39">
        <f t="shared" si="1158"/>
        <v>-6.5298517582842237</v>
      </c>
      <c r="CJ233" s="39">
        <f t="shared" si="1159"/>
        <v>2.1490595755822852</v>
      </c>
      <c r="CK233" s="39">
        <f t="shared" si="1159"/>
        <v>0.84244902065131555</v>
      </c>
      <c r="CL233" s="39">
        <f t="shared" si="1159"/>
        <v>0.96584360980183703</v>
      </c>
      <c r="CM233" s="40">
        <f t="shared" si="1159"/>
        <v>-0.58875238885852355</v>
      </c>
      <c r="CN233" s="39" t="str">
        <f t="shared" si="1159"/>
        <v/>
      </c>
      <c r="CO233" s="39" t="str">
        <f t="shared" si="1160"/>
        <v/>
      </c>
      <c r="CP233" s="39" t="str">
        <f t="shared" si="1160"/>
        <v/>
      </c>
      <c r="CQ233" s="39" t="str">
        <f t="shared" si="1160"/>
        <v/>
      </c>
      <c r="CR233" s="40" t="str">
        <f t="shared" si="1160"/>
        <v/>
      </c>
    </row>
    <row r="234" spans="1:96" s="9" customFormat="1" ht="15" x14ac:dyDescent="0.4">
      <c r="A234" s="18" t="s">
        <v>83</v>
      </c>
      <c r="B234" s="41"/>
      <c r="C234" s="41"/>
      <c r="D234" s="41"/>
      <c r="E234" s="41"/>
      <c r="F234" s="41"/>
      <c r="G234" s="39">
        <f t="shared" si="1161"/>
        <v>5.0843683793015231</v>
      </c>
      <c r="H234" s="39">
        <f t="shared" si="1143"/>
        <v>0.86063504247408673</v>
      </c>
      <c r="I234" s="39">
        <f t="shared" si="1143"/>
        <v>6.0547630995995831</v>
      </c>
      <c r="J234" s="39">
        <f t="shared" si="1143"/>
        <v>7.5845744592895272</v>
      </c>
      <c r="K234" s="40">
        <f t="shared" si="1143"/>
        <v>4.9976505918669147</v>
      </c>
      <c r="L234" s="39">
        <f t="shared" si="1143"/>
        <v>-1.4301095734554963</v>
      </c>
      <c r="M234" s="39">
        <f t="shared" si="1144"/>
        <v>10.60149421454868</v>
      </c>
      <c r="N234" s="39">
        <f t="shared" si="1144"/>
        <v>10.40143190222949</v>
      </c>
      <c r="O234" s="39">
        <f t="shared" si="1144"/>
        <v>3.9667051334127024</v>
      </c>
      <c r="P234" s="40">
        <f t="shared" si="1144"/>
        <v>5.7840920824827151</v>
      </c>
      <c r="Q234" s="39">
        <f t="shared" si="1144"/>
        <v>7.9095790025049268</v>
      </c>
      <c r="R234" s="39" t="str">
        <f t="shared" si="1145"/>
        <v/>
      </c>
      <c r="S234" s="39">
        <f t="shared" si="1145"/>
        <v>1.2407567537429571</v>
      </c>
      <c r="T234" s="39">
        <f t="shared" si="1145"/>
        <v>11.435970863888826</v>
      </c>
      <c r="U234" s="40" t="str">
        <f t="shared" si="1145"/>
        <v/>
      </c>
      <c r="V234" s="39">
        <f t="shared" si="1145"/>
        <v>8.6673119370882716</v>
      </c>
      <c r="W234" s="39" t="str">
        <f t="shared" si="1146"/>
        <v/>
      </c>
      <c r="X234" s="39">
        <f t="shared" si="1146"/>
        <v>8.3277740546913179</v>
      </c>
      <c r="Y234" s="39">
        <f t="shared" si="1146"/>
        <v>3.1676462049463794</v>
      </c>
      <c r="Z234" s="40" t="str">
        <f t="shared" si="1146"/>
        <v/>
      </c>
      <c r="AA234" s="39">
        <f t="shared" si="1146"/>
        <v>13.167635601704035</v>
      </c>
      <c r="AB234" s="39">
        <f t="shared" si="1147"/>
        <v>11.186106994376217</v>
      </c>
      <c r="AC234" s="39">
        <f t="shared" si="1147"/>
        <v>5.3366107093713282</v>
      </c>
      <c r="AD234" s="39">
        <f t="shared" si="1147"/>
        <v>6.7604928954991124</v>
      </c>
      <c r="AE234" s="40">
        <f t="shared" si="1147"/>
        <v>8.7223483560948836</v>
      </c>
      <c r="AF234" s="39">
        <f t="shared" si="1147"/>
        <v>10.982118946560021</v>
      </c>
      <c r="AG234" s="39">
        <f t="shared" si="1148"/>
        <v>10.685296178415044</v>
      </c>
      <c r="AH234" s="39">
        <f t="shared" si="1148"/>
        <v>9.4182139315662283</v>
      </c>
      <c r="AI234" s="39">
        <f t="shared" si="1148"/>
        <v>7.5558849995141202</v>
      </c>
      <c r="AJ234" s="40">
        <f t="shared" si="1148"/>
        <v>9.5491413519954023</v>
      </c>
      <c r="AK234" s="39">
        <f t="shared" si="1148"/>
        <v>3.2720022194510534</v>
      </c>
      <c r="AL234" s="39">
        <f t="shared" si="1149"/>
        <v>3.3832383668940906</v>
      </c>
      <c r="AM234" s="39">
        <f t="shared" si="1149"/>
        <v>3.3334530762248846</v>
      </c>
      <c r="AN234" s="39">
        <f t="shared" si="1149"/>
        <v>3.5526505841798581</v>
      </c>
      <c r="AO234" s="40">
        <f t="shared" si="1149"/>
        <v>3.3962521869300275</v>
      </c>
      <c r="AP234" s="39">
        <f t="shared" si="1149"/>
        <v>3.4806080552619534</v>
      </c>
      <c r="AQ234" s="39">
        <f t="shared" si="1150"/>
        <v>2.8755656416062436</v>
      </c>
      <c r="AR234" s="39">
        <f t="shared" si="1150"/>
        <v>2.3045216164908879</v>
      </c>
      <c r="AS234" s="39">
        <f t="shared" si="1150"/>
        <v>2.1513444514132232</v>
      </c>
      <c r="AT234" s="40">
        <f t="shared" si="1150"/>
        <v>2.6583873650798893</v>
      </c>
      <c r="AU234" s="39">
        <f t="shared" si="1150"/>
        <v>3.429796978183731</v>
      </c>
      <c r="AV234" s="39">
        <f t="shared" si="1151"/>
        <v>4.5266827520696467</v>
      </c>
      <c r="AW234" s="39">
        <f t="shared" si="1151"/>
        <v>5.5584284691128971</v>
      </c>
      <c r="AX234" s="39">
        <f t="shared" si="1151"/>
        <v>5.1931845377689285</v>
      </c>
      <c r="AY234" s="40">
        <f t="shared" si="1151"/>
        <v>4.7021960730421455</v>
      </c>
      <c r="AZ234" s="39">
        <f t="shared" si="1151"/>
        <v>4.3280785450229757</v>
      </c>
      <c r="BA234" s="39">
        <f t="shared" si="1152"/>
        <v>4.056954469658038</v>
      </c>
      <c r="BB234" s="39">
        <f t="shared" si="1152"/>
        <v>3.5564530103786751</v>
      </c>
      <c r="BC234" s="39">
        <f t="shared" si="1152"/>
        <v>3.1783290047177104</v>
      </c>
      <c r="BD234" s="40">
        <f t="shared" si="1152"/>
        <v>3.7761302777961134</v>
      </c>
      <c r="BE234" s="39">
        <f t="shared" si="1152"/>
        <v>3.0293939666875929</v>
      </c>
      <c r="BF234" s="39">
        <f t="shared" si="1153"/>
        <v>2.2091845908777259</v>
      </c>
      <c r="BG234" s="39">
        <f t="shared" si="1153"/>
        <v>1.7001558601039619</v>
      </c>
      <c r="BH234" s="39">
        <f t="shared" si="1153"/>
        <v>2.2658883375803498</v>
      </c>
      <c r="BI234" s="40">
        <f t="shared" si="1153"/>
        <v>2.2869516369287197</v>
      </c>
      <c r="BJ234" s="39">
        <f t="shared" si="1153"/>
        <v>3.395207633794513</v>
      </c>
      <c r="BK234" s="39">
        <f t="shared" si="1154"/>
        <v>4.455742026443545</v>
      </c>
      <c r="BL234" s="39">
        <f t="shared" si="1154"/>
        <v>3.7780401014868374</v>
      </c>
      <c r="BM234" s="39">
        <f t="shared" si="1154"/>
        <v>4.3187258169951974</v>
      </c>
      <c r="BN234" s="40">
        <f t="shared" si="1154"/>
        <v>3.9919159674600735</v>
      </c>
      <c r="BO234" s="39">
        <f t="shared" si="1154"/>
        <v>2.0085298317479925</v>
      </c>
      <c r="BP234" s="39">
        <f t="shared" si="1155"/>
        <v>3.6188860760674402</v>
      </c>
      <c r="BQ234" s="39">
        <f t="shared" si="1155"/>
        <v>2.2343074006486319</v>
      </c>
      <c r="BR234" s="39">
        <f t="shared" si="1155"/>
        <v>3.3865578155805025</v>
      </c>
      <c r="BS234" s="40">
        <f t="shared" si="1155"/>
        <v>2.8193273414816673</v>
      </c>
      <c r="BT234" s="39">
        <f t="shared" si="1155"/>
        <v>4.4418172750867058</v>
      </c>
      <c r="BU234" s="39">
        <f t="shared" si="1156"/>
        <v>1.9707510155922563</v>
      </c>
      <c r="BV234" s="39">
        <f t="shared" si="1156"/>
        <v>4.2602671024069707</v>
      </c>
      <c r="BW234" s="39">
        <f t="shared" si="1156"/>
        <v>1.8239908462908829</v>
      </c>
      <c r="BX234" s="40">
        <f t="shared" si="1156"/>
        <v>3.0852398474142717</v>
      </c>
      <c r="BY234" s="39">
        <f t="shared" si="1156"/>
        <v>1.8682652662247392</v>
      </c>
      <c r="BZ234" s="39">
        <f t="shared" si="1157"/>
        <v>2.1777553528535805</v>
      </c>
      <c r="CA234" s="39">
        <f t="shared" si="1157"/>
        <v>2.2445017282395838</v>
      </c>
      <c r="CB234" s="39">
        <f t="shared" si="1157"/>
        <v>2.5403292046769508</v>
      </c>
      <c r="CC234" s="40">
        <f t="shared" si="1157"/>
        <v>2.2078136214125834</v>
      </c>
      <c r="CD234" s="39">
        <f t="shared" si="1157"/>
        <v>2.364005458464618</v>
      </c>
      <c r="CE234" s="39">
        <f t="shared" si="1158"/>
        <v>2.0508037645085437</v>
      </c>
      <c r="CF234" s="39">
        <f t="shared" si="1158"/>
        <v>1.9506359385747345</v>
      </c>
      <c r="CG234" s="39">
        <f t="shared" si="1158"/>
        <v>2.6678940487397966</v>
      </c>
      <c r="CH234" s="40">
        <f t="shared" si="1158"/>
        <v>2.2545405543502994</v>
      </c>
      <c r="CI234" s="39">
        <f t="shared" si="1158"/>
        <v>3.1158384019653482</v>
      </c>
      <c r="CJ234" s="39">
        <f t="shared" si="1159"/>
        <v>5.1629790236346906</v>
      </c>
      <c r="CK234" s="39">
        <f t="shared" si="1159"/>
        <v>6.1394253652267423</v>
      </c>
      <c r="CL234" s="39">
        <f t="shared" si="1159"/>
        <v>7.4375233302545212</v>
      </c>
      <c r="CM234" s="40">
        <f t="shared" si="1159"/>
        <v>5.4959228491604506</v>
      </c>
      <c r="CN234" s="39" t="str">
        <f t="shared" si="1159"/>
        <v/>
      </c>
      <c r="CO234" s="39" t="str">
        <f t="shared" si="1160"/>
        <v/>
      </c>
      <c r="CP234" s="39" t="str">
        <f t="shared" si="1160"/>
        <v/>
      </c>
      <c r="CQ234" s="39" t="str">
        <f t="shared" si="1160"/>
        <v/>
      </c>
      <c r="CR234" s="40" t="str">
        <f t="shared" si="1160"/>
        <v/>
      </c>
    </row>
    <row r="235" spans="1:96" s="9" customFormat="1" ht="15" x14ac:dyDescent="0.4">
      <c r="A235" s="18" t="s">
        <v>84</v>
      </c>
      <c r="B235" s="38"/>
      <c r="C235" s="38"/>
      <c r="D235" s="38"/>
      <c r="E235" s="38"/>
      <c r="F235" s="38"/>
      <c r="G235" s="39">
        <f t="shared" si="1161"/>
        <v>2.884487664407942</v>
      </c>
      <c r="H235" s="39">
        <f t="shared" si="1143"/>
        <v>0.76401480259484345</v>
      </c>
      <c r="I235" s="39">
        <f t="shared" si="1143"/>
        <v>2.7169273220398367</v>
      </c>
      <c r="J235" s="39">
        <f t="shared" si="1143"/>
        <v>5.7332205585718583</v>
      </c>
      <c r="K235" s="40">
        <f t="shared" si="1143"/>
        <v>3.1318409217596042</v>
      </c>
      <c r="L235" s="39">
        <f t="shared" si="1143"/>
        <v>11.754544014453302</v>
      </c>
      <c r="M235" s="39">
        <f t="shared" si="1144"/>
        <v>6.6141244450369072</v>
      </c>
      <c r="N235" s="39">
        <f t="shared" si="1144"/>
        <v>1.8943618043978319</v>
      </c>
      <c r="O235" s="39">
        <f t="shared" si="1144"/>
        <v>6.3183842385630129</v>
      </c>
      <c r="P235" s="40">
        <f t="shared" si="1144"/>
        <v>6.5361858751942634</v>
      </c>
      <c r="Q235" s="39">
        <f t="shared" si="1144"/>
        <v>3.7882348761640827</v>
      </c>
      <c r="R235" s="39" t="str">
        <f t="shared" si="1145"/>
        <v/>
      </c>
      <c r="S235" s="39">
        <f t="shared" si="1145"/>
        <v>0.78826500906001229</v>
      </c>
      <c r="T235" s="39">
        <f t="shared" si="1145"/>
        <v>21.00921644498402</v>
      </c>
      <c r="U235" s="40" t="str">
        <f t="shared" si="1145"/>
        <v/>
      </c>
      <c r="V235" s="39">
        <f t="shared" si="1145"/>
        <v>3.2506113202500444</v>
      </c>
      <c r="W235" s="39" t="str">
        <f t="shared" si="1146"/>
        <v/>
      </c>
      <c r="X235" s="39">
        <f t="shared" si="1146"/>
        <v>17.542449070609962</v>
      </c>
      <c r="Y235" s="39">
        <f t="shared" si="1146"/>
        <v>-7.1322663654022023</v>
      </c>
      <c r="Z235" s="40" t="str">
        <f t="shared" si="1146"/>
        <v/>
      </c>
      <c r="AA235" s="39">
        <f t="shared" si="1146"/>
        <v>5.8978412713769188</v>
      </c>
      <c r="AB235" s="39">
        <f t="shared" si="1147"/>
        <v>12.876773076826467</v>
      </c>
      <c r="AC235" s="39">
        <f t="shared" si="1147"/>
        <v>6.8330542943967743</v>
      </c>
      <c r="AD235" s="39">
        <f t="shared" si="1147"/>
        <v>7.726647418868211</v>
      </c>
      <c r="AE235" s="40">
        <f t="shared" si="1147"/>
        <v>8.1484202673388211</v>
      </c>
      <c r="AF235" s="39">
        <f t="shared" si="1147"/>
        <v>6.9360470074922347</v>
      </c>
      <c r="AG235" s="39">
        <f t="shared" si="1148"/>
        <v>4.7070072741360605</v>
      </c>
      <c r="AH235" s="39">
        <f t="shared" si="1148"/>
        <v>4.2973487462819406</v>
      </c>
      <c r="AI235" s="39">
        <f t="shared" si="1148"/>
        <v>4.4447311070415481</v>
      </c>
      <c r="AJ235" s="40">
        <f t="shared" si="1148"/>
        <v>5.0315637151581996</v>
      </c>
      <c r="AK235" s="39">
        <f t="shared" si="1148"/>
        <v>7.7983201358126735</v>
      </c>
      <c r="AL235" s="39">
        <f t="shared" si="1149"/>
        <v>9.6319836557204468</v>
      </c>
      <c r="AM235" s="39">
        <f t="shared" si="1149"/>
        <v>10.827784679228131</v>
      </c>
      <c r="AN235" s="39">
        <f t="shared" si="1149"/>
        <v>10.107714359405136</v>
      </c>
      <c r="AO235" s="40">
        <f t="shared" si="1149"/>
        <v>9.601872390478178</v>
      </c>
      <c r="AP235" s="39">
        <f t="shared" si="1149"/>
        <v>6.7449993928978387</v>
      </c>
      <c r="AQ235" s="39">
        <f t="shared" si="1150"/>
        <v>5.7824014171809637</v>
      </c>
      <c r="AR235" s="39">
        <f t="shared" si="1150"/>
        <v>7.2157276416060796</v>
      </c>
      <c r="AS235" s="39">
        <f t="shared" si="1150"/>
        <v>7.273802955351627</v>
      </c>
      <c r="AT235" s="40">
        <f t="shared" si="1150"/>
        <v>6.7756021693192707</v>
      </c>
      <c r="AU235" s="39">
        <f t="shared" si="1150"/>
        <v>7.5715336627131933</v>
      </c>
      <c r="AV235" s="39">
        <f t="shared" si="1151"/>
        <v>6.7702317921818747</v>
      </c>
      <c r="AW235" s="39">
        <f t="shared" si="1151"/>
        <v>4.1123513405359802</v>
      </c>
      <c r="AX235" s="39">
        <f t="shared" si="1151"/>
        <v>3.5147955592607047</v>
      </c>
      <c r="AY235" s="40">
        <f t="shared" si="1151"/>
        <v>5.368032931093623</v>
      </c>
      <c r="AZ235" s="39">
        <f t="shared" si="1151"/>
        <v>3.6406808519095364</v>
      </c>
      <c r="BA235" s="39">
        <f t="shared" si="1152"/>
        <v>4.4632164589011722</v>
      </c>
      <c r="BB235" s="39">
        <f t="shared" si="1152"/>
        <v>3.6594595857267933</v>
      </c>
      <c r="BC235" s="39">
        <f t="shared" si="1152"/>
        <v>4.283634435860975</v>
      </c>
      <c r="BD235" s="40">
        <f t="shared" si="1152"/>
        <v>4.0233431724702342</v>
      </c>
      <c r="BE235" s="39">
        <f t="shared" si="1152"/>
        <v>3.8886170651481393</v>
      </c>
      <c r="BF235" s="39">
        <f t="shared" si="1153"/>
        <v>2.3176977333062752</v>
      </c>
      <c r="BG235" s="39">
        <f t="shared" si="1153"/>
        <v>0.99903924556221568</v>
      </c>
      <c r="BH235" s="39">
        <f t="shared" si="1153"/>
        <v>-0.3685064399071365</v>
      </c>
      <c r="BI235" s="40">
        <f t="shared" si="1153"/>
        <v>1.6335068935041193</v>
      </c>
      <c r="BJ235" s="39">
        <f t="shared" si="1153"/>
        <v>1.0368216513451358</v>
      </c>
      <c r="BK235" s="39">
        <f t="shared" si="1154"/>
        <v>0.35630797245318035</v>
      </c>
      <c r="BL235" s="39">
        <f t="shared" si="1154"/>
        <v>0.98420719870530604</v>
      </c>
      <c r="BM235" s="39">
        <f t="shared" si="1154"/>
        <v>3.4919898618192491</v>
      </c>
      <c r="BN235" s="40">
        <f t="shared" si="1154"/>
        <v>1.4953726835829713</v>
      </c>
      <c r="BO235" s="39">
        <f t="shared" si="1154"/>
        <v>2.218206896993749</v>
      </c>
      <c r="BP235" s="39">
        <f t="shared" si="1155"/>
        <v>4.2473906534343371</v>
      </c>
      <c r="BQ235" s="39">
        <f t="shared" si="1155"/>
        <v>6.6418063723438223</v>
      </c>
      <c r="BR235" s="39">
        <f t="shared" si="1155"/>
        <v>5.4832627255809712</v>
      </c>
      <c r="BS235" s="40">
        <f t="shared" si="1155"/>
        <v>4.6777449245497564</v>
      </c>
      <c r="BT235" s="39">
        <f t="shared" si="1155"/>
        <v>5.6983170056178096</v>
      </c>
      <c r="BU235" s="39">
        <f t="shared" si="1156"/>
        <v>7.3984797248280927</v>
      </c>
      <c r="BV235" s="39">
        <f t="shared" si="1156"/>
        <v>7.0325284101532333</v>
      </c>
      <c r="BW235" s="39">
        <f t="shared" si="1156"/>
        <v>6.4392428836228817</v>
      </c>
      <c r="BX235" s="40">
        <f t="shared" si="1156"/>
        <v>6.6449313300363002</v>
      </c>
      <c r="BY235" s="39">
        <f t="shared" si="1156"/>
        <v>4.8188713700402843</v>
      </c>
      <c r="BZ235" s="39">
        <f t="shared" si="1157"/>
        <v>1.9648339333968607</v>
      </c>
      <c r="CA235" s="39">
        <f t="shared" si="1157"/>
        <v>0.64705687564601533</v>
      </c>
      <c r="CB235" s="39">
        <f t="shared" si="1157"/>
        <v>0.52847195262461355</v>
      </c>
      <c r="CC235" s="40">
        <f t="shared" si="1157"/>
        <v>1.9130333018238161</v>
      </c>
      <c r="CD235" s="39">
        <f t="shared" si="1157"/>
        <v>0.41954947251667818</v>
      </c>
      <c r="CE235" s="39">
        <f t="shared" si="1158"/>
        <v>0.64335404828628384</v>
      </c>
      <c r="CF235" s="39">
        <f t="shared" si="1158"/>
        <v>1.1681497070708673</v>
      </c>
      <c r="CG235" s="39">
        <f t="shared" si="1158"/>
        <v>7.9630515028156879E-2</v>
      </c>
      <c r="CH235" s="40">
        <f t="shared" si="1158"/>
        <v>0.57595995434213876</v>
      </c>
      <c r="CI235" s="39">
        <f t="shared" si="1158"/>
        <v>0.79202762722036368</v>
      </c>
      <c r="CJ235" s="39">
        <f t="shared" si="1159"/>
        <v>-0.11647333207494626</v>
      </c>
      <c r="CK235" s="39">
        <f t="shared" si="1159"/>
        <v>-1.0118775473512187</v>
      </c>
      <c r="CL235" s="39">
        <f t="shared" si="1159"/>
        <v>0.27641556295998271</v>
      </c>
      <c r="CM235" s="40">
        <f t="shared" si="1159"/>
        <v>-1.6228157206512606E-2</v>
      </c>
      <c r="CN235" s="39" t="str">
        <f t="shared" si="1159"/>
        <v/>
      </c>
      <c r="CO235" s="39" t="str">
        <f t="shared" si="1160"/>
        <v/>
      </c>
      <c r="CP235" s="39" t="str">
        <f t="shared" si="1160"/>
        <v/>
      </c>
      <c r="CQ235" s="39" t="str">
        <f t="shared" si="1160"/>
        <v/>
      </c>
      <c r="CR235" s="40" t="str">
        <f t="shared" si="1160"/>
        <v/>
      </c>
    </row>
    <row r="236" spans="1:96" s="9" customFormat="1" ht="15" x14ac:dyDescent="0.4">
      <c r="A236" s="18" t="s">
        <v>85</v>
      </c>
      <c r="B236" s="41"/>
      <c r="C236" s="41"/>
      <c r="D236" s="41"/>
      <c r="E236" s="41"/>
      <c r="F236" s="41"/>
      <c r="G236" s="39">
        <f t="shared" si="1161"/>
        <v>2.5908600870085223</v>
      </c>
      <c r="H236" s="39">
        <f t="shared" si="1143"/>
        <v>6.437019505816636</v>
      </c>
      <c r="I236" s="39">
        <f t="shared" si="1143"/>
        <v>9.3799016744651595</v>
      </c>
      <c r="J236" s="39">
        <f t="shared" si="1143"/>
        <v>4.0735487507255641</v>
      </c>
      <c r="K236" s="40">
        <f t="shared" si="1143"/>
        <v>5.6654456853379997</v>
      </c>
      <c r="L236" s="39">
        <f t="shared" si="1143"/>
        <v>7.3580025429488956</v>
      </c>
      <c r="M236" s="39">
        <f t="shared" si="1144"/>
        <v>1.5729848107649929</v>
      </c>
      <c r="N236" s="39">
        <f t="shared" si="1144"/>
        <v>-1.3064730459129663</v>
      </c>
      <c r="O236" s="39">
        <f t="shared" si="1144"/>
        <v>3.193650275149821</v>
      </c>
      <c r="P236" s="40">
        <f t="shared" si="1144"/>
        <v>2.4818913894543613</v>
      </c>
      <c r="Q236" s="39">
        <f t="shared" si="1144"/>
        <v>-8.4020148125255929</v>
      </c>
      <c r="R236" s="39" t="str">
        <f t="shared" si="1145"/>
        <v/>
      </c>
      <c r="S236" s="39">
        <f t="shared" si="1145"/>
        <v>10.003838326528097</v>
      </c>
      <c r="T236" s="39">
        <f t="shared" si="1145"/>
        <v>15.59751548992682</v>
      </c>
      <c r="U236" s="40" t="str">
        <f t="shared" si="1145"/>
        <v/>
      </c>
      <c r="V236" s="39">
        <f t="shared" si="1145"/>
        <v>19.074124986219914</v>
      </c>
      <c r="W236" s="39" t="str">
        <f t="shared" si="1146"/>
        <v/>
      </c>
      <c r="X236" s="39">
        <f t="shared" si="1146"/>
        <v>5.5839437765920081</v>
      </c>
      <c r="Y236" s="39">
        <f t="shared" si="1146"/>
        <v>1.3571604586374093</v>
      </c>
      <c r="Z236" s="40" t="str">
        <f t="shared" si="1146"/>
        <v/>
      </c>
      <c r="AA236" s="39">
        <f t="shared" si="1146"/>
        <v>16.859326980862704</v>
      </c>
      <c r="AB236" s="39">
        <f t="shared" si="1147"/>
        <v>12.211388916094833</v>
      </c>
      <c r="AC236" s="39">
        <f t="shared" si="1147"/>
        <v>7.6176643921018297</v>
      </c>
      <c r="AD236" s="39">
        <f t="shared" si="1147"/>
        <v>3.471487440762516</v>
      </c>
      <c r="AE236" s="40">
        <f t="shared" si="1147"/>
        <v>9.5880450742408954</v>
      </c>
      <c r="AF236" s="39">
        <f t="shared" si="1147"/>
        <v>5.5175586125362202</v>
      </c>
      <c r="AG236" s="39">
        <f t="shared" si="1148"/>
        <v>3.5906558321748179</v>
      </c>
      <c r="AH236" s="39">
        <f t="shared" si="1148"/>
        <v>3.0521565749946404</v>
      </c>
      <c r="AI236" s="39">
        <f t="shared" si="1148"/>
        <v>4.0191353251905326</v>
      </c>
      <c r="AJ236" s="40">
        <f t="shared" si="1148"/>
        <v>4.0052167713075875</v>
      </c>
      <c r="AK236" s="39">
        <f t="shared" si="1148"/>
        <v>4.4768855004264481</v>
      </c>
      <c r="AL236" s="39">
        <f t="shared" si="1149"/>
        <v>6.2684658621468827</v>
      </c>
      <c r="AM236" s="39">
        <f t="shared" si="1149"/>
        <v>6.8190793484290282</v>
      </c>
      <c r="AN236" s="39">
        <f t="shared" si="1149"/>
        <v>6.0437381304521125</v>
      </c>
      <c r="AO236" s="40">
        <f t="shared" si="1149"/>
        <v>5.9094479899018211</v>
      </c>
      <c r="AP236" s="39">
        <f t="shared" si="1149"/>
        <v>6.3477303818625188</v>
      </c>
      <c r="AQ236" s="39">
        <f t="shared" si="1150"/>
        <v>5.1750773728820718</v>
      </c>
      <c r="AR236" s="39">
        <f t="shared" si="1150"/>
        <v>4.0476788800982888</v>
      </c>
      <c r="AS236" s="39">
        <f t="shared" si="1150"/>
        <v>4.3000148210165605</v>
      </c>
      <c r="AT236" s="40">
        <f t="shared" si="1150"/>
        <v>4.9130836799123614</v>
      </c>
      <c r="AU236" s="39">
        <f t="shared" si="1150"/>
        <v>1.6559775753076593</v>
      </c>
      <c r="AV236" s="39">
        <f t="shared" si="1151"/>
        <v>1.6004708034244004</v>
      </c>
      <c r="AW236" s="39">
        <f t="shared" si="1151"/>
        <v>2.5916569062045056</v>
      </c>
      <c r="AX236" s="39">
        <f t="shared" si="1151"/>
        <v>2.6388606864565816</v>
      </c>
      <c r="AY236" s="40">
        <f t="shared" si="1151"/>
        <v>2.1188132109214024</v>
      </c>
      <c r="AZ236" s="39">
        <f t="shared" si="1151"/>
        <v>4.1701099387072276</v>
      </c>
      <c r="BA236" s="39">
        <f t="shared" si="1152"/>
        <v>5.1557445528619894</v>
      </c>
      <c r="BB236" s="39">
        <f t="shared" si="1152"/>
        <v>4.8116545465982199</v>
      </c>
      <c r="BC236" s="39">
        <f t="shared" si="1152"/>
        <v>4.0881978040270042</v>
      </c>
      <c r="BD236" s="40">
        <f t="shared" si="1152"/>
        <v>4.582670785459527</v>
      </c>
      <c r="BE236" s="39">
        <f t="shared" si="1152"/>
        <v>3.4135145883797122</v>
      </c>
      <c r="BF236" s="39">
        <f t="shared" si="1153"/>
        <v>2.0963542943556774</v>
      </c>
      <c r="BG236" s="39">
        <f t="shared" si="1153"/>
        <v>2.2404928675259441</v>
      </c>
      <c r="BH236" s="39">
        <f t="shared" si="1153"/>
        <v>2.7366622440188308</v>
      </c>
      <c r="BI236" s="40">
        <f t="shared" si="1153"/>
        <v>2.599677140853089</v>
      </c>
      <c r="BJ236" s="39">
        <f t="shared" si="1153"/>
        <v>2.3346393767341311</v>
      </c>
      <c r="BK236" s="39">
        <f t="shared" si="1154"/>
        <v>2.5694207532139188</v>
      </c>
      <c r="BL236" s="39">
        <f t="shared" si="1154"/>
        <v>2.5629430910480693</v>
      </c>
      <c r="BM236" s="39">
        <f t="shared" si="1154"/>
        <v>1.6713143683927001</v>
      </c>
      <c r="BN236" s="40">
        <f t="shared" si="1154"/>
        <v>2.2423812253534692</v>
      </c>
      <c r="BO236" s="39">
        <f t="shared" si="1154"/>
        <v>2.0733542822346038</v>
      </c>
      <c r="BP236" s="39">
        <f t="shared" si="1155"/>
        <v>3.0835766277749173</v>
      </c>
      <c r="BQ236" s="39">
        <f t="shared" si="1155"/>
        <v>2.3170706586209917</v>
      </c>
      <c r="BR236" s="39">
        <f t="shared" si="1155"/>
        <v>3.7939691046793058</v>
      </c>
      <c r="BS236" s="40">
        <f t="shared" si="1155"/>
        <v>2.8533433226816527</v>
      </c>
      <c r="BT236" s="39">
        <f t="shared" si="1155"/>
        <v>7.6260956399116111</v>
      </c>
      <c r="BU236" s="39">
        <f t="shared" si="1156"/>
        <v>6.7768046178152304</v>
      </c>
      <c r="BV236" s="39">
        <f t="shared" si="1156"/>
        <v>7.7704560944622045</v>
      </c>
      <c r="BW236" s="39">
        <f t="shared" si="1156"/>
        <v>6.7939043205365977</v>
      </c>
      <c r="BX236" s="40">
        <f t="shared" si="1156"/>
        <v>7.2390133069855693</v>
      </c>
      <c r="BY236" s="39">
        <f t="shared" si="1156"/>
        <v>2.8242508255207639</v>
      </c>
      <c r="BZ236" s="39">
        <f t="shared" si="1157"/>
        <v>3.5111396921167426</v>
      </c>
      <c r="CA236" s="39">
        <f t="shared" si="1157"/>
        <v>3.0985908914148013</v>
      </c>
      <c r="CB236" s="39">
        <f t="shared" si="1157"/>
        <v>2.8841746098573253</v>
      </c>
      <c r="CC236" s="40">
        <f t="shared" si="1157"/>
        <v>3.0737312525582468</v>
      </c>
      <c r="CD236" s="39">
        <f t="shared" si="1157"/>
        <v>3.2804537238360751</v>
      </c>
      <c r="CE236" s="39">
        <f t="shared" si="1158"/>
        <v>4.3448749619336695</v>
      </c>
      <c r="CF236" s="39">
        <f t="shared" si="1158"/>
        <v>5.1110852920692764</v>
      </c>
      <c r="CG236" s="39">
        <f t="shared" si="1158"/>
        <v>6.2269261293981515</v>
      </c>
      <c r="CH236" s="40">
        <f t="shared" si="1158"/>
        <v>4.755752639313755</v>
      </c>
      <c r="CI236" s="39">
        <f t="shared" si="1158"/>
        <v>5.1933392885654683</v>
      </c>
      <c r="CJ236" s="39">
        <f t="shared" si="1159"/>
        <v>3.48395840714835</v>
      </c>
      <c r="CK236" s="39">
        <f t="shared" si="1159"/>
        <v>5.2113178479421265</v>
      </c>
      <c r="CL236" s="39">
        <f t="shared" si="1159"/>
        <v>3.929582539901034</v>
      </c>
      <c r="CM236" s="40">
        <f t="shared" si="1159"/>
        <v>4.4425053108202661</v>
      </c>
      <c r="CN236" s="39" t="str">
        <f t="shared" si="1159"/>
        <v/>
      </c>
      <c r="CO236" s="39" t="str">
        <f t="shared" si="1160"/>
        <v/>
      </c>
      <c r="CP236" s="39" t="str">
        <f t="shared" si="1160"/>
        <v/>
      </c>
      <c r="CQ236" s="39" t="str">
        <f t="shared" si="1160"/>
        <v/>
      </c>
      <c r="CR236" s="40" t="str">
        <f t="shared" si="1160"/>
        <v/>
      </c>
    </row>
    <row r="237" spans="1:96" s="9" customFormat="1" ht="15" x14ac:dyDescent="0.4">
      <c r="A237" s="18" t="s">
        <v>86</v>
      </c>
      <c r="B237" s="38"/>
      <c r="C237" s="38"/>
      <c r="D237" s="38"/>
      <c r="E237" s="38"/>
      <c r="F237" s="38"/>
      <c r="G237" s="39">
        <f t="shared" si="1161"/>
        <v>5.8504668344018711</v>
      </c>
      <c r="H237" s="39">
        <f t="shared" si="1143"/>
        <v>2.522953117661686</v>
      </c>
      <c r="I237" s="39">
        <f t="shared" si="1143"/>
        <v>4.7831250904456795</v>
      </c>
      <c r="J237" s="39">
        <f t="shared" si="1143"/>
        <v>3.4723334141961004</v>
      </c>
      <c r="K237" s="40">
        <f t="shared" si="1143"/>
        <v>4.1635784286477246</v>
      </c>
      <c r="L237" s="39">
        <f t="shared" si="1143"/>
        <v>-0.72158216332938707</v>
      </c>
      <c r="M237" s="39">
        <f t="shared" si="1144"/>
        <v>2.7573765397850281</v>
      </c>
      <c r="N237" s="39">
        <f t="shared" si="1144"/>
        <v>0.59633274385326729</v>
      </c>
      <c r="O237" s="39">
        <f t="shared" si="1144"/>
        <v>0.57134086926218686</v>
      </c>
      <c r="P237" s="40">
        <f t="shared" si="1144"/>
        <v>0.77259315937105555</v>
      </c>
      <c r="Q237" s="39">
        <f t="shared" si="1144"/>
        <v>3.2437350818705966</v>
      </c>
      <c r="R237" s="39" t="str">
        <f t="shared" si="1145"/>
        <v/>
      </c>
      <c r="S237" s="39">
        <f t="shared" si="1145"/>
        <v>-0.63268422909767708</v>
      </c>
      <c r="T237" s="39">
        <f t="shared" si="1145"/>
        <v>-4.9333845657417328</v>
      </c>
      <c r="U237" s="40" t="str">
        <f t="shared" si="1145"/>
        <v/>
      </c>
      <c r="V237" s="39">
        <f t="shared" si="1145"/>
        <v>7.6473803943487582</v>
      </c>
      <c r="W237" s="39" t="str">
        <f t="shared" si="1146"/>
        <v/>
      </c>
      <c r="X237" s="39">
        <f t="shared" si="1146"/>
        <v>9.2441108789643351</v>
      </c>
      <c r="Y237" s="39">
        <f t="shared" si="1146"/>
        <v>14.860183255972913</v>
      </c>
      <c r="Z237" s="40" t="str">
        <f t="shared" si="1146"/>
        <v/>
      </c>
      <c r="AA237" s="39">
        <f t="shared" si="1146"/>
        <v>3.2579151770456747</v>
      </c>
      <c r="AB237" s="39">
        <f t="shared" si="1147"/>
        <v>7.5186295768139502</v>
      </c>
      <c r="AC237" s="39">
        <f t="shared" si="1147"/>
        <v>7.6761953927561279</v>
      </c>
      <c r="AD237" s="39">
        <f t="shared" si="1147"/>
        <v>9.6910717956884014</v>
      </c>
      <c r="AE237" s="40">
        <f t="shared" si="1147"/>
        <v>7.0816011044373681</v>
      </c>
      <c r="AF237" s="39">
        <f t="shared" si="1147"/>
        <v>8.9289178291230655</v>
      </c>
      <c r="AG237" s="39">
        <f t="shared" si="1148"/>
        <v>9.4440604713470719</v>
      </c>
      <c r="AH237" s="39">
        <f t="shared" si="1148"/>
        <v>10.220673115926488</v>
      </c>
      <c r="AI237" s="39">
        <f t="shared" si="1148"/>
        <v>9.7692903462313581</v>
      </c>
      <c r="AJ237" s="40">
        <f t="shared" si="1148"/>
        <v>9.59366285281898</v>
      </c>
      <c r="AK237" s="39">
        <f t="shared" si="1148"/>
        <v>5.3770874055984592</v>
      </c>
      <c r="AL237" s="39">
        <f t="shared" si="1149"/>
        <v>5.9212302447911469</v>
      </c>
      <c r="AM237" s="39">
        <f t="shared" si="1149"/>
        <v>5.3980173633435271</v>
      </c>
      <c r="AN237" s="39">
        <f t="shared" si="1149"/>
        <v>4.8677374788955348</v>
      </c>
      <c r="AO237" s="40">
        <f t="shared" si="1149"/>
        <v>5.3922154316021107</v>
      </c>
      <c r="AP237" s="39">
        <f t="shared" si="1149"/>
        <v>7.8681918011750867</v>
      </c>
      <c r="AQ237" s="39">
        <f t="shared" si="1150"/>
        <v>7.4623828842848638</v>
      </c>
      <c r="AR237" s="39">
        <f t="shared" si="1150"/>
        <v>7.4347994675184168</v>
      </c>
      <c r="AS237" s="39">
        <f t="shared" si="1150"/>
        <v>8.271810250691928</v>
      </c>
      <c r="AT237" s="40">
        <f t="shared" si="1150"/>
        <v>7.750143604367608</v>
      </c>
      <c r="AU237" s="39">
        <f t="shared" si="1150"/>
        <v>5.4365843682481625</v>
      </c>
      <c r="AV237" s="39">
        <f t="shared" si="1151"/>
        <v>4.8381646681513644</v>
      </c>
      <c r="AW237" s="39">
        <f t="shared" si="1151"/>
        <v>4.9659109095773033</v>
      </c>
      <c r="AX237" s="39">
        <f t="shared" si="1151"/>
        <v>3.5384786551137211</v>
      </c>
      <c r="AY237" s="40">
        <f t="shared" si="1151"/>
        <v>4.6627467941608103</v>
      </c>
      <c r="AZ237" s="39">
        <f t="shared" si="1151"/>
        <v>4.2888690522972013</v>
      </c>
      <c r="BA237" s="39">
        <f t="shared" si="1152"/>
        <v>4.7771492626456791</v>
      </c>
      <c r="BB237" s="39">
        <f t="shared" si="1152"/>
        <v>4.3942298760537852</v>
      </c>
      <c r="BC237" s="39">
        <f t="shared" si="1152"/>
        <v>4.4350011989267841</v>
      </c>
      <c r="BD237" s="40">
        <f t="shared" si="1152"/>
        <v>4.4715964369141972</v>
      </c>
      <c r="BE237" s="39">
        <f t="shared" si="1152"/>
        <v>3.4992585497231943</v>
      </c>
      <c r="BF237" s="39">
        <f t="shared" si="1153"/>
        <v>2.2060707706906157</v>
      </c>
      <c r="BG237" s="39">
        <f t="shared" si="1153"/>
        <v>1.5370226299630474</v>
      </c>
      <c r="BH237" s="39">
        <f t="shared" si="1153"/>
        <v>0.94192056326507156</v>
      </c>
      <c r="BI237" s="40">
        <f t="shared" si="1153"/>
        <v>2.0056181656040337</v>
      </c>
      <c r="BJ237" s="39">
        <f t="shared" si="1153"/>
        <v>2.8202204200803607</v>
      </c>
      <c r="BK237" s="39">
        <f t="shared" si="1154"/>
        <v>4.0769265874231593</v>
      </c>
      <c r="BL237" s="39">
        <f t="shared" si="1154"/>
        <v>4.9008337213666948</v>
      </c>
      <c r="BM237" s="39">
        <f t="shared" si="1154"/>
        <v>5.306285371681625</v>
      </c>
      <c r="BN237" s="40">
        <f t="shared" si="1154"/>
        <v>4.2738283254287239</v>
      </c>
      <c r="BO237" s="39">
        <f t="shared" si="1154"/>
        <v>4.2066098990205347</v>
      </c>
      <c r="BP237" s="39">
        <f t="shared" si="1155"/>
        <v>2.8000638122178003</v>
      </c>
      <c r="BQ237" s="39">
        <f t="shared" si="1155"/>
        <v>1.7001016714982171</v>
      </c>
      <c r="BR237" s="39">
        <f t="shared" si="1155"/>
        <v>1.1701759802670892</v>
      </c>
      <c r="BS237" s="40">
        <f t="shared" si="1155"/>
        <v>2.4564994164590956</v>
      </c>
      <c r="BT237" s="39">
        <f t="shared" si="1155"/>
        <v>3.1120704824542713</v>
      </c>
      <c r="BU237" s="39">
        <f t="shared" si="1156"/>
        <v>4.5548268291265401</v>
      </c>
      <c r="BV237" s="39">
        <f t="shared" si="1156"/>
        <v>5.8855923685720484</v>
      </c>
      <c r="BW237" s="39">
        <f t="shared" si="1156"/>
        <v>6.3862505764625439</v>
      </c>
      <c r="BX237" s="40">
        <f t="shared" si="1156"/>
        <v>5.017693530564955</v>
      </c>
      <c r="BY237" s="39">
        <f t="shared" si="1156"/>
        <v>4.7240770688843412</v>
      </c>
      <c r="BZ237" s="39">
        <f t="shared" si="1157"/>
        <v>4.4843241633343069</v>
      </c>
      <c r="CA237" s="39">
        <f t="shared" si="1157"/>
        <v>3.4248819072075491</v>
      </c>
      <c r="CB237" s="39">
        <f t="shared" si="1157"/>
        <v>3.4306769246817481</v>
      </c>
      <c r="CC237" s="40">
        <f t="shared" si="1157"/>
        <v>3.9857203291772976</v>
      </c>
      <c r="CD237" s="39">
        <f t="shared" si="1157"/>
        <v>2.8413392477291097</v>
      </c>
      <c r="CE237" s="39">
        <f t="shared" si="1158"/>
        <v>2.7381018076336687</v>
      </c>
      <c r="CF237" s="39">
        <f t="shared" si="1158"/>
        <v>4.5446825357223588</v>
      </c>
      <c r="CG237" s="39">
        <f t="shared" si="1158"/>
        <v>5.5739359171083152</v>
      </c>
      <c r="CH237" s="40">
        <f t="shared" si="1158"/>
        <v>3.9484307233764753</v>
      </c>
      <c r="CI237" s="39">
        <f t="shared" si="1158"/>
        <v>4.99274576641821</v>
      </c>
      <c r="CJ237" s="39">
        <f t="shared" si="1159"/>
        <v>6.0931186046454684</v>
      </c>
      <c r="CK237" s="39">
        <f t="shared" si="1159"/>
        <v>3.9013469265258891</v>
      </c>
      <c r="CL237" s="39">
        <f t="shared" si="1159"/>
        <v>4.1059464347346761</v>
      </c>
      <c r="CM237" s="40">
        <f t="shared" si="1159"/>
        <v>4.7579360613234627</v>
      </c>
      <c r="CN237" s="39" t="str">
        <f t="shared" si="1159"/>
        <v/>
      </c>
      <c r="CO237" s="39" t="str">
        <f t="shared" si="1160"/>
        <v/>
      </c>
      <c r="CP237" s="39" t="str">
        <f t="shared" si="1160"/>
        <v/>
      </c>
      <c r="CQ237" s="39" t="str">
        <f t="shared" si="1160"/>
        <v/>
      </c>
      <c r="CR237" s="40" t="str">
        <f t="shared" si="1160"/>
        <v/>
      </c>
    </row>
    <row r="238" spans="1:96" s="9" customFormat="1" ht="15" x14ac:dyDescent="0.4">
      <c r="A238" s="18"/>
      <c r="B238" s="42"/>
      <c r="C238" s="42"/>
      <c r="D238" s="42"/>
      <c r="E238" s="42"/>
      <c r="F238" s="42"/>
      <c r="G238" s="22"/>
      <c r="H238" s="22"/>
      <c r="I238" s="23"/>
      <c r="J238" s="22"/>
      <c r="K238" s="24"/>
      <c r="L238" s="22"/>
      <c r="M238" s="22"/>
      <c r="N238" s="23"/>
      <c r="O238" s="22"/>
      <c r="P238" s="24"/>
      <c r="Q238" s="22"/>
      <c r="R238" s="22"/>
      <c r="S238" s="23"/>
      <c r="T238" s="22"/>
      <c r="U238" s="24"/>
      <c r="V238" s="22"/>
      <c r="W238" s="22"/>
      <c r="X238" s="23"/>
      <c r="Y238" s="22"/>
      <c r="Z238" s="24"/>
      <c r="AA238" s="22"/>
      <c r="AB238" s="22"/>
      <c r="AC238" s="23"/>
      <c r="AD238" s="22"/>
      <c r="AE238" s="24"/>
      <c r="AF238" s="22"/>
      <c r="AG238" s="22"/>
      <c r="AH238" s="23"/>
      <c r="AI238" s="22"/>
      <c r="AJ238" s="24"/>
      <c r="AK238" s="22"/>
      <c r="AL238" s="22"/>
      <c r="AM238" s="23"/>
      <c r="AN238" s="22"/>
      <c r="AO238" s="24"/>
      <c r="AP238" s="22"/>
      <c r="AQ238" s="22"/>
      <c r="AR238" s="23"/>
      <c r="AS238" s="22"/>
      <c r="AT238" s="24"/>
      <c r="AU238" s="22"/>
      <c r="AV238" s="22"/>
      <c r="AW238" s="23"/>
      <c r="AX238" s="22"/>
      <c r="AY238" s="24"/>
      <c r="AZ238" s="22"/>
      <c r="BA238" s="22"/>
      <c r="BB238" s="23"/>
      <c r="BC238" s="22"/>
      <c r="BD238" s="24"/>
      <c r="BE238" s="22"/>
      <c r="BF238" s="22"/>
      <c r="BG238" s="23"/>
      <c r="BH238" s="22"/>
      <c r="BI238" s="24"/>
      <c r="BJ238" s="22"/>
      <c r="BK238" s="22"/>
      <c r="BL238" s="23"/>
      <c r="BM238" s="22"/>
      <c r="BN238" s="24"/>
      <c r="BO238" s="22"/>
      <c r="BP238" s="22"/>
      <c r="BQ238" s="23"/>
      <c r="BR238" s="22"/>
      <c r="BS238" s="24"/>
      <c r="BT238" s="22"/>
      <c r="BU238" s="22"/>
      <c r="BV238" s="23"/>
      <c r="BW238" s="22"/>
      <c r="BX238" s="24"/>
      <c r="BY238" s="22"/>
      <c r="BZ238" s="22"/>
      <c r="CA238" s="23"/>
      <c r="CB238" s="22"/>
      <c r="CC238" s="24"/>
      <c r="CD238" s="22"/>
      <c r="CE238" s="22"/>
      <c r="CF238" s="23"/>
      <c r="CG238" s="22"/>
      <c r="CH238" s="24"/>
      <c r="CI238" s="22"/>
      <c r="CJ238" s="22"/>
      <c r="CK238" s="23"/>
      <c r="CL238" s="22"/>
      <c r="CM238" s="24"/>
      <c r="CN238" s="22"/>
      <c r="CO238" s="22"/>
      <c r="CP238" s="23"/>
      <c r="CQ238" s="22"/>
      <c r="CR238" s="24"/>
    </row>
    <row r="239" spans="1:96" s="17" customFormat="1" ht="15" x14ac:dyDescent="0.4">
      <c r="A239" s="15" t="s">
        <v>87</v>
      </c>
      <c r="B239" s="37"/>
      <c r="C239" s="37"/>
      <c r="D239" s="37"/>
      <c r="E239" s="37"/>
      <c r="F239" s="37"/>
      <c r="G239" s="16">
        <f>IFERROR(G175/B175*100-100,"")</f>
        <v>34.840296240772091</v>
      </c>
      <c r="H239" s="16">
        <f t="shared" ref="H239:K239" si="1162">IFERROR(H175/C175*100-100,"")</f>
        <v>23.379996721330826</v>
      </c>
      <c r="I239" s="16">
        <f t="shared" si="1162"/>
        <v>-0.91358903051489904</v>
      </c>
      <c r="J239" s="16">
        <f t="shared" si="1162"/>
        <v>3.8194226341477844</v>
      </c>
      <c r="K239" s="16">
        <f t="shared" si="1162"/>
        <v>13.174381155172668</v>
      </c>
      <c r="L239" s="16">
        <f>IFERROR(L175/G175*100-100,"")</f>
        <v>7.1533251984025981</v>
      </c>
      <c r="M239" s="16">
        <f t="shared" ref="M239:P239" si="1163">IFERROR(M175/H175*100-100,"")</f>
        <v>4.7283352322008625</v>
      </c>
      <c r="N239" s="16">
        <f t="shared" si="1163"/>
        <v>9.2899757286234887</v>
      </c>
      <c r="O239" s="16">
        <f t="shared" si="1163"/>
        <v>3.3771780984185824</v>
      </c>
      <c r="P239" s="16">
        <f t="shared" si="1163"/>
        <v>6.0061289345873803</v>
      </c>
      <c r="Q239" s="16">
        <f>IFERROR(Q175/L175*100-100,"")</f>
        <v>2.8473483095570202</v>
      </c>
      <c r="R239" s="16" t="str">
        <f t="shared" ref="R239:U239" si="1164">IFERROR(R175/M175*100-100,"")</f>
        <v/>
      </c>
      <c r="S239" s="16">
        <f t="shared" si="1164"/>
        <v>4.9756007248942495</v>
      </c>
      <c r="T239" s="16">
        <f t="shared" si="1164"/>
        <v>6.6050751151572911</v>
      </c>
      <c r="U239" s="16" t="str">
        <f t="shared" si="1164"/>
        <v/>
      </c>
      <c r="V239" s="16">
        <f>IFERROR(V175/Q175*100-100,"")</f>
        <v>3.8513494499025569</v>
      </c>
      <c r="W239" s="16" t="str">
        <f t="shared" ref="W239:Z239" si="1165">IFERROR(W175/R175*100-100,"")</f>
        <v/>
      </c>
      <c r="X239" s="16">
        <f t="shared" si="1165"/>
        <v>4.106832811052243</v>
      </c>
      <c r="Y239" s="16">
        <f t="shared" si="1165"/>
        <v>3.9665234699544243</v>
      </c>
      <c r="Z239" s="16" t="str">
        <f t="shared" si="1165"/>
        <v/>
      </c>
      <c r="AA239" s="16">
        <f>IFERROR(AA175/V175*100-100,"")</f>
        <v>7.7260607647306614</v>
      </c>
      <c r="AB239" s="16">
        <f t="shared" ref="AB239:AE239" si="1166">IFERROR(AB175/W175*100-100,"")</f>
        <v>5.7113376095979476</v>
      </c>
      <c r="AC239" s="16">
        <f t="shared" si="1166"/>
        <v>3.9805210307956003</v>
      </c>
      <c r="AD239" s="16">
        <f t="shared" si="1166"/>
        <v>2.259391607015786</v>
      </c>
      <c r="AE239" s="16">
        <f t="shared" si="1166"/>
        <v>4.8608651978220081</v>
      </c>
      <c r="AF239" s="16">
        <f>IFERROR(AF175/AA175*100-100,"")</f>
        <v>-2.4811524640351479</v>
      </c>
      <c r="AG239" s="16">
        <f t="shared" ref="AG239:AJ239" si="1167">IFERROR(AG175/AB175*100-100,"")</f>
        <v>3.070111359569097</v>
      </c>
      <c r="AH239" s="16">
        <f t="shared" si="1167"/>
        <v>6.960234110002574</v>
      </c>
      <c r="AI239" s="16">
        <f t="shared" si="1167"/>
        <v>8.8723331763299171</v>
      </c>
      <c r="AJ239" s="16">
        <f t="shared" si="1167"/>
        <v>4.0151936014927401</v>
      </c>
      <c r="AK239" s="16">
        <f>IFERROR(AK175/AF175*100-100,"")</f>
        <v>12.0134721322312</v>
      </c>
      <c r="AL239" s="16">
        <f t="shared" ref="AL239:AO239" si="1168">IFERROR(AL175/AG175*100-100,"")</f>
        <v>8.2308194339259018</v>
      </c>
      <c r="AM239" s="16">
        <f t="shared" si="1168"/>
        <v>5.5995552071668016</v>
      </c>
      <c r="AN239" s="16">
        <f t="shared" si="1168"/>
        <v>6.4429972297071316</v>
      </c>
      <c r="AO239" s="16">
        <f t="shared" si="1168"/>
        <v>8.1639720363346839</v>
      </c>
      <c r="AP239" s="16">
        <f>IFERROR(AP175/AK175*100-100,"")</f>
        <v>5.4091576361306295</v>
      </c>
      <c r="AQ239" s="16">
        <f t="shared" ref="AQ239:AT239" si="1169">IFERROR(AQ175/AL175*100-100,"")</f>
        <v>5.0147629773817499</v>
      </c>
      <c r="AR239" s="16">
        <f t="shared" si="1169"/>
        <v>4.9603204813808475</v>
      </c>
      <c r="AS239" s="16">
        <f t="shared" si="1169"/>
        <v>3.3176290671551385</v>
      </c>
      <c r="AT239" s="16">
        <f t="shared" si="1169"/>
        <v>4.6346821681354697</v>
      </c>
      <c r="AU239" s="16">
        <f>IFERROR(AU175/AP175*100-100,"")</f>
        <v>4.8738759399163882</v>
      </c>
      <c r="AV239" s="16">
        <f t="shared" ref="AV239:AY239" si="1170">IFERROR(AV175/AQ175*100-100,"")</f>
        <v>4.445243278812768</v>
      </c>
      <c r="AW239" s="16">
        <f t="shared" si="1170"/>
        <v>5.4895731157505594</v>
      </c>
      <c r="AX239" s="16">
        <f t="shared" si="1170"/>
        <v>5.5339120575546019</v>
      </c>
      <c r="AY239" s="16">
        <f t="shared" si="1170"/>
        <v>5.0573637334029797</v>
      </c>
      <c r="AZ239" s="16">
        <f>IFERROR(AZ175/AU175*100-100,"")</f>
        <v>4.8498623709026418</v>
      </c>
      <c r="BA239" s="16">
        <f t="shared" ref="BA239:BD239" si="1171">IFERROR(BA175/AV175*100-100,"")</f>
        <v>7.4523488893445204</v>
      </c>
      <c r="BB239" s="16">
        <f t="shared" si="1171"/>
        <v>5.5835690649953591</v>
      </c>
      <c r="BC239" s="16">
        <f t="shared" si="1171"/>
        <v>4.8893090214204449</v>
      </c>
      <c r="BD239" s="16">
        <f t="shared" si="1171"/>
        <v>5.6821606546684222</v>
      </c>
      <c r="BE239" s="16">
        <f>IFERROR(BE175/AZ175*100-100,"")</f>
        <v>4.8472904550303184</v>
      </c>
      <c r="BF239" s="16">
        <f t="shared" ref="BF239:BI239" si="1172">IFERROR(BF175/BA175*100-100,"")</f>
        <v>3.0582166055060327</v>
      </c>
      <c r="BG239" s="16">
        <f t="shared" si="1172"/>
        <v>5.3515522442963999</v>
      </c>
      <c r="BH239" s="16">
        <f t="shared" si="1172"/>
        <v>8.1259039442637402</v>
      </c>
      <c r="BI239" s="16">
        <f t="shared" si="1172"/>
        <v>5.3896347625494059</v>
      </c>
      <c r="BJ239" s="16">
        <f>IFERROR(BJ175/BE175*100-100,"")</f>
        <v>7.6565540779475896</v>
      </c>
      <c r="BK239" s="16">
        <f t="shared" ref="BK239:BN239" si="1173">IFERROR(BK175/BF175*100-100,"")</f>
        <v>7.2448890549268441</v>
      </c>
      <c r="BL239" s="16">
        <f t="shared" si="1173"/>
        <v>5.5552121585769925</v>
      </c>
      <c r="BM239" s="16">
        <f t="shared" si="1173"/>
        <v>4.9409442554192253</v>
      </c>
      <c r="BN239" s="16">
        <f t="shared" si="1173"/>
        <v>6.2353277203083479</v>
      </c>
      <c r="BO239" s="16">
        <f>IFERROR(BO175/BJ175*100-100,"")</f>
        <v>4.1050773841220973</v>
      </c>
      <c r="BP239" s="16">
        <f t="shared" ref="BP239:BS239" si="1174">IFERROR(BP175/BK175*100-100,"")</f>
        <v>2.8955867251743115</v>
      </c>
      <c r="BQ239" s="16">
        <f t="shared" si="1174"/>
        <v>3.0470991738411612</v>
      </c>
      <c r="BR239" s="16">
        <f t="shared" si="1174"/>
        <v>2.3480167987598008</v>
      </c>
      <c r="BS239" s="16">
        <f t="shared" si="1174"/>
        <v>3.1204126521882358</v>
      </c>
      <c r="BT239" s="16">
        <f>IFERROR(BT175/BO175*100-100,"")</f>
        <v>3.2190388531977163</v>
      </c>
      <c r="BU239" s="16">
        <f t="shared" ref="BU239:BX239" si="1175">IFERROR(BU175/BP175*100-100,"")</f>
        <v>4.1322801762383392</v>
      </c>
      <c r="BV239" s="16">
        <f t="shared" si="1175"/>
        <v>3.6462762687113042</v>
      </c>
      <c r="BW239" s="16">
        <f t="shared" si="1175"/>
        <v>3.5968584452264736</v>
      </c>
      <c r="BX239" s="16">
        <f t="shared" si="1175"/>
        <v>3.662903867820603</v>
      </c>
      <c r="BY239" s="16">
        <f>IFERROR(BY175/BT175*100-100,"")</f>
        <v>4.0094783546058181</v>
      </c>
      <c r="BZ239" s="16">
        <f t="shared" ref="BZ239:CC239" si="1176">IFERROR(BZ175/BU175*100-100,"")</f>
        <v>4.1665474338900026</v>
      </c>
      <c r="CA239" s="16">
        <f t="shared" si="1176"/>
        <v>4.2277155219732521</v>
      </c>
      <c r="CB239" s="16">
        <f t="shared" si="1176"/>
        <v>3.4055085911765843</v>
      </c>
      <c r="CC239" s="16">
        <f t="shared" si="1176"/>
        <v>3.9508459465132546</v>
      </c>
      <c r="CD239" s="16">
        <f>IFERROR(CD175/BY175*100-100,"")</f>
        <v>3.7938132088043375</v>
      </c>
      <c r="CE239" s="16">
        <f t="shared" ref="CE239:CH239" si="1177">IFERROR(CE175/BZ175*100-100,"")</f>
        <v>3.1726536271395673</v>
      </c>
      <c r="CF239" s="16">
        <f t="shared" si="1177"/>
        <v>2.6583799764035518</v>
      </c>
      <c r="CG239" s="16">
        <f t="shared" si="1177"/>
        <v>3.097782127058764</v>
      </c>
      <c r="CH239" s="16">
        <f t="shared" si="1177"/>
        <v>3.1655084156002147</v>
      </c>
      <c r="CI239" s="16">
        <f>IFERROR(CI175/CD175*100-100,"")</f>
        <v>1.6560491344147721</v>
      </c>
      <c r="CJ239" s="16">
        <f t="shared" ref="CJ239:CM239" si="1178">IFERROR(CJ175/CE175*100-100,"")</f>
        <v>1.8065885641614869</v>
      </c>
      <c r="CK239" s="16">
        <f t="shared" si="1178"/>
        <v>3.822186445047393</v>
      </c>
      <c r="CL239" s="16">
        <f t="shared" si="1178"/>
        <v>3.7832477488287424</v>
      </c>
      <c r="CM239" s="16">
        <f t="shared" si="1178"/>
        <v>2.7270036152212924</v>
      </c>
      <c r="CN239" s="16" t="str">
        <f>IFERROR(CN175/CI175*100-100,"")</f>
        <v/>
      </c>
      <c r="CO239" s="16" t="str">
        <f t="shared" ref="CO239:CR239" si="1179">IFERROR(CO175/CJ175*100-100,"")</f>
        <v/>
      </c>
      <c r="CP239" s="16" t="str">
        <f t="shared" si="1179"/>
        <v/>
      </c>
      <c r="CQ239" s="16" t="str">
        <f t="shared" si="1179"/>
        <v/>
      </c>
      <c r="CR239" s="16" t="str">
        <f t="shared" si="1179"/>
        <v/>
      </c>
    </row>
    <row r="240" spans="1:96" s="9" customFormat="1" ht="15" x14ac:dyDescent="0.4">
      <c r="A240" s="25"/>
      <c r="B240" s="42"/>
      <c r="C240" s="42"/>
      <c r="D240" s="42"/>
      <c r="E240" s="42"/>
      <c r="F240" s="42"/>
      <c r="G240" s="22"/>
      <c r="H240" s="22"/>
      <c r="I240" s="22"/>
      <c r="J240" s="22"/>
      <c r="K240" s="24"/>
      <c r="L240" s="22"/>
      <c r="M240" s="22"/>
      <c r="N240" s="22"/>
      <c r="O240" s="22"/>
      <c r="P240" s="24"/>
      <c r="Q240" s="22"/>
      <c r="R240" s="22"/>
      <c r="S240" s="22"/>
      <c r="T240" s="22"/>
      <c r="U240" s="24"/>
      <c r="V240" s="22"/>
      <c r="W240" s="22"/>
      <c r="X240" s="22"/>
      <c r="Y240" s="22"/>
      <c r="Z240" s="24"/>
      <c r="AA240" s="22"/>
      <c r="AB240" s="22"/>
      <c r="AC240" s="22"/>
      <c r="AD240" s="22"/>
      <c r="AE240" s="24"/>
      <c r="AF240" s="22"/>
      <c r="AG240" s="22"/>
      <c r="AH240" s="22"/>
      <c r="AI240" s="22"/>
      <c r="AJ240" s="24"/>
      <c r="AK240" s="22"/>
      <c r="AL240" s="22"/>
      <c r="AM240" s="22"/>
      <c r="AN240" s="22"/>
      <c r="AO240" s="24"/>
      <c r="AP240" s="22"/>
      <c r="AQ240" s="22"/>
      <c r="AR240" s="22"/>
      <c r="AS240" s="22"/>
      <c r="AT240" s="24"/>
      <c r="AU240" s="22"/>
      <c r="AV240" s="22"/>
      <c r="AW240" s="22"/>
      <c r="AX240" s="22"/>
      <c r="AY240" s="24"/>
      <c r="AZ240" s="22"/>
      <c r="BA240" s="22"/>
      <c r="BB240" s="22"/>
      <c r="BC240" s="22"/>
      <c r="BD240" s="24"/>
      <c r="BE240" s="22"/>
      <c r="BF240" s="22"/>
      <c r="BG240" s="22"/>
      <c r="BH240" s="22"/>
      <c r="BI240" s="24"/>
      <c r="BJ240" s="22"/>
      <c r="BK240" s="22"/>
      <c r="BL240" s="22"/>
      <c r="BM240" s="22"/>
      <c r="BN240" s="24"/>
      <c r="BO240" s="22"/>
      <c r="BP240" s="22"/>
      <c r="BQ240" s="22"/>
      <c r="BR240" s="22"/>
      <c r="BS240" s="24"/>
      <c r="BT240" s="22"/>
      <c r="BU240" s="22"/>
      <c r="BV240" s="22"/>
      <c r="BW240" s="22"/>
      <c r="BX240" s="24"/>
      <c r="BY240" s="22"/>
      <c r="BZ240" s="22"/>
      <c r="CA240" s="22"/>
      <c r="CB240" s="22"/>
      <c r="CC240" s="24"/>
      <c r="CD240" s="22"/>
      <c r="CE240" s="22"/>
      <c r="CF240" s="22"/>
      <c r="CG240" s="22"/>
      <c r="CH240" s="24"/>
      <c r="CI240" s="22"/>
      <c r="CJ240" s="22"/>
      <c r="CK240" s="22"/>
      <c r="CL240" s="22"/>
      <c r="CM240" s="24"/>
      <c r="CN240" s="22"/>
      <c r="CO240" s="22"/>
      <c r="CP240" s="22"/>
      <c r="CQ240" s="22"/>
      <c r="CR240" s="24"/>
    </row>
    <row r="241" spans="1:96" s="17" customFormat="1" ht="15" x14ac:dyDescent="0.4">
      <c r="A241" s="15" t="s">
        <v>88</v>
      </c>
      <c r="B241" s="37"/>
      <c r="C241" s="37"/>
      <c r="D241" s="37"/>
      <c r="E241" s="37"/>
      <c r="F241" s="37"/>
      <c r="G241" s="16">
        <f>IFERROR(G177/B177*100-100,"")</f>
        <v>13.688068375708113</v>
      </c>
      <c r="H241" s="16">
        <f t="shared" ref="H241:K241" si="1180">IFERROR(H177/C177*100-100,"")</f>
        <v>15.865820276863943</v>
      </c>
      <c r="I241" s="16">
        <f t="shared" si="1180"/>
        <v>19.891726135606945</v>
      </c>
      <c r="J241" s="16">
        <f t="shared" si="1180"/>
        <v>18.173250437676899</v>
      </c>
      <c r="K241" s="16">
        <f t="shared" si="1180"/>
        <v>17.105964955397468</v>
      </c>
      <c r="L241" s="16">
        <f>IFERROR(L177/G177*100-100,"")</f>
        <v>7.2937037863623004</v>
      </c>
      <c r="M241" s="16">
        <f t="shared" ref="M241:P241" si="1181">IFERROR(M177/H177*100-100,"")</f>
        <v>6.6913914772167118</v>
      </c>
      <c r="N241" s="16">
        <f t="shared" si="1181"/>
        <v>8.231803896493588</v>
      </c>
      <c r="O241" s="16">
        <f t="shared" si="1181"/>
        <v>5.7715275244899544</v>
      </c>
      <c r="P241" s="16">
        <f t="shared" si="1181"/>
        <v>6.9550089777564779</v>
      </c>
      <c r="Q241" s="16">
        <f>IFERROR(Q177/L177*100-100,"")</f>
        <v>18.447457677800557</v>
      </c>
      <c r="R241" s="16" t="str">
        <f t="shared" ref="R241:U241" si="1182">IFERROR(R177/M177*100-100,"")</f>
        <v/>
      </c>
      <c r="S241" s="16">
        <f t="shared" si="1182"/>
        <v>21.078746698869466</v>
      </c>
      <c r="T241" s="16">
        <f t="shared" si="1182"/>
        <v>17.508331534584755</v>
      </c>
      <c r="U241" s="16" t="str">
        <f t="shared" si="1182"/>
        <v/>
      </c>
      <c r="V241" s="16">
        <f>IFERROR(V177/Q177*100-100,"")</f>
        <v>1.6742482222859394</v>
      </c>
      <c r="W241" s="16" t="str">
        <f t="shared" ref="W241:Z241" si="1183">IFERROR(W177/R177*100-100,"")</f>
        <v/>
      </c>
      <c r="X241" s="16">
        <f t="shared" si="1183"/>
        <v>-5.6166659131831267</v>
      </c>
      <c r="Y241" s="16">
        <f t="shared" si="1183"/>
        <v>3.4898964358579718</v>
      </c>
      <c r="Z241" s="16" t="str">
        <f t="shared" si="1183"/>
        <v/>
      </c>
      <c r="AA241" s="16">
        <f>IFERROR(AA177/V177*100-100,"")</f>
        <v>-1.4713566284077615</v>
      </c>
      <c r="AB241" s="16">
        <f t="shared" ref="AB241:AE241" si="1184">IFERROR(AB177/W177*100-100,"")</f>
        <v>0.24504715497488405</v>
      </c>
      <c r="AC241" s="16">
        <f t="shared" si="1184"/>
        <v>4.3678767658805526</v>
      </c>
      <c r="AD241" s="16">
        <f t="shared" si="1184"/>
        <v>0.31758534864765409</v>
      </c>
      <c r="AE241" s="16">
        <f t="shared" si="1184"/>
        <v>0.96087165720464895</v>
      </c>
      <c r="AF241" s="16">
        <f>IFERROR(AF177/AA177*100-100,"")</f>
        <v>7.8374506632615777</v>
      </c>
      <c r="AG241" s="16">
        <f t="shared" ref="AG241:AJ241" si="1185">IFERROR(AG177/AB177*100-100,"")</f>
        <v>6.6239525234380636</v>
      </c>
      <c r="AH241" s="16">
        <f t="shared" si="1185"/>
        <v>5.3131244862768057</v>
      </c>
      <c r="AI241" s="16">
        <f t="shared" si="1185"/>
        <v>4.0614569422608753</v>
      </c>
      <c r="AJ241" s="16">
        <f t="shared" si="1185"/>
        <v>5.7867339438911927</v>
      </c>
      <c r="AK241" s="16">
        <f>IFERROR(AK177/AF177*100-100,"")</f>
        <v>5.149430454629325</v>
      </c>
      <c r="AL241" s="16">
        <f t="shared" ref="AL241:AO241" si="1186">IFERROR(AL177/AG177*100-100,"")</f>
        <v>3.6460176580877004</v>
      </c>
      <c r="AM241" s="16">
        <f t="shared" si="1186"/>
        <v>3.2327241977947381</v>
      </c>
      <c r="AN241" s="16">
        <f t="shared" si="1186"/>
        <v>4.8419195364123055</v>
      </c>
      <c r="AO241" s="16">
        <f t="shared" si="1186"/>
        <v>4.1875906095065289</v>
      </c>
      <c r="AP241" s="16">
        <f>IFERROR(AP177/AK177*100-100,"")</f>
        <v>4.0526572260101972</v>
      </c>
      <c r="AQ241" s="16">
        <f t="shared" ref="AQ241:AT241" si="1187">IFERROR(AQ177/AL177*100-100,"")</f>
        <v>6.7073274797603659</v>
      </c>
      <c r="AR241" s="16">
        <f t="shared" si="1187"/>
        <v>7.8834057154821409</v>
      </c>
      <c r="AS241" s="16">
        <f t="shared" si="1187"/>
        <v>6.4581776821185883</v>
      </c>
      <c r="AT241" s="16">
        <f t="shared" si="1187"/>
        <v>6.3232370947510219</v>
      </c>
      <c r="AU241" s="16">
        <f>IFERROR(AU177/AP177*100-100,"")</f>
        <v>5.4572604155059565</v>
      </c>
      <c r="AV241" s="16">
        <f t="shared" ref="AV241:AY241" si="1188">IFERROR(AV177/AQ177*100-100,"")</f>
        <v>4.3254794151698945</v>
      </c>
      <c r="AW241" s="16">
        <f t="shared" si="1188"/>
        <v>2.347677886287201</v>
      </c>
      <c r="AX241" s="16">
        <f t="shared" si="1188"/>
        <v>1.9528288636307138</v>
      </c>
      <c r="AY241" s="16">
        <f t="shared" si="1188"/>
        <v>3.3884690019591091</v>
      </c>
      <c r="AZ241" s="16">
        <f>IFERROR(AZ177/AU177*100-100,"")</f>
        <v>1.8126099490935559</v>
      </c>
      <c r="BA241" s="16">
        <f t="shared" ref="BA241:BD241" si="1189">IFERROR(BA177/AV177*100-100,"")</f>
        <v>2.0455488391438053</v>
      </c>
      <c r="BB241" s="16">
        <f t="shared" si="1189"/>
        <v>2.8394187185779174</v>
      </c>
      <c r="BC241" s="16">
        <f t="shared" si="1189"/>
        <v>2.8545298844407085</v>
      </c>
      <c r="BD241" s="16">
        <f t="shared" si="1189"/>
        <v>2.4248252579016452</v>
      </c>
      <c r="BE241" s="16">
        <f>IFERROR(BE177/AZ177*100-100,"")</f>
        <v>4.4137836021709518</v>
      </c>
      <c r="BF241" s="16">
        <f t="shared" ref="BF241:BI241" si="1190">IFERROR(BF177/BA177*100-100,"")</f>
        <v>9.7850328837429004</v>
      </c>
      <c r="BG241" s="16">
        <f t="shared" si="1190"/>
        <v>12.572534491646365</v>
      </c>
      <c r="BH241" s="16">
        <f t="shared" si="1190"/>
        <v>18.297392034808553</v>
      </c>
      <c r="BI241" s="16">
        <f t="shared" si="1190"/>
        <v>11.662178813500731</v>
      </c>
      <c r="BJ241" s="16">
        <f>IFERROR(BJ177/BE177*100-100,"")</f>
        <v>10.511352524500481</v>
      </c>
      <c r="BK241" s="16">
        <f t="shared" ref="BK241:BN241" si="1191">IFERROR(BK177/BF177*100-100,"")</f>
        <v>4.1984757069119638</v>
      </c>
      <c r="BL241" s="16">
        <f t="shared" si="1191"/>
        <v>2.0163758362380975</v>
      </c>
      <c r="BM241" s="16">
        <f t="shared" si="1191"/>
        <v>-6.6986003048338745</v>
      </c>
      <c r="BN241" s="16">
        <f t="shared" si="1191"/>
        <v>1.654111617882819</v>
      </c>
      <c r="BO241" s="16">
        <f>IFERROR(BO177/BJ177*100-100,"")</f>
        <v>0.54072970506172169</v>
      </c>
      <c r="BP241" s="16">
        <f t="shared" ref="BP241:BS241" si="1192">IFERROR(BP177/BK177*100-100,"")</f>
        <v>1.6675795604704291</v>
      </c>
      <c r="BQ241" s="16">
        <f t="shared" si="1192"/>
        <v>-1.2385514390926886</v>
      </c>
      <c r="BR241" s="16">
        <f t="shared" si="1192"/>
        <v>4.8858860171168601</v>
      </c>
      <c r="BS241" s="16">
        <f t="shared" si="1192"/>
        <v>1.8919462821707782</v>
      </c>
      <c r="BT241" s="16">
        <f>IFERROR(BT177/BO177*100-100,"")</f>
        <v>2.9054458850995388</v>
      </c>
      <c r="BU241" s="16">
        <f t="shared" ref="BU241:BX241" si="1193">IFERROR(BU177/BP177*100-100,"")</f>
        <v>1.5285268274712394</v>
      </c>
      <c r="BV241" s="16">
        <f t="shared" si="1193"/>
        <v>3.6276531404388237</v>
      </c>
      <c r="BW241" s="16">
        <f t="shared" si="1193"/>
        <v>-1.6055417476487008</v>
      </c>
      <c r="BX241" s="16">
        <f t="shared" si="1193"/>
        <v>1.0157840186373761</v>
      </c>
      <c r="BY241" s="16">
        <f>IFERROR(BY177/BT177*100-100,"")</f>
        <v>-0.51551546194896503</v>
      </c>
      <c r="BZ241" s="16">
        <f t="shared" ref="BZ241:CC241" si="1194">IFERROR(BZ177/BU177*100-100,"")</f>
        <v>-0.11883931009334958</v>
      </c>
      <c r="CA241" s="16">
        <f t="shared" si="1194"/>
        <v>-0.20945114915996044</v>
      </c>
      <c r="CB241" s="16">
        <f t="shared" si="1194"/>
        <v>2.8108947245347053</v>
      </c>
      <c r="CC241" s="16">
        <f t="shared" si="1194"/>
        <v>0.85150667831877058</v>
      </c>
      <c r="CD241" s="16">
        <f>IFERROR(CD177/BY177*100-100,"")</f>
        <v>2.6282197693195712</v>
      </c>
      <c r="CE241" s="16">
        <f t="shared" ref="CE241:CH241" si="1195">IFERROR(CE177/BZ177*100-100,"")</f>
        <v>2.1980520160049082</v>
      </c>
      <c r="CF241" s="16">
        <f t="shared" si="1195"/>
        <v>1.4457209448025736</v>
      </c>
      <c r="CG241" s="16">
        <f t="shared" si="1195"/>
        <v>1.0436177789523384</v>
      </c>
      <c r="CH241" s="16">
        <f t="shared" si="1195"/>
        <v>1.6751519083759234</v>
      </c>
      <c r="CI241" s="16">
        <f>IFERROR(CI177/CD177*100-100,"")</f>
        <v>1.1899203977182111</v>
      </c>
      <c r="CJ241" s="16">
        <f t="shared" ref="CJ241:CM241" si="1196">IFERROR(CJ177/CE177*100-100,"")</f>
        <v>2.2744556851307607</v>
      </c>
      <c r="CK241" s="16">
        <f t="shared" si="1196"/>
        <v>3.5129027093941119</v>
      </c>
      <c r="CL241" s="16">
        <f t="shared" si="1196"/>
        <v>4.3837681944445279</v>
      </c>
      <c r="CM241" s="16">
        <f t="shared" si="1196"/>
        <v>3.0165731636058837</v>
      </c>
      <c r="CN241" s="16" t="str">
        <f>IFERROR(CN177/CI177*100-100,"")</f>
        <v/>
      </c>
      <c r="CO241" s="16" t="str">
        <f t="shared" ref="CO241:CR241" si="1197">IFERROR(CO177/CJ177*100-100,"")</f>
        <v/>
      </c>
      <c r="CP241" s="16" t="str">
        <f t="shared" si="1197"/>
        <v/>
      </c>
      <c r="CQ241" s="16" t="str">
        <f t="shared" si="1197"/>
        <v/>
      </c>
      <c r="CR241" s="16" t="str">
        <f t="shared" si="1197"/>
        <v/>
      </c>
    </row>
    <row r="242" spans="1:96" s="9" customFormat="1" ht="15" x14ac:dyDescent="0.4">
      <c r="A242" s="25"/>
      <c r="B242" s="42"/>
      <c r="C242" s="42"/>
      <c r="D242" s="42"/>
      <c r="E242" s="42"/>
      <c r="F242" s="42"/>
      <c r="G242" s="22"/>
      <c r="H242" s="22"/>
      <c r="I242" s="22"/>
      <c r="J242" s="22"/>
      <c r="K242" s="24"/>
      <c r="L242" s="22"/>
      <c r="M242" s="22"/>
      <c r="N242" s="22"/>
      <c r="O242" s="22"/>
      <c r="P242" s="24"/>
      <c r="Q242" s="22"/>
      <c r="R242" s="22"/>
      <c r="S242" s="22"/>
      <c r="T242" s="22"/>
      <c r="U242" s="24"/>
      <c r="V242" s="22"/>
      <c r="W242" s="22"/>
      <c r="X242" s="22"/>
      <c r="Y242" s="22"/>
      <c r="Z242" s="24"/>
      <c r="AA242" s="22"/>
      <c r="AB242" s="22"/>
      <c r="AC242" s="22"/>
      <c r="AD242" s="22"/>
      <c r="AE242" s="24"/>
      <c r="AF242" s="22"/>
      <c r="AG242" s="22"/>
      <c r="AH242" s="22"/>
      <c r="AI242" s="22"/>
      <c r="AJ242" s="24"/>
      <c r="AK242" s="22"/>
      <c r="AL242" s="22"/>
      <c r="AM242" s="22"/>
      <c r="AN242" s="22"/>
      <c r="AO242" s="24"/>
      <c r="AP242" s="22"/>
      <c r="AQ242" s="22"/>
      <c r="AR242" s="22"/>
      <c r="AS242" s="22"/>
      <c r="AT242" s="24"/>
      <c r="AU242" s="22"/>
      <c r="AV242" s="22"/>
      <c r="AW242" s="22"/>
      <c r="AX242" s="22"/>
      <c r="AY242" s="24"/>
      <c r="AZ242" s="22"/>
      <c r="BA242" s="22"/>
      <c r="BB242" s="22"/>
      <c r="BC242" s="22"/>
      <c r="BD242" s="24"/>
      <c r="BE242" s="22"/>
      <c r="BF242" s="22"/>
      <c r="BG242" s="22"/>
      <c r="BH242" s="22"/>
      <c r="BI242" s="24"/>
      <c r="BJ242" s="22"/>
      <c r="BK242" s="22"/>
      <c r="BL242" s="22"/>
      <c r="BM242" s="22"/>
      <c r="BN242" s="24"/>
      <c r="BO242" s="22"/>
      <c r="BP242" s="22"/>
      <c r="BQ242" s="22"/>
      <c r="BR242" s="22"/>
      <c r="BS242" s="24"/>
      <c r="BT242" s="22"/>
      <c r="BU242" s="22"/>
      <c r="BV242" s="22"/>
      <c r="BW242" s="22"/>
      <c r="BX242" s="24"/>
      <c r="BY242" s="22"/>
      <c r="BZ242" s="22"/>
      <c r="CA242" s="22"/>
      <c r="CB242" s="22"/>
      <c r="CC242" s="24"/>
      <c r="CD242" s="22"/>
      <c r="CE242" s="22"/>
      <c r="CF242" s="22"/>
      <c r="CG242" s="22"/>
      <c r="CH242" s="24"/>
      <c r="CI242" s="22"/>
      <c r="CJ242" s="22"/>
      <c r="CK242" s="22"/>
      <c r="CL242" s="22"/>
      <c r="CM242" s="24"/>
      <c r="CN242" s="22"/>
      <c r="CO242" s="22"/>
      <c r="CP242" s="22"/>
      <c r="CQ242" s="22"/>
      <c r="CR242" s="24"/>
    </row>
    <row r="243" spans="1:96" s="17" customFormat="1" ht="15" x14ac:dyDescent="0.4">
      <c r="A243" s="15" t="s">
        <v>89</v>
      </c>
      <c r="B243" s="37"/>
      <c r="C243" s="37"/>
      <c r="D243" s="37"/>
      <c r="E243" s="37"/>
      <c r="F243" s="37"/>
      <c r="G243" s="16">
        <f>IFERROR(G179/B179*100-100,"")</f>
        <v>11.821689940519619</v>
      </c>
      <c r="H243" s="16">
        <f t="shared" ref="H243:L245" si="1198">IFERROR(H179/C179*100-100,"")</f>
        <v>14.480398385105019</v>
      </c>
      <c r="I243" s="16">
        <f t="shared" si="1198"/>
        <v>17.446436844142781</v>
      </c>
      <c r="J243" s="16">
        <f t="shared" si="1198"/>
        <v>20.119973121835088</v>
      </c>
      <c r="K243" s="16">
        <f t="shared" si="1198"/>
        <v>16.134905863298442</v>
      </c>
      <c r="L243" s="16">
        <f>IFERROR(L179/G179*100-100,"")</f>
        <v>15.758427906614287</v>
      </c>
      <c r="M243" s="16">
        <f t="shared" ref="M243:Q245" si="1199">IFERROR(M179/H179*100-100,"")</f>
        <v>12.201234612088513</v>
      </c>
      <c r="N243" s="16">
        <f t="shared" si="1199"/>
        <v>7.9767368904403781</v>
      </c>
      <c r="O243" s="16">
        <f t="shared" si="1199"/>
        <v>5.039169194786993</v>
      </c>
      <c r="P243" s="16">
        <f t="shared" si="1199"/>
        <v>9.9397019131943267</v>
      </c>
      <c r="Q243" s="16">
        <f>IFERROR(Q179/L179*100-100,"")</f>
        <v>2.3937729084669428</v>
      </c>
      <c r="R243" s="16" t="str">
        <f t="shared" ref="R243:V245" si="1200">IFERROR(R179/M179*100-100,"")</f>
        <v/>
      </c>
      <c r="S243" s="16">
        <f t="shared" si="1200"/>
        <v>4.5594152853439169</v>
      </c>
      <c r="T243" s="16">
        <f t="shared" si="1200"/>
        <v>5.5250509797055258</v>
      </c>
      <c r="U243" s="16" t="str">
        <f t="shared" si="1200"/>
        <v/>
      </c>
      <c r="V243" s="16">
        <f>IFERROR(V179/Q179*100-100,"")</f>
        <v>3.6353556508837528</v>
      </c>
      <c r="W243" s="16" t="str">
        <f t="shared" ref="W243:AA245" si="1201">IFERROR(W179/R179*100-100,"")</f>
        <v/>
      </c>
      <c r="X243" s="16">
        <f t="shared" si="1201"/>
        <v>10.488567780293053</v>
      </c>
      <c r="Y243" s="16">
        <f t="shared" si="1201"/>
        <v>12.029863890929875</v>
      </c>
      <c r="Z243" s="16" t="str">
        <f t="shared" si="1201"/>
        <v/>
      </c>
      <c r="AA243" s="16">
        <f>IFERROR(AA179/V179*100-100,"")</f>
        <v>6.5678683081557381</v>
      </c>
      <c r="AB243" s="16">
        <f t="shared" ref="AB243:AF245" si="1202">IFERROR(AB179/W179*100-100,"")</f>
        <v>6.1127849668143739</v>
      </c>
      <c r="AC243" s="16">
        <f t="shared" si="1202"/>
        <v>4.9528575936900125</v>
      </c>
      <c r="AD243" s="16">
        <f t="shared" si="1202"/>
        <v>1.8772356435440969</v>
      </c>
      <c r="AE243" s="16">
        <f t="shared" si="1202"/>
        <v>4.6338182451372063</v>
      </c>
      <c r="AF243" s="16">
        <f>IFERROR(AF179/AA179*100-100,"")</f>
        <v>7.8766592365735733</v>
      </c>
      <c r="AG243" s="16">
        <f t="shared" ref="AG243:AK245" si="1203">IFERROR(AG179/AB179*100-100,"")</f>
        <v>4.7093114388337085</v>
      </c>
      <c r="AH243" s="16">
        <f t="shared" si="1203"/>
        <v>1.609440819564071</v>
      </c>
      <c r="AI243" s="16">
        <f t="shared" si="1203"/>
        <v>1.4918033698056377</v>
      </c>
      <c r="AJ243" s="16">
        <f t="shared" si="1203"/>
        <v>3.8674726513178115</v>
      </c>
      <c r="AK243" s="16">
        <f>IFERROR(AK179/AF179*100-100,"")</f>
        <v>1.125170062330568</v>
      </c>
      <c r="AL243" s="16">
        <f t="shared" ref="AL243:AP245" si="1204">IFERROR(AL179/AG179*100-100,"")</f>
        <v>1.2748257674522421</v>
      </c>
      <c r="AM243" s="16">
        <f t="shared" si="1204"/>
        <v>1.305651266080659</v>
      </c>
      <c r="AN243" s="16">
        <f t="shared" si="1204"/>
        <v>3.4576541996538737</v>
      </c>
      <c r="AO243" s="16">
        <f t="shared" si="1204"/>
        <v>1.8610903116862829</v>
      </c>
      <c r="AP243" s="16">
        <f>IFERROR(AP179/AK179*100-100,"")</f>
        <v>3.7413255805585806</v>
      </c>
      <c r="AQ243" s="16">
        <f t="shared" ref="AQ243:AU245" si="1205">IFERROR(AQ179/AL179*100-100,"")</f>
        <v>4.725978771961465</v>
      </c>
      <c r="AR243" s="16">
        <f t="shared" si="1205"/>
        <v>6.6482062737113239</v>
      </c>
      <c r="AS243" s="16">
        <f t="shared" si="1205"/>
        <v>5.8178028049789816</v>
      </c>
      <c r="AT243" s="16">
        <f t="shared" si="1205"/>
        <v>5.2676413484054478</v>
      </c>
      <c r="AU243" s="16">
        <f>IFERROR(AU179/AP179*100-100,"")</f>
        <v>5.7659864459854759</v>
      </c>
      <c r="AV243" s="16">
        <f t="shared" ref="AV243:AZ245" si="1206">IFERROR(AV179/AQ179*100-100,"")</f>
        <v>4.8247716734143467</v>
      </c>
      <c r="AW243" s="16">
        <f t="shared" si="1206"/>
        <v>4.5427558611640677</v>
      </c>
      <c r="AX243" s="16">
        <f t="shared" si="1206"/>
        <v>5.0675933477093906</v>
      </c>
      <c r="AY243" s="16">
        <f t="shared" si="1206"/>
        <v>5.0248451310858968</v>
      </c>
      <c r="AZ243" s="16">
        <f>IFERROR(AZ179/AU179*100-100,"")</f>
        <v>3.9971742444098624</v>
      </c>
      <c r="BA243" s="16">
        <f t="shared" ref="BA243:BE245" si="1207">IFERROR(BA179/AV179*100-100,"")</f>
        <v>3.6820349110467561</v>
      </c>
      <c r="BB243" s="16">
        <f t="shared" si="1207"/>
        <v>2.6314209628736762</v>
      </c>
      <c r="BC243" s="16">
        <f t="shared" si="1207"/>
        <v>2.5242744604164784</v>
      </c>
      <c r="BD243" s="16">
        <f t="shared" si="1207"/>
        <v>3.1528458352629798</v>
      </c>
      <c r="BE243" s="16">
        <f>IFERROR(BE179/AZ179*100-100,"")</f>
        <v>3.7831722374897652</v>
      </c>
      <c r="BF243" s="16">
        <f t="shared" ref="BF243:BJ245" si="1208">IFERROR(BF179/BA179*100-100,"")</f>
        <v>3.9231730873151065</v>
      </c>
      <c r="BG243" s="16">
        <f t="shared" si="1208"/>
        <v>4.4199217971911224</v>
      </c>
      <c r="BH243" s="16">
        <f t="shared" si="1208"/>
        <v>3.8202281548256849</v>
      </c>
      <c r="BI243" s="16">
        <f t="shared" si="1208"/>
        <v>4.0095517270768823</v>
      </c>
      <c r="BJ243" s="16">
        <f>IFERROR(BJ179/BE179*100-100,"")</f>
        <v>3.5421419714483022</v>
      </c>
      <c r="BK243" s="16">
        <f t="shared" ref="BK243:BO245" si="1209">IFERROR(BK179/BF179*100-100,"")</f>
        <v>3.1254534914231016</v>
      </c>
      <c r="BL243" s="16">
        <f t="shared" si="1209"/>
        <v>2.6846184726105378</v>
      </c>
      <c r="BM243" s="16">
        <f t="shared" si="1209"/>
        <v>1.8013619652673896</v>
      </c>
      <c r="BN243" s="16">
        <f t="shared" si="1209"/>
        <v>2.7499190151439592</v>
      </c>
      <c r="BO243" s="16">
        <f>IFERROR(BO179/BJ179*100-100,"")</f>
        <v>0.57464990610225186</v>
      </c>
      <c r="BP243" s="16">
        <f t="shared" ref="BP243:BT245" si="1210">IFERROR(BP179/BK179*100-100,"")</f>
        <v>1.9809576822244566</v>
      </c>
      <c r="BQ243" s="16">
        <f t="shared" si="1210"/>
        <v>1.8257556153552343</v>
      </c>
      <c r="BR243" s="16">
        <f t="shared" si="1210"/>
        <v>2.9414860057171097</v>
      </c>
      <c r="BS243" s="16">
        <f t="shared" si="1210"/>
        <v>1.8563630757118688</v>
      </c>
      <c r="BT243" s="16">
        <f>IFERROR(BT179/BO179*100-100,"")</f>
        <v>3.0942319745606426</v>
      </c>
      <c r="BU243" s="16">
        <f t="shared" ref="BU243:BY245" si="1211">IFERROR(BU179/BP179*100-100,"")</f>
        <v>1.9616672944889615</v>
      </c>
      <c r="BV243" s="16">
        <f t="shared" si="1211"/>
        <v>2.1460268890296703</v>
      </c>
      <c r="BW243" s="16">
        <f t="shared" si="1211"/>
        <v>2.5090978622715738</v>
      </c>
      <c r="BX243" s="16">
        <f t="shared" si="1211"/>
        <v>2.4374164329725687</v>
      </c>
      <c r="BY243" s="16">
        <f>IFERROR(BY179/BT179*100-100,"")</f>
        <v>1.0106413209060747</v>
      </c>
      <c r="BZ243" s="16">
        <f t="shared" ref="BZ243:CD245" si="1212">IFERROR(BZ179/BU179*100-100,"")</f>
        <v>1.3773218965483949</v>
      </c>
      <c r="CA243" s="16">
        <f t="shared" si="1212"/>
        <v>1.6124478088835019</v>
      </c>
      <c r="CB243" s="16">
        <f t="shared" si="1212"/>
        <v>1.0262120579285607</v>
      </c>
      <c r="CC243" s="16">
        <f t="shared" si="1212"/>
        <v>1.2439408406866903</v>
      </c>
      <c r="CD243" s="16">
        <f>IFERROR(CD179/BY179*100-100,"")</f>
        <v>2.62714234005783</v>
      </c>
      <c r="CE243" s="16">
        <f t="shared" ref="CE243:CI245" si="1213">IFERROR(CE179/BZ179*100-100,"")</f>
        <v>2.054925125075485</v>
      </c>
      <c r="CF243" s="16">
        <f t="shared" si="1213"/>
        <v>1.817710069458883</v>
      </c>
      <c r="CG243" s="16">
        <f t="shared" si="1213"/>
        <v>1.9470956805108131</v>
      </c>
      <c r="CH243" s="16">
        <f t="shared" si="1213"/>
        <v>2.100414657567967</v>
      </c>
      <c r="CI243" s="16">
        <f>IFERROR(CI179/CD179*100-100,"")</f>
        <v>2.1557847782131034</v>
      </c>
      <c r="CJ243" s="16">
        <f t="shared" ref="CJ243:CN245" si="1214">IFERROR(CJ179/CE179*100-100,"")</f>
        <v>2.1784575299362814</v>
      </c>
      <c r="CK243" s="16">
        <f t="shared" si="1214"/>
        <v>1.9491130901264881</v>
      </c>
      <c r="CL243" s="16">
        <f t="shared" si="1214"/>
        <v>1.6106073411973085</v>
      </c>
      <c r="CM243" s="16">
        <f t="shared" si="1214"/>
        <v>1.9617702003297097</v>
      </c>
      <c r="CN243" s="16" t="str">
        <f>IFERROR(CN179/CI179*100-100,"")</f>
        <v/>
      </c>
      <c r="CO243" s="16" t="str">
        <f t="shared" ref="CO243:CR245" si="1215">IFERROR(CO179/CJ179*100-100,"")</f>
        <v/>
      </c>
      <c r="CP243" s="16" t="str">
        <f t="shared" si="1215"/>
        <v/>
      </c>
      <c r="CQ243" s="16" t="str">
        <f t="shared" si="1215"/>
        <v/>
      </c>
      <c r="CR243" s="16" t="str">
        <f t="shared" si="1215"/>
        <v/>
      </c>
    </row>
    <row r="244" spans="1:96" s="9" customFormat="1" ht="15" x14ac:dyDescent="0.4">
      <c r="A244" s="18" t="s">
        <v>90</v>
      </c>
      <c r="B244" s="38"/>
      <c r="C244" s="38"/>
      <c r="D244" s="38"/>
      <c r="E244" s="38"/>
      <c r="F244" s="38"/>
      <c r="G244" s="39">
        <f t="shared" ref="G244:G245" si="1216">IFERROR(G180/B180*100-100,"")</f>
        <v>5.0232116171746242</v>
      </c>
      <c r="H244" s="39">
        <f t="shared" si="1198"/>
        <v>12.255966338976052</v>
      </c>
      <c r="I244" s="39">
        <f t="shared" si="1198"/>
        <v>18.849225448631898</v>
      </c>
      <c r="J244" s="39">
        <f t="shared" si="1198"/>
        <v>24.440308182573347</v>
      </c>
      <c r="K244" s="40">
        <f t="shared" si="1198"/>
        <v>15.722985866732913</v>
      </c>
      <c r="L244" s="39">
        <f t="shared" si="1198"/>
        <v>29.107210326090069</v>
      </c>
      <c r="M244" s="39">
        <f t="shared" si="1199"/>
        <v>18.669999740241423</v>
      </c>
      <c r="N244" s="39">
        <f t="shared" si="1199"/>
        <v>11.136262758304198</v>
      </c>
      <c r="O244" s="39">
        <f t="shared" si="1199"/>
        <v>4.9842267591340743</v>
      </c>
      <c r="P244" s="40">
        <f t="shared" si="1199"/>
        <v>14.75050003243193</v>
      </c>
      <c r="Q244" s="39">
        <f t="shared" si="1199"/>
        <v>-1.0756132202691049</v>
      </c>
      <c r="R244" s="39" t="str">
        <f t="shared" si="1200"/>
        <v/>
      </c>
      <c r="S244" s="39">
        <f t="shared" si="1200"/>
        <v>11.505004922690958</v>
      </c>
      <c r="T244" s="39">
        <f t="shared" si="1200"/>
        <v>10.229947461073692</v>
      </c>
      <c r="U244" s="40" t="str">
        <f t="shared" si="1200"/>
        <v/>
      </c>
      <c r="V244" s="39">
        <f t="shared" si="1200"/>
        <v>15.844197880652303</v>
      </c>
      <c r="W244" s="39" t="str">
        <f t="shared" si="1201"/>
        <v/>
      </c>
      <c r="X244" s="39">
        <f t="shared" si="1201"/>
        <v>8.9809557753177671</v>
      </c>
      <c r="Y244" s="39">
        <f t="shared" si="1201"/>
        <v>18.669505698010383</v>
      </c>
      <c r="Z244" s="40" t="str">
        <f t="shared" si="1201"/>
        <v/>
      </c>
      <c r="AA244" s="39">
        <f t="shared" si="1201"/>
        <v>6.7593872487154556</v>
      </c>
      <c r="AB244" s="39">
        <f t="shared" si="1202"/>
        <v>8.9851908438777457</v>
      </c>
      <c r="AC244" s="39">
        <f t="shared" si="1202"/>
        <v>7.9767801580060507</v>
      </c>
      <c r="AD244" s="39">
        <f t="shared" si="1202"/>
        <v>-0.11085000703164383</v>
      </c>
      <c r="AE244" s="40">
        <f t="shared" si="1202"/>
        <v>5.6184042344410727</v>
      </c>
      <c r="AF244" s="39">
        <f t="shared" si="1202"/>
        <v>8.0480193319031343</v>
      </c>
      <c r="AG244" s="39">
        <f t="shared" si="1203"/>
        <v>3.7484863158413049</v>
      </c>
      <c r="AH244" s="39">
        <f t="shared" si="1203"/>
        <v>0.21921965773286445</v>
      </c>
      <c r="AI244" s="39">
        <f t="shared" si="1203"/>
        <v>-0.55080521106305014</v>
      </c>
      <c r="AJ244" s="40">
        <f t="shared" si="1203"/>
        <v>2.7214939221668999</v>
      </c>
      <c r="AK244" s="39">
        <f t="shared" si="1203"/>
        <v>-0.43461984997080094</v>
      </c>
      <c r="AL244" s="39">
        <f t="shared" si="1204"/>
        <v>0.99848474897123651</v>
      </c>
      <c r="AM244" s="39">
        <f t="shared" si="1204"/>
        <v>1.5648720135138916</v>
      </c>
      <c r="AN244" s="39">
        <f t="shared" si="1204"/>
        <v>3.6622970624351723</v>
      </c>
      <c r="AO244" s="40">
        <f t="shared" si="1204"/>
        <v>1.5104290496065857</v>
      </c>
      <c r="AP244" s="39">
        <f t="shared" si="1204"/>
        <v>4.535145141963099</v>
      </c>
      <c r="AQ244" s="39">
        <f t="shared" si="1205"/>
        <v>4.6938356746207148</v>
      </c>
      <c r="AR244" s="39">
        <f t="shared" si="1205"/>
        <v>5.63834344360518</v>
      </c>
      <c r="AS244" s="39">
        <f t="shared" si="1205"/>
        <v>5.4446965257397153</v>
      </c>
      <c r="AT244" s="40">
        <f t="shared" si="1205"/>
        <v>5.0865210838366437</v>
      </c>
      <c r="AU244" s="39">
        <f t="shared" si="1205"/>
        <v>4.2778606060077919</v>
      </c>
      <c r="AV244" s="39">
        <f t="shared" si="1206"/>
        <v>3.8331971101156341</v>
      </c>
      <c r="AW244" s="39">
        <f t="shared" si="1206"/>
        <v>4.5220814977866297</v>
      </c>
      <c r="AX244" s="39">
        <f t="shared" si="1206"/>
        <v>5.3137342428834131</v>
      </c>
      <c r="AY244" s="40">
        <f t="shared" si="1206"/>
        <v>4.5286504325302985</v>
      </c>
      <c r="AZ244" s="39">
        <f t="shared" si="1206"/>
        <v>4.0660720360703664</v>
      </c>
      <c r="BA244" s="39">
        <f t="shared" si="1207"/>
        <v>3.6447970675823598</v>
      </c>
      <c r="BB244" s="39">
        <f t="shared" si="1207"/>
        <v>1.9692856762633539</v>
      </c>
      <c r="BC244" s="39">
        <f t="shared" si="1207"/>
        <v>1.8663626602090915</v>
      </c>
      <c r="BD244" s="40">
        <f t="shared" si="1207"/>
        <v>2.8009583635384416</v>
      </c>
      <c r="BE244" s="39">
        <f t="shared" si="1207"/>
        <v>3.2244928071114316</v>
      </c>
      <c r="BF244" s="39">
        <f t="shared" si="1208"/>
        <v>3.5233934875616058</v>
      </c>
      <c r="BG244" s="39">
        <f t="shared" si="1208"/>
        <v>4.5192960000617859</v>
      </c>
      <c r="BH244" s="39">
        <f t="shared" si="1208"/>
        <v>3.6295402562456047</v>
      </c>
      <c r="BI244" s="40">
        <f t="shared" si="1208"/>
        <v>3.7401718002861344</v>
      </c>
      <c r="BJ244" s="39">
        <f t="shared" si="1208"/>
        <v>3.3449506959450446</v>
      </c>
      <c r="BK244" s="39">
        <f t="shared" si="1209"/>
        <v>3.0679530430204807</v>
      </c>
      <c r="BL244" s="39">
        <f t="shared" si="1209"/>
        <v>3.002631454416175</v>
      </c>
      <c r="BM244" s="39">
        <f t="shared" si="1209"/>
        <v>2.0035772541400405</v>
      </c>
      <c r="BN244" s="40">
        <f t="shared" si="1209"/>
        <v>2.8305842740176104</v>
      </c>
      <c r="BO244" s="39">
        <f t="shared" si="1209"/>
        <v>0.98696905625506304</v>
      </c>
      <c r="BP244" s="39">
        <f t="shared" si="1210"/>
        <v>3.0415687143385384</v>
      </c>
      <c r="BQ244" s="39">
        <f t="shared" si="1210"/>
        <v>2.1007511758227793</v>
      </c>
      <c r="BR244" s="39">
        <f t="shared" si="1210"/>
        <v>3.4873677639306777</v>
      </c>
      <c r="BS244" s="40">
        <f t="shared" si="1210"/>
        <v>2.4517393660678835</v>
      </c>
      <c r="BT244" s="39">
        <f t="shared" si="1210"/>
        <v>3.7653098037875594</v>
      </c>
      <c r="BU244" s="39">
        <f t="shared" si="1211"/>
        <v>1.6010937078285679</v>
      </c>
      <c r="BV244" s="39">
        <f t="shared" si="1211"/>
        <v>1.8432543101512664</v>
      </c>
      <c r="BW244" s="39">
        <f t="shared" si="1211"/>
        <v>2.2413132350296081</v>
      </c>
      <c r="BX244" s="40">
        <f t="shared" si="1211"/>
        <v>2.3328093852211111</v>
      </c>
      <c r="BY244" s="39">
        <f t="shared" si="1211"/>
        <v>1.7892090368544018</v>
      </c>
      <c r="BZ244" s="39">
        <f t="shared" si="1212"/>
        <v>2.5388739616151241</v>
      </c>
      <c r="CA244" s="39">
        <f t="shared" si="1212"/>
        <v>2.9301899363362622</v>
      </c>
      <c r="CB244" s="39">
        <f t="shared" si="1212"/>
        <v>2.1762043159898781</v>
      </c>
      <c r="CC244" s="40">
        <f t="shared" si="1212"/>
        <v>2.3427825419740458</v>
      </c>
      <c r="CD244" s="39">
        <f t="shared" si="1212"/>
        <v>2.2840172462112065</v>
      </c>
      <c r="CE244" s="39">
        <f t="shared" si="1213"/>
        <v>2.1161040297488682</v>
      </c>
      <c r="CF244" s="39">
        <f t="shared" si="1213"/>
        <v>1.8383892593468119</v>
      </c>
      <c r="CG244" s="39">
        <f t="shared" si="1213"/>
        <v>2.01567939786176</v>
      </c>
      <c r="CH244" s="40">
        <f t="shared" si="1213"/>
        <v>2.0601726286787851</v>
      </c>
      <c r="CI244" s="39">
        <f t="shared" si="1213"/>
        <v>2.0441297938686489</v>
      </c>
      <c r="CJ244" s="39">
        <f t="shared" si="1214"/>
        <v>1.7243523594744943</v>
      </c>
      <c r="CK244" s="39">
        <f t="shared" si="1214"/>
        <v>1.5667332499492233</v>
      </c>
      <c r="CL244" s="39">
        <f t="shared" si="1214"/>
        <v>1.1692715676480532</v>
      </c>
      <c r="CM244" s="40">
        <f t="shared" si="1214"/>
        <v>1.6140832142035038</v>
      </c>
      <c r="CN244" s="39" t="str">
        <f t="shared" si="1214"/>
        <v/>
      </c>
      <c r="CO244" s="39" t="str">
        <f t="shared" si="1215"/>
        <v/>
      </c>
      <c r="CP244" s="39" t="str">
        <f t="shared" si="1215"/>
        <v/>
      </c>
      <c r="CQ244" s="39" t="str">
        <f t="shared" si="1215"/>
        <v/>
      </c>
      <c r="CR244" s="40" t="str">
        <f t="shared" si="1215"/>
        <v/>
      </c>
    </row>
    <row r="245" spans="1:96" s="9" customFormat="1" ht="15" x14ac:dyDescent="0.4">
      <c r="A245" s="18" t="s">
        <v>91</v>
      </c>
      <c r="B245" s="41"/>
      <c r="C245" s="41"/>
      <c r="D245" s="41"/>
      <c r="E245" s="41"/>
      <c r="F245" s="41"/>
      <c r="G245" s="39">
        <f t="shared" si="1216"/>
        <v>19.809364031548967</v>
      </c>
      <c r="H245" s="39">
        <f t="shared" si="1198"/>
        <v>17.528077883408017</v>
      </c>
      <c r="I245" s="39">
        <f t="shared" si="1198"/>
        <v>16.638128089021336</v>
      </c>
      <c r="J245" s="39">
        <f t="shared" si="1198"/>
        <v>15.677352981524308</v>
      </c>
      <c r="K245" s="40">
        <f t="shared" si="1198"/>
        <v>17.396422879092867</v>
      </c>
      <c r="L245" s="39">
        <f t="shared" si="1198"/>
        <v>3.2674231779636926</v>
      </c>
      <c r="M245" s="39">
        <f t="shared" si="1199"/>
        <v>5.4076237517737695</v>
      </c>
      <c r="N245" s="39">
        <f t="shared" si="1199"/>
        <v>4.2617808943174538</v>
      </c>
      <c r="O245" s="39">
        <f t="shared" si="1199"/>
        <v>5.1102870304880099</v>
      </c>
      <c r="P245" s="40">
        <f t="shared" si="1199"/>
        <v>4.5120363677072675</v>
      </c>
      <c r="Q245" s="39">
        <f t="shared" si="1199"/>
        <v>5.8520959987212962</v>
      </c>
      <c r="R245" s="39" t="str">
        <f t="shared" si="1200"/>
        <v/>
      </c>
      <c r="S245" s="39">
        <f t="shared" si="1200"/>
        <v>-2.1765964384666319</v>
      </c>
      <c r="T245" s="39">
        <f t="shared" si="1200"/>
        <v>0.66237323861162167</v>
      </c>
      <c r="U245" s="40" t="str">
        <f t="shared" si="1200"/>
        <v/>
      </c>
      <c r="V245" s="39">
        <f t="shared" si="1200"/>
        <v>-7.7456199826590222</v>
      </c>
      <c r="W245" s="39" t="str">
        <f t="shared" si="1201"/>
        <v/>
      </c>
      <c r="X245" s="39">
        <f t="shared" si="1201"/>
        <v>12.196092346566061</v>
      </c>
      <c r="Y245" s="39">
        <f t="shared" si="1201"/>
        <v>4.9498298293749059</v>
      </c>
      <c r="Z245" s="40" t="str">
        <f t="shared" si="1201"/>
        <v/>
      </c>
      <c r="AA245" s="39">
        <f t="shared" si="1201"/>
        <v>6.9690424849254669</v>
      </c>
      <c r="AB245" s="39">
        <f t="shared" si="1202"/>
        <v>1.3192232669329513</v>
      </c>
      <c r="AC245" s="39">
        <f t="shared" si="1202"/>
        <v>0.73096308384370445</v>
      </c>
      <c r="AD245" s="39">
        <f t="shared" si="1202"/>
        <v>4.23600236191362</v>
      </c>
      <c r="AE245" s="40">
        <f t="shared" si="1202"/>
        <v>3.0195743852588208</v>
      </c>
      <c r="AF245" s="39">
        <f t="shared" si="1202"/>
        <v>7.6145683578285599</v>
      </c>
      <c r="AG245" s="39">
        <f t="shared" si="1203"/>
        <v>5.7433126982820966</v>
      </c>
      <c r="AH245" s="39">
        <f t="shared" si="1203"/>
        <v>2.7996127602401373</v>
      </c>
      <c r="AI245" s="39">
        <f t="shared" si="1203"/>
        <v>3.5847810142262375</v>
      </c>
      <c r="AJ245" s="40">
        <f t="shared" si="1203"/>
        <v>4.9210222724745307</v>
      </c>
      <c r="AK245" s="39">
        <f t="shared" si="1203"/>
        <v>1.8610714678753482</v>
      </c>
      <c r="AL245" s="39">
        <f t="shared" si="1204"/>
        <v>2.3281985625591659</v>
      </c>
      <c r="AM245" s="39">
        <f t="shared" si="1204"/>
        <v>1.3788218993289689</v>
      </c>
      <c r="AN245" s="39">
        <f t="shared" si="1204"/>
        <v>3.108334734584048</v>
      </c>
      <c r="AO245" s="40">
        <f t="shared" si="1204"/>
        <v>2.2407246153952229</v>
      </c>
      <c r="AP245" s="39">
        <f t="shared" si="1204"/>
        <v>2.7093996303153602</v>
      </c>
      <c r="AQ245" s="39">
        <f t="shared" si="1205"/>
        <v>4.9428529280575191</v>
      </c>
      <c r="AR245" s="39">
        <f t="shared" si="1205"/>
        <v>7.9587453425528736</v>
      </c>
      <c r="AS245" s="39">
        <f t="shared" si="1205"/>
        <v>6.3433683395322191</v>
      </c>
      <c r="AT245" s="40">
        <f t="shared" si="1205"/>
        <v>5.5534525745876522</v>
      </c>
      <c r="AU245" s="39">
        <f t="shared" si="1205"/>
        <v>7.6568011339996644</v>
      </c>
      <c r="AV245" s="39">
        <f t="shared" si="1206"/>
        <v>6.1651953655135401</v>
      </c>
      <c r="AW245" s="39">
        <f t="shared" si="1206"/>
        <v>4.6100567232259237</v>
      </c>
      <c r="AX245" s="39">
        <f t="shared" si="1206"/>
        <v>4.1147288987535973</v>
      </c>
      <c r="AY245" s="40">
        <f t="shared" si="1206"/>
        <v>5.5110184175631787</v>
      </c>
      <c r="AZ245" s="39">
        <f t="shared" si="1206"/>
        <v>3.9304569447823496</v>
      </c>
      <c r="BA245" s="39">
        <f t="shared" si="1207"/>
        <v>3.5757076536642813</v>
      </c>
      <c r="BB245" s="39">
        <f t="shared" si="1207"/>
        <v>3.3367716183744278</v>
      </c>
      <c r="BC245" s="39">
        <f t="shared" si="1207"/>
        <v>3.5326857673806558</v>
      </c>
      <c r="BD245" s="40">
        <f t="shared" si="1207"/>
        <v>3.5664972978711944</v>
      </c>
      <c r="BE245" s="39">
        <f t="shared" si="1207"/>
        <v>4.1887069660644443</v>
      </c>
      <c r="BF245" s="39">
        <f t="shared" si="1208"/>
        <v>4.3506281074550941</v>
      </c>
      <c r="BG245" s="39">
        <f t="shared" si="1208"/>
        <v>4.309277626078952</v>
      </c>
      <c r="BH245" s="39">
        <f t="shared" si="1208"/>
        <v>4.322359382908175</v>
      </c>
      <c r="BI245" s="40">
        <f t="shared" si="1208"/>
        <v>4.3328126771168911</v>
      </c>
      <c r="BJ245" s="39">
        <f t="shared" si="1208"/>
        <v>4.1034579556160651</v>
      </c>
      <c r="BK245" s="39">
        <f t="shared" si="1209"/>
        <v>3.0386015056915028</v>
      </c>
      <c r="BL245" s="39">
        <f t="shared" si="1209"/>
        <v>2.1036347852251254</v>
      </c>
      <c r="BM245" s="39">
        <f t="shared" si="1209"/>
        <v>1.7234166461733764</v>
      </c>
      <c r="BN245" s="40">
        <f t="shared" si="1209"/>
        <v>2.6823673539958293</v>
      </c>
      <c r="BO245" s="39">
        <f t="shared" si="1209"/>
        <v>0.4269416933132959</v>
      </c>
      <c r="BP245" s="39">
        <f t="shared" si="1210"/>
        <v>1.0014531144471732</v>
      </c>
      <c r="BQ245" s="39">
        <f t="shared" si="1210"/>
        <v>1.4896286854661156</v>
      </c>
      <c r="BR245" s="39">
        <f t="shared" si="1210"/>
        <v>1.6742821289735588</v>
      </c>
      <c r="BS245" s="40">
        <f t="shared" si="1210"/>
        <v>1.1499887633837034</v>
      </c>
      <c r="BT245" s="39">
        <f t="shared" si="1210"/>
        <v>1.9896854624209368</v>
      </c>
      <c r="BU245" s="39">
        <f t="shared" si="1211"/>
        <v>2.5877058055939699</v>
      </c>
      <c r="BV245" s="39">
        <f t="shared" si="1211"/>
        <v>3.0394672863496766</v>
      </c>
      <c r="BW245" s="39">
        <f t="shared" si="1211"/>
        <v>3.2549035266236359</v>
      </c>
      <c r="BX245" s="40">
        <f t="shared" si="1211"/>
        <v>2.7687739160950855</v>
      </c>
      <c r="BY245" s="39">
        <f t="shared" si="1211"/>
        <v>-4.3855102381968436E-2</v>
      </c>
      <c r="BZ245" s="39">
        <f t="shared" si="1212"/>
        <v>0.70411691281908872</v>
      </c>
      <c r="CA245" s="39">
        <f t="shared" si="1212"/>
        <v>0.29048855641914884</v>
      </c>
      <c r="CB245" s="39">
        <f t="shared" si="1212"/>
        <v>0.13744331161358048</v>
      </c>
      <c r="CC245" s="40">
        <f t="shared" si="1212"/>
        <v>0.27469696660647003</v>
      </c>
      <c r="CD245" s="39">
        <f t="shared" si="1212"/>
        <v>3.4042455993326968</v>
      </c>
      <c r="CE245" s="39">
        <f t="shared" si="1213"/>
        <v>1.6185862452642823</v>
      </c>
      <c r="CF245" s="39">
        <f t="shared" si="1213"/>
        <v>1.918685854488686</v>
      </c>
      <c r="CG245" s="39">
        <f t="shared" si="1213"/>
        <v>2.0605088630831574</v>
      </c>
      <c r="CH245" s="40">
        <f t="shared" si="1213"/>
        <v>2.21949211128954</v>
      </c>
      <c r="CI245" s="39">
        <f t="shared" si="1213"/>
        <v>2.4568482599642607</v>
      </c>
      <c r="CJ245" s="39">
        <f t="shared" si="1214"/>
        <v>2.7354247609032001</v>
      </c>
      <c r="CK245" s="39">
        <f t="shared" si="1214"/>
        <v>2.3045615690032264</v>
      </c>
      <c r="CL245" s="39">
        <f t="shared" si="1214"/>
        <v>2.066391308568754</v>
      </c>
      <c r="CM245" s="40">
        <f t="shared" si="1214"/>
        <v>2.3755880715152813</v>
      </c>
      <c r="CN245" s="39" t="str">
        <f t="shared" si="1214"/>
        <v/>
      </c>
      <c r="CO245" s="39" t="str">
        <f t="shared" si="1215"/>
        <v/>
      </c>
      <c r="CP245" s="39" t="str">
        <f t="shared" si="1215"/>
        <v/>
      </c>
      <c r="CQ245" s="39" t="str">
        <f t="shared" si="1215"/>
        <v/>
      </c>
      <c r="CR245" s="40" t="str">
        <f t="shared" si="1215"/>
        <v/>
      </c>
    </row>
    <row r="246" spans="1:96" s="9" customFormat="1" ht="15" x14ac:dyDescent="0.4">
      <c r="A246" s="25"/>
      <c r="B246" s="42"/>
      <c r="C246" s="42"/>
      <c r="D246" s="42"/>
      <c r="E246" s="42"/>
      <c r="F246" s="42"/>
      <c r="G246" s="22"/>
      <c r="H246" s="22"/>
      <c r="I246" s="22"/>
      <c r="J246" s="22"/>
      <c r="K246" s="24"/>
      <c r="L246" s="22"/>
      <c r="M246" s="22"/>
      <c r="N246" s="22"/>
      <c r="O246" s="22"/>
      <c r="P246" s="24"/>
      <c r="Q246" s="22"/>
      <c r="R246" s="22"/>
      <c r="S246" s="22"/>
      <c r="T246" s="22"/>
      <c r="U246" s="24"/>
      <c r="V246" s="22"/>
      <c r="W246" s="22"/>
      <c r="X246" s="22"/>
      <c r="Y246" s="22"/>
      <c r="Z246" s="24"/>
      <c r="AA246" s="22"/>
      <c r="AB246" s="22"/>
      <c r="AC246" s="22"/>
      <c r="AD246" s="22"/>
      <c r="AE246" s="24"/>
      <c r="AF246" s="22"/>
      <c r="AG246" s="22"/>
      <c r="AH246" s="22"/>
      <c r="AI246" s="22"/>
      <c r="AJ246" s="24"/>
      <c r="AK246" s="22"/>
      <c r="AL246" s="22"/>
      <c r="AM246" s="22"/>
      <c r="AN246" s="22"/>
      <c r="AO246" s="24"/>
      <c r="AP246" s="22"/>
      <c r="AQ246" s="22"/>
      <c r="AR246" s="22"/>
      <c r="AS246" s="22"/>
      <c r="AT246" s="24"/>
      <c r="AU246" s="22"/>
      <c r="AV246" s="22"/>
      <c r="AW246" s="22"/>
      <c r="AX246" s="22"/>
      <c r="AY246" s="24"/>
      <c r="AZ246" s="22"/>
      <c r="BA246" s="22"/>
      <c r="BB246" s="22"/>
      <c r="BC246" s="22"/>
      <c r="BD246" s="24"/>
      <c r="BE246" s="22"/>
      <c r="BF246" s="22"/>
      <c r="BG246" s="22"/>
      <c r="BH246" s="22"/>
      <c r="BI246" s="24"/>
      <c r="BJ246" s="22"/>
      <c r="BK246" s="22"/>
      <c r="BL246" s="22"/>
      <c r="BM246" s="22"/>
      <c r="BN246" s="24"/>
      <c r="BO246" s="22"/>
      <c r="BP246" s="22"/>
      <c r="BQ246" s="22"/>
      <c r="BR246" s="22"/>
      <c r="BS246" s="24"/>
      <c r="BT246" s="22"/>
      <c r="BU246" s="22"/>
      <c r="BV246" s="22"/>
      <c r="BW246" s="22"/>
      <c r="BX246" s="24"/>
      <c r="BY246" s="22"/>
      <c r="BZ246" s="22"/>
      <c r="CA246" s="22"/>
      <c r="CB246" s="22"/>
      <c r="CC246" s="24"/>
      <c r="CD246" s="22"/>
      <c r="CE246" s="22"/>
      <c r="CF246" s="22"/>
      <c r="CG246" s="22"/>
      <c r="CH246" s="24"/>
      <c r="CI246" s="22"/>
      <c r="CJ246" s="22"/>
      <c r="CK246" s="22"/>
      <c r="CL246" s="22"/>
      <c r="CM246" s="24"/>
      <c r="CN246" s="22"/>
      <c r="CO246" s="22"/>
      <c r="CP246" s="22"/>
      <c r="CQ246" s="22"/>
      <c r="CR246" s="24"/>
    </row>
    <row r="247" spans="1:96" s="17" customFormat="1" ht="15" x14ac:dyDescent="0.4">
      <c r="A247" s="15" t="s">
        <v>92</v>
      </c>
      <c r="B247" s="37"/>
      <c r="C247" s="37"/>
      <c r="D247" s="37"/>
      <c r="E247" s="37"/>
      <c r="F247" s="37"/>
      <c r="G247" s="16">
        <f>IFERROR(G183/B183*100-100,"")</f>
        <v>-9.6213295868809752</v>
      </c>
      <c r="H247" s="16">
        <f t="shared" ref="H247:K247" si="1217">IFERROR(H183/C183*100-100,"")</f>
        <v>-18.710822157491023</v>
      </c>
      <c r="I247" s="16">
        <f t="shared" si="1217"/>
        <v>0.89723662276497862</v>
      </c>
      <c r="J247" s="16">
        <f t="shared" si="1217"/>
        <v>-25.253133153260038</v>
      </c>
      <c r="K247" s="16">
        <f t="shared" si="1217"/>
        <v>-10.6452559645615</v>
      </c>
      <c r="L247" s="16">
        <f>IFERROR(L183/G183*100-100,"")</f>
        <v>8.6882074129288327</v>
      </c>
      <c r="M247" s="16">
        <f t="shared" ref="M247:P247" si="1218">IFERROR(M183/H183*100-100,"")</f>
        <v>31.844704655813729</v>
      </c>
      <c r="N247" s="16">
        <f t="shared" si="1218"/>
        <v>11.942271355419564</v>
      </c>
      <c r="O247" s="16">
        <f t="shared" si="1218"/>
        <v>-3.8697523530561426</v>
      </c>
      <c r="P247" s="16">
        <f t="shared" si="1218"/>
        <v>17.31005488926705</v>
      </c>
      <c r="Q247" s="16">
        <f>IFERROR(Q183/L183*100-100,"")</f>
        <v>25.037063778853735</v>
      </c>
      <c r="R247" s="16" t="str">
        <f t="shared" ref="R247:U247" si="1219">IFERROR(R183/M183*100-100,"")</f>
        <v/>
      </c>
      <c r="S247" s="16">
        <f t="shared" si="1219"/>
        <v>7.3035472746064869</v>
      </c>
      <c r="T247" s="16">
        <f t="shared" si="1219"/>
        <v>27.339546923920949</v>
      </c>
      <c r="U247" s="16" t="str">
        <f t="shared" si="1219"/>
        <v/>
      </c>
      <c r="V247" s="16">
        <f>IFERROR(V183/Q183*100-100,"")</f>
        <v>-13.133818050720194</v>
      </c>
      <c r="W247" s="16" t="str">
        <f t="shared" ref="W247:Z247" si="1220">IFERROR(W183/R183*100-100,"")</f>
        <v/>
      </c>
      <c r="X247" s="16">
        <f t="shared" si="1220"/>
        <v>-9.7092281750848883</v>
      </c>
      <c r="Y247" s="16">
        <f t="shared" si="1220"/>
        <v>13.876786007798202</v>
      </c>
      <c r="Z247" s="16" t="str">
        <f t="shared" si="1220"/>
        <v/>
      </c>
      <c r="AA247" s="16">
        <f>IFERROR(AA183/V183*100-100,"")</f>
        <v>28.843703412489504</v>
      </c>
      <c r="AB247" s="16">
        <f t="shared" ref="AB247:AE247" si="1221">IFERROR(AB183/W183*100-100,"")</f>
        <v>33.434357762171715</v>
      </c>
      <c r="AC247" s="16">
        <f t="shared" si="1221"/>
        <v>60.540232007920082</v>
      </c>
      <c r="AD247" s="16">
        <f t="shared" si="1221"/>
        <v>56.937099458259382</v>
      </c>
      <c r="AE247" s="16">
        <f t="shared" si="1221"/>
        <v>39.705603791398204</v>
      </c>
      <c r="AF247" s="16">
        <f>IFERROR(AF183/AA183*100-100,"")</f>
        <v>9.085969362210534</v>
      </c>
      <c r="AG247" s="16">
        <f t="shared" ref="AG247:AJ247" si="1222">IFERROR(AG183/AB183*100-100,"")</f>
        <v>4.3205492719818039</v>
      </c>
      <c r="AH247" s="16">
        <f t="shared" si="1222"/>
        <v>-1.8228938807845765</v>
      </c>
      <c r="AI247" s="16">
        <f t="shared" si="1222"/>
        <v>-7.0632144071562664</v>
      </c>
      <c r="AJ247" s="16">
        <f t="shared" si="1222"/>
        <v>4.6073919290549554</v>
      </c>
      <c r="AK247" s="16">
        <f>IFERROR(AK183/AF183*100-100,"")</f>
        <v>14.226501394613592</v>
      </c>
      <c r="AL247" s="16">
        <f t="shared" ref="AL247:AO247" si="1223">IFERROR(AL183/AG183*100-100,"")</f>
        <v>7.1547154004460793</v>
      </c>
      <c r="AM247" s="16">
        <f t="shared" si="1223"/>
        <v>0.75557916519770174</v>
      </c>
      <c r="AN247" s="16">
        <f t="shared" si="1223"/>
        <v>5.5559545856164334</v>
      </c>
      <c r="AO247" s="16">
        <f t="shared" si="1223"/>
        <v>7.2350271485509978</v>
      </c>
      <c r="AP247" s="16">
        <f>IFERROR(AP183/AK183*100-100,"")</f>
        <v>3.1892240833470709</v>
      </c>
      <c r="AQ247" s="16">
        <f t="shared" ref="AQ247:AT247" si="1224">IFERROR(AQ183/AL183*100-100,"")</f>
        <v>2.4813448194478838</v>
      </c>
      <c r="AR247" s="16">
        <f t="shared" si="1224"/>
        <v>3.7848640745034743</v>
      </c>
      <c r="AS247" s="16">
        <f t="shared" si="1224"/>
        <v>4.1408558792766001</v>
      </c>
      <c r="AT247" s="16">
        <f t="shared" si="1224"/>
        <v>3.2955671716609913</v>
      </c>
      <c r="AU247" s="16">
        <f>IFERROR(AU183/AP183*100-100,"")</f>
        <v>5.7490858942369272</v>
      </c>
      <c r="AV247" s="16">
        <f t="shared" ref="AV247:AY247" si="1225">IFERROR(AV183/AQ183*100-100,"")</f>
        <v>5.6026691923472214</v>
      </c>
      <c r="AW247" s="16">
        <f t="shared" si="1225"/>
        <v>3.4555454311387308</v>
      </c>
      <c r="AX247" s="16">
        <f t="shared" si="1225"/>
        <v>2.7878953627194392</v>
      </c>
      <c r="AY247" s="16">
        <f t="shared" si="1225"/>
        <v>4.3959392903215218</v>
      </c>
      <c r="AZ247" s="16">
        <f>IFERROR(AZ183/AU183*100-100,"")</f>
        <v>5.799520490773233</v>
      </c>
      <c r="BA247" s="16">
        <f t="shared" ref="BA247:BD247" si="1226">IFERROR(BA183/AV183*100-100,"")</f>
        <v>5.7248019417160094</v>
      </c>
      <c r="BB247" s="16">
        <f t="shared" si="1226"/>
        <v>5.2167068765070326</v>
      </c>
      <c r="BC247" s="16">
        <f t="shared" si="1226"/>
        <v>8.5399031970800223</v>
      </c>
      <c r="BD247" s="16">
        <f t="shared" si="1226"/>
        <v>6.3269290468757333</v>
      </c>
      <c r="BE247" s="16">
        <f>IFERROR(BE183/AZ183*100-100,"")</f>
        <v>7.3367279002294765</v>
      </c>
      <c r="BF247" s="16">
        <f t="shared" ref="BF247:BI247" si="1227">IFERROR(BF183/BA183*100-100,"")</f>
        <v>7.6667600678095766</v>
      </c>
      <c r="BG247" s="16">
        <f t="shared" si="1227"/>
        <v>7.7538513434203509</v>
      </c>
      <c r="BH247" s="16">
        <f t="shared" si="1227"/>
        <v>4.1308176154000904</v>
      </c>
      <c r="BI247" s="16">
        <f t="shared" si="1227"/>
        <v>6.6920441293903252</v>
      </c>
      <c r="BJ247" s="16">
        <f>IFERROR(BJ183/BE183*100-100,"")</f>
        <v>2.7055676001611602</v>
      </c>
      <c r="BK247" s="16">
        <f t="shared" ref="BK247:BN247" si="1228">IFERROR(BK183/BF183*100-100,"")</f>
        <v>2.9408149661672667</v>
      </c>
      <c r="BL247" s="16">
        <f t="shared" si="1228"/>
        <v>4.6869781871696574</v>
      </c>
      <c r="BM247" s="16">
        <f t="shared" si="1228"/>
        <v>7.2002026601724936</v>
      </c>
      <c r="BN247" s="16">
        <f t="shared" si="1228"/>
        <v>4.3805483368013256</v>
      </c>
      <c r="BO247" s="16">
        <f>IFERROR(BO183/BJ183*100-100,"")</f>
        <v>5.3432118109408577</v>
      </c>
      <c r="BP247" s="16">
        <f t="shared" ref="BP247:BS247" si="1229">IFERROR(BP183/BK183*100-100,"")</f>
        <v>3.5905568335030438</v>
      </c>
      <c r="BQ247" s="16">
        <f t="shared" si="1229"/>
        <v>5.7145904833246988</v>
      </c>
      <c r="BR247" s="16">
        <f t="shared" si="1229"/>
        <v>1.5878414658643862</v>
      </c>
      <c r="BS247" s="16">
        <f t="shared" si="1229"/>
        <v>4.0068100547341601</v>
      </c>
      <c r="BT247" s="16">
        <f>IFERROR(BT183/BO183*100-100,"")</f>
        <v>1.5201113970198179</v>
      </c>
      <c r="BU247" s="16">
        <f t="shared" ref="BU247:BX247" si="1230">IFERROR(BU183/BP183*100-100,"")</f>
        <v>2.9175101692622292</v>
      </c>
      <c r="BV247" s="16">
        <f t="shared" si="1230"/>
        <v>1.2807505714255001</v>
      </c>
      <c r="BW247" s="16">
        <f t="shared" si="1230"/>
        <v>5.5989822169925816</v>
      </c>
      <c r="BX247" s="16">
        <f t="shared" si="1230"/>
        <v>2.8643998703612965</v>
      </c>
      <c r="BY247" s="16">
        <f>IFERROR(BY183/BT183*100-100,"")</f>
        <v>1.1047105015201453</v>
      </c>
      <c r="BZ247" s="16">
        <f t="shared" ref="BZ247:CC247" si="1231">IFERROR(BZ183/BU183*100-100,"")</f>
        <v>1.1547824787564025</v>
      </c>
      <c r="CA247" s="16">
        <f t="shared" si="1231"/>
        <v>-0.28597901348813082</v>
      </c>
      <c r="CB247" s="16">
        <f t="shared" si="1231"/>
        <v>-3.0360697016936626</v>
      </c>
      <c r="CC247" s="16">
        <f t="shared" si="1231"/>
        <v>-0.31817699203388372</v>
      </c>
      <c r="CD247" s="16">
        <f>IFERROR(CD183/BY183*100-100,"")</f>
        <v>2.9085765957946421</v>
      </c>
      <c r="CE247" s="16">
        <f t="shared" ref="CE247:CH247" si="1232">IFERROR(CE183/BZ183*100-100,"")</f>
        <v>2.674267503260694</v>
      </c>
      <c r="CF247" s="16">
        <f t="shared" si="1232"/>
        <v>1.5615348216825709</v>
      </c>
      <c r="CG247" s="16">
        <f t="shared" si="1232"/>
        <v>2.1257595702629999</v>
      </c>
      <c r="CH247" s="16">
        <f t="shared" si="1232"/>
        <v>2.3211947032754381</v>
      </c>
      <c r="CI247" s="16">
        <f>IFERROR(CI183/CD183*100-100,"")</f>
        <v>1.5423644769977329</v>
      </c>
      <c r="CJ247" s="16">
        <f t="shared" ref="CJ247:CM247" si="1233">IFERROR(CJ183/CE183*100-100,"")</f>
        <v>1.4949504087591805</v>
      </c>
      <c r="CK247" s="16">
        <f t="shared" si="1233"/>
        <v>1.8985715056565056</v>
      </c>
      <c r="CL247" s="16">
        <f t="shared" si="1233"/>
        <v>1.6682508035150505</v>
      </c>
      <c r="CM247" s="16">
        <f t="shared" si="1233"/>
        <v>1.6548279140728113</v>
      </c>
      <c r="CN247" s="16" t="str">
        <f>IFERROR(CN183/CI183*100-100,"")</f>
        <v/>
      </c>
      <c r="CO247" s="16" t="str">
        <f t="shared" ref="CO247:CR247" si="1234">IFERROR(CO183/CJ183*100-100,"")</f>
        <v/>
      </c>
      <c r="CP247" s="16" t="str">
        <f t="shared" si="1234"/>
        <v/>
      </c>
      <c r="CQ247" s="16" t="str">
        <f t="shared" si="1234"/>
        <v/>
      </c>
      <c r="CR247" s="16" t="str">
        <f t="shared" si="1234"/>
        <v/>
      </c>
    </row>
    <row r="248" spans="1:96" s="9" customFormat="1" ht="15" x14ac:dyDescent="0.4">
      <c r="A248" s="25"/>
      <c r="B248" s="42"/>
      <c r="C248" s="42"/>
      <c r="D248" s="42"/>
      <c r="E248" s="42"/>
      <c r="F248" s="42"/>
      <c r="G248" s="22"/>
      <c r="H248" s="22"/>
      <c r="I248" s="22"/>
      <c r="J248" s="22"/>
      <c r="K248" s="24"/>
      <c r="L248" s="22"/>
      <c r="M248" s="22"/>
      <c r="N248" s="22"/>
      <c r="O248" s="22"/>
      <c r="P248" s="24"/>
      <c r="Q248" s="22"/>
      <c r="R248" s="22"/>
      <c r="S248" s="22"/>
      <c r="T248" s="22"/>
      <c r="U248" s="24"/>
      <c r="V248" s="22"/>
      <c r="W248" s="22"/>
      <c r="X248" s="22"/>
      <c r="Y248" s="22"/>
      <c r="Z248" s="24"/>
      <c r="AA248" s="22"/>
      <c r="AB248" s="22"/>
      <c r="AC248" s="22"/>
      <c r="AD248" s="22"/>
      <c r="AE248" s="24"/>
      <c r="AF248" s="22"/>
      <c r="AG248" s="22"/>
      <c r="AH248" s="22"/>
      <c r="AI248" s="22"/>
      <c r="AJ248" s="24"/>
      <c r="AK248" s="22"/>
      <c r="AL248" s="22"/>
      <c r="AM248" s="22"/>
      <c r="AN248" s="22"/>
      <c r="AO248" s="24"/>
      <c r="AP248" s="22"/>
      <c r="AQ248" s="22"/>
      <c r="AR248" s="22"/>
      <c r="AS248" s="22"/>
      <c r="AT248" s="24"/>
      <c r="AU248" s="22"/>
      <c r="AV248" s="22"/>
      <c r="AW248" s="22"/>
      <c r="AX248" s="22"/>
      <c r="AY248" s="24"/>
      <c r="AZ248" s="22"/>
      <c r="BA248" s="22"/>
      <c r="BB248" s="22"/>
      <c r="BC248" s="22"/>
      <c r="BD248" s="24"/>
      <c r="BE248" s="22"/>
      <c r="BF248" s="22"/>
      <c r="BG248" s="22"/>
      <c r="BH248" s="22"/>
      <c r="BI248" s="24"/>
      <c r="BJ248" s="22"/>
      <c r="BK248" s="22"/>
      <c r="BL248" s="22"/>
      <c r="BM248" s="22"/>
      <c r="BN248" s="24"/>
      <c r="BO248" s="22"/>
      <c r="BP248" s="22"/>
      <c r="BQ248" s="22"/>
      <c r="BR248" s="22"/>
      <c r="BS248" s="24"/>
      <c r="BT248" s="22"/>
      <c r="BU248" s="22"/>
      <c r="BV248" s="22"/>
      <c r="BW248" s="22"/>
      <c r="BX248" s="24"/>
      <c r="BY248" s="22"/>
      <c r="BZ248" s="22"/>
      <c r="CA248" s="22"/>
      <c r="CB248" s="22"/>
      <c r="CC248" s="24"/>
      <c r="CD248" s="22"/>
      <c r="CE248" s="22"/>
      <c r="CF248" s="22"/>
      <c r="CG248" s="22"/>
      <c r="CH248" s="24"/>
      <c r="CI248" s="22"/>
      <c r="CJ248" s="22"/>
      <c r="CK248" s="22"/>
      <c r="CL248" s="22"/>
      <c r="CM248" s="24"/>
      <c r="CN248" s="22"/>
      <c r="CO248" s="22"/>
      <c r="CP248" s="22"/>
      <c r="CQ248" s="22"/>
      <c r="CR248" s="24"/>
    </row>
    <row r="249" spans="1:96" s="17" customFormat="1" ht="15" x14ac:dyDescent="0.4">
      <c r="A249" s="15" t="s">
        <v>93</v>
      </c>
      <c r="B249" s="37"/>
      <c r="C249" s="37"/>
      <c r="D249" s="37"/>
      <c r="E249" s="37"/>
      <c r="F249" s="37"/>
      <c r="G249" s="16">
        <f>IFERROR(G185/B185*100-100,"")</f>
        <v>-85.81243112171083</v>
      </c>
      <c r="H249" s="16">
        <f t="shared" ref="H249:K249" si="1235">IFERROR(H185/C185*100-100,"")</f>
        <v>-65.070027986824201</v>
      </c>
      <c r="I249" s="16">
        <f t="shared" si="1235"/>
        <v>2440.648598161325</v>
      </c>
      <c r="J249" s="16">
        <f t="shared" si="1235"/>
        <v>-12.865021926998892</v>
      </c>
      <c r="K249" s="16">
        <f t="shared" si="1235"/>
        <v>-32.364991335076908</v>
      </c>
      <c r="L249" s="16">
        <f>IFERROR(L185/G185*100-100,"")</f>
        <v>353.71649415059022</v>
      </c>
      <c r="M249" s="16">
        <f t="shared" ref="M249:P249" si="1236">IFERROR(M185/H185*100-100,"")</f>
        <v>96.399725967789351</v>
      </c>
      <c r="N249" s="16">
        <f t="shared" si="1236"/>
        <v>94.5362602887663</v>
      </c>
      <c r="O249" s="16">
        <f t="shared" si="1236"/>
        <v>13.502487588233294</v>
      </c>
      <c r="P249" s="16">
        <f t="shared" si="1236"/>
        <v>31.009289897980693</v>
      </c>
      <c r="Q249" s="16">
        <f>IFERROR(Q185/L185*100-100,"")</f>
        <v>73.190305813965523</v>
      </c>
      <c r="R249" s="16" t="str">
        <f t="shared" ref="R249:U249" si="1237">IFERROR(R185/M185*100-100,"")</f>
        <v/>
      </c>
      <c r="S249" s="16">
        <f t="shared" si="1237"/>
        <v>-36.424924742233202</v>
      </c>
      <c r="T249" s="16">
        <f t="shared" si="1237"/>
        <v>-38.974564455970409</v>
      </c>
      <c r="U249" s="16" t="str">
        <f t="shared" si="1237"/>
        <v/>
      </c>
      <c r="V249" s="16">
        <f>IFERROR(V185/Q185*100-100,"")</f>
        <v>-22.663542884470317</v>
      </c>
      <c r="W249" s="16" t="str">
        <f t="shared" ref="W249:Z249" si="1238">IFERROR(W185/R185*100-100,"")</f>
        <v/>
      </c>
      <c r="X249" s="16">
        <f t="shared" si="1238"/>
        <v>-33.388847995140353</v>
      </c>
      <c r="Y249" s="16">
        <f t="shared" si="1238"/>
        <v>50.395812712455808</v>
      </c>
      <c r="Z249" s="16" t="str">
        <f t="shared" si="1238"/>
        <v/>
      </c>
      <c r="AA249" s="16">
        <f>IFERROR(AA185/V185*100-100,"")</f>
        <v>35.555598159237263</v>
      </c>
      <c r="AB249" s="16">
        <f t="shared" ref="AB249:AE249" si="1239">IFERROR(AB185/W185*100-100,"")</f>
        <v>-52.73749781982319</v>
      </c>
      <c r="AC249" s="16">
        <f t="shared" si="1239"/>
        <v>41.02246644621485</v>
      </c>
      <c r="AD249" s="16">
        <f t="shared" si="1239"/>
        <v>24.066698711847948</v>
      </c>
      <c r="AE249" s="16">
        <f t="shared" si="1239"/>
        <v>-0.25525628229405584</v>
      </c>
      <c r="AF249" s="16">
        <f>IFERROR(AF185/AA185*100-100,"")</f>
        <v>-84.274705572551582</v>
      </c>
      <c r="AG249" s="16">
        <f t="shared" ref="AG249:AJ249" si="1240">IFERROR(AG185/AB185*100-100,"")</f>
        <v>112.42095820758556</v>
      </c>
      <c r="AH249" s="16">
        <f t="shared" si="1240"/>
        <v>-15.093407081731542</v>
      </c>
      <c r="AI249" s="16">
        <f t="shared" si="1240"/>
        <v>17.367054458327019</v>
      </c>
      <c r="AJ249" s="16">
        <f t="shared" si="1240"/>
        <v>7.1451288971023246</v>
      </c>
      <c r="AK249" s="16">
        <f>IFERROR(AK185/AF185*100-100,"")</f>
        <v>492.60052752191405</v>
      </c>
      <c r="AL249" s="16">
        <f t="shared" ref="AL249:AO249" si="1241">IFERROR(AL185/AG185*100-100,"")</f>
        <v>0.53499970558125653</v>
      </c>
      <c r="AM249" s="16">
        <f t="shared" si="1241"/>
        <v>-7.5245954379599027</v>
      </c>
      <c r="AN249" s="16">
        <f t="shared" si="1241"/>
        <v>-15.046458165915709</v>
      </c>
      <c r="AO249" s="16">
        <f t="shared" si="1241"/>
        <v>5.43657657238019</v>
      </c>
      <c r="AP249" s="16">
        <f>IFERROR(AP185/AK185*100-100,"")</f>
        <v>7.8717966569113571</v>
      </c>
      <c r="AQ249" s="16">
        <f t="shared" ref="AQ249:AT249" si="1242">IFERROR(AQ185/AL185*100-100,"")</f>
        <v>4.7657437358955406</v>
      </c>
      <c r="AR249" s="16">
        <f t="shared" si="1242"/>
        <v>4.8406452288565731</v>
      </c>
      <c r="AS249" s="16">
        <f t="shared" si="1242"/>
        <v>5.6254743002314598</v>
      </c>
      <c r="AT249" s="16">
        <f t="shared" si="1242"/>
        <v>5.759239304722513</v>
      </c>
      <c r="AU249" s="16">
        <f>IFERROR(AU185/AP185*100-100,"")</f>
        <v>-16.415881991950982</v>
      </c>
      <c r="AV249" s="16">
        <f t="shared" ref="AV249:AY249" si="1243">IFERROR(AV185/AQ185*100-100,"")</f>
        <v>61.313656587674558</v>
      </c>
      <c r="AW249" s="16">
        <f t="shared" si="1243"/>
        <v>-45.000962650433962</v>
      </c>
      <c r="AX249" s="16">
        <f t="shared" si="1243"/>
        <v>24.816088829864682</v>
      </c>
      <c r="AY249" s="16">
        <f t="shared" si="1243"/>
        <v>4.6044754678072053</v>
      </c>
      <c r="AZ249" s="16">
        <f>IFERROR(AZ185/AU185*100-100,"")</f>
        <v>-16.909424364331016</v>
      </c>
      <c r="BA249" s="16">
        <f t="shared" ref="BA249:BD249" si="1244">IFERROR(BA185/AV185*100-100,"")</f>
        <v>-32.708326669717039</v>
      </c>
      <c r="BB249" s="16">
        <f t="shared" si="1244"/>
        <v>135.07780873572196</v>
      </c>
      <c r="BC249" s="16">
        <f t="shared" si="1244"/>
        <v>-10.78571724202277</v>
      </c>
      <c r="BD249" s="16">
        <f t="shared" si="1244"/>
        <v>1.9128691190661868</v>
      </c>
      <c r="BE249" s="16">
        <f>IFERROR(BE185/AZ185*100-100,"")</f>
        <v>-48.693243853426125</v>
      </c>
      <c r="BF249" s="16">
        <f t="shared" ref="BF249:BI249" si="1245">IFERROR(BF185/BA185*100-100,"")</f>
        <v>-24.20917826548947</v>
      </c>
      <c r="BG249" s="16">
        <f t="shared" si="1245"/>
        <v>-39.13492651180124</v>
      </c>
      <c r="BH249" s="16">
        <f t="shared" si="1245"/>
        <v>-24.720609629167242</v>
      </c>
      <c r="BI249" s="16">
        <f t="shared" si="1245"/>
        <v>-27.249949202024496</v>
      </c>
      <c r="BJ249" s="16">
        <f>IFERROR(BJ185/BE185*100-100,"")</f>
        <v>118.59897782212136</v>
      </c>
      <c r="BK249" s="16">
        <f t="shared" ref="BK249:BN249" si="1246">IFERROR(BK185/BF185*100-100,"")</f>
        <v>198.23416649860138</v>
      </c>
      <c r="BL249" s="16">
        <f t="shared" si="1246"/>
        <v>-40.732337363842419</v>
      </c>
      <c r="BM249" s="16">
        <f t="shared" si="1246"/>
        <v>26.893747310962993</v>
      </c>
      <c r="BN249" s="16">
        <f t="shared" si="1246"/>
        <v>4.9190007720942219</v>
      </c>
      <c r="BO249" s="16">
        <f>IFERROR(BO185/BJ185*100-100,"")</f>
        <v>1.1560726252493083</v>
      </c>
      <c r="BP249" s="16">
        <f t="shared" ref="BP249:BS249" si="1247">IFERROR(BP185/BK185*100-100,"")</f>
        <v>-59.925599628679969</v>
      </c>
      <c r="BQ249" s="16">
        <f t="shared" si="1247"/>
        <v>113.72266906032598</v>
      </c>
      <c r="BR249" s="16">
        <f t="shared" si="1247"/>
        <v>-4.2315541279431699</v>
      </c>
      <c r="BS249" s="16">
        <f t="shared" si="1247"/>
        <v>17.050208135588846</v>
      </c>
      <c r="BT249" s="16">
        <f>IFERROR(BT185/BO185*100-100,"")</f>
        <v>5.6432194496911023</v>
      </c>
      <c r="BU249" s="16">
        <f t="shared" ref="BU249:BX249" si="1248">IFERROR(BU185/BP185*100-100,"")</f>
        <v>12.596099694140747</v>
      </c>
      <c r="BV249" s="16">
        <f t="shared" si="1248"/>
        <v>15.773956700689567</v>
      </c>
      <c r="BW249" s="16">
        <f t="shared" si="1248"/>
        <v>15.151297482330023</v>
      </c>
      <c r="BX249" s="16">
        <f t="shared" si="1248"/>
        <v>12.123113344025157</v>
      </c>
      <c r="BY249" s="16">
        <f>IFERROR(BY185/BT185*100-100,"")</f>
        <v>21.918255148365674</v>
      </c>
      <c r="BZ249" s="16">
        <f t="shared" ref="BZ249:CC249" si="1249">IFERROR(BZ185/BU185*100-100,"")</f>
        <v>13.43193573642975</v>
      </c>
      <c r="CA249" s="16">
        <f t="shared" si="1249"/>
        <v>11.449905175935157</v>
      </c>
      <c r="CB249" s="16">
        <f t="shared" si="1249"/>
        <v>23.230338456278716</v>
      </c>
      <c r="CC249" s="16">
        <f t="shared" si="1249"/>
        <v>16.72803594982939</v>
      </c>
      <c r="CD249" s="16">
        <f>IFERROR(CD185/BY185*100-100,"")</f>
        <v>1.7379349082257392</v>
      </c>
      <c r="CE249" s="16">
        <f t="shared" ref="CE249:CH249" si="1250">IFERROR(CE185/BZ185*100-100,"")</f>
        <v>18.362854302420999</v>
      </c>
      <c r="CF249" s="16">
        <f t="shared" si="1250"/>
        <v>9.0544055377751675</v>
      </c>
      <c r="CG249" s="16">
        <f t="shared" si="1250"/>
        <v>-2.660777999368733</v>
      </c>
      <c r="CH249" s="16">
        <f t="shared" si="1250"/>
        <v>6.3270394881788832</v>
      </c>
      <c r="CI249" s="16">
        <f>IFERROR(CI185/CD185*100-100,"")</f>
        <v>31.286927703513129</v>
      </c>
      <c r="CJ249" s="16">
        <f t="shared" ref="CJ249:CM249" si="1251">IFERROR(CJ185/CE185*100-100,"")</f>
        <v>22.493021744347573</v>
      </c>
      <c r="CK249" s="16">
        <f t="shared" si="1251"/>
        <v>24.560015281792076</v>
      </c>
      <c r="CL249" s="16">
        <f t="shared" si="1251"/>
        <v>22.83144105718236</v>
      </c>
      <c r="CM249" s="16">
        <f t="shared" si="1251"/>
        <v>25.486995615965014</v>
      </c>
      <c r="CN249" s="16" t="str">
        <f>IFERROR(CN185/CI185*100-100,"")</f>
        <v/>
      </c>
      <c r="CO249" s="16" t="str">
        <f t="shared" ref="CO249:CR249" si="1252">IFERROR(CO185/CJ185*100-100,"")</f>
        <v/>
      </c>
      <c r="CP249" s="16" t="str">
        <f t="shared" si="1252"/>
        <v/>
      </c>
      <c r="CQ249" s="16" t="str">
        <f t="shared" si="1252"/>
        <v/>
      </c>
      <c r="CR249" s="16" t="str">
        <f t="shared" si="1252"/>
        <v/>
      </c>
    </row>
    <row r="250" spans="1:96" s="9" customFormat="1" ht="15" x14ac:dyDescent="0.4">
      <c r="A250" s="25"/>
      <c r="B250" s="42"/>
      <c r="C250" s="42"/>
      <c r="D250" s="42"/>
      <c r="E250" s="42"/>
      <c r="F250" s="42"/>
      <c r="G250" s="22"/>
      <c r="H250" s="22"/>
      <c r="I250" s="22"/>
      <c r="J250" s="22"/>
      <c r="K250" s="24"/>
      <c r="L250" s="22"/>
      <c r="M250" s="22"/>
      <c r="N250" s="22"/>
      <c r="O250" s="22"/>
      <c r="P250" s="24"/>
      <c r="Q250" s="22"/>
      <c r="R250" s="22"/>
      <c r="S250" s="22"/>
      <c r="T250" s="22"/>
      <c r="U250" s="24"/>
      <c r="V250" s="22"/>
      <c r="W250" s="22"/>
      <c r="X250" s="22"/>
      <c r="Y250" s="22"/>
      <c r="Z250" s="24"/>
      <c r="AA250" s="22"/>
      <c r="AB250" s="22"/>
      <c r="AC250" s="22"/>
      <c r="AD250" s="22"/>
      <c r="AE250" s="24"/>
      <c r="AF250" s="22"/>
      <c r="AG250" s="22"/>
      <c r="AH250" s="22"/>
      <c r="AI250" s="22"/>
      <c r="AJ250" s="24"/>
      <c r="AK250" s="22"/>
      <c r="AL250" s="22"/>
      <c r="AM250" s="22"/>
      <c r="AN250" s="22"/>
      <c r="AO250" s="24"/>
      <c r="AP250" s="22"/>
      <c r="AQ250" s="22"/>
      <c r="AR250" s="22"/>
      <c r="AS250" s="22"/>
      <c r="AT250" s="24"/>
      <c r="AU250" s="22"/>
      <c r="AV250" s="22"/>
      <c r="AW250" s="22"/>
      <c r="AX250" s="22"/>
      <c r="AY250" s="24"/>
      <c r="AZ250" s="22"/>
      <c r="BA250" s="22"/>
      <c r="BB250" s="22"/>
      <c r="BC250" s="22"/>
      <c r="BD250" s="24"/>
      <c r="BE250" s="22"/>
      <c r="BF250" s="22"/>
      <c r="BG250" s="22"/>
      <c r="BH250" s="22"/>
      <c r="BI250" s="24"/>
      <c r="BJ250" s="22"/>
      <c r="BK250" s="22"/>
      <c r="BL250" s="22"/>
      <c r="BM250" s="22"/>
      <c r="BN250" s="24"/>
      <c r="BO250" s="22"/>
      <c r="BP250" s="22"/>
      <c r="BQ250" s="22"/>
      <c r="BR250" s="22"/>
      <c r="BS250" s="24"/>
      <c r="BT250" s="22"/>
      <c r="BU250" s="22"/>
      <c r="BV250" s="22"/>
      <c r="BW250" s="22"/>
      <c r="BX250" s="24"/>
      <c r="BY250" s="22"/>
      <c r="BZ250" s="22"/>
      <c r="CA250" s="22"/>
      <c r="CB250" s="22"/>
      <c r="CC250" s="24"/>
      <c r="CD250" s="22"/>
      <c r="CE250" s="22"/>
      <c r="CF250" s="22"/>
      <c r="CG250" s="22"/>
      <c r="CH250" s="24"/>
      <c r="CI250" s="22"/>
      <c r="CJ250" s="22"/>
      <c r="CK250" s="22"/>
      <c r="CL250" s="22"/>
      <c r="CM250" s="24"/>
      <c r="CN250" s="22"/>
      <c r="CO250" s="22"/>
      <c r="CP250" s="22"/>
      <c r="CQ250" s="22"/>
      <c r="CR250" s="24"/>
    </row>
    <row r="251" spans="1:96" s="17" customFormat="1" ht="15" x14ac:dyDescent="0.4">
      <c r="A251" s="15" t="s">
        <v>94</v>
      </c>
      <c r="B251" s="37"/>
      <c r="C251" s="37"/>
      <c r="D251" s="37"/>
      <c r="E251" s="37"/>
      <c r="F251" s="37"/>
      <c r="G251" s="16">
        <f>IFERROR(G187/B187*100-100,"")</f>
        <v>-4.4708098100142735</v>
      </c>
      <c r="H251" s="16">
        <f>IFERROR(H187/C187*100-100,"")</f>
        <v>0.72990037449913814</v>
      </c>
      <c r="I251" s="16">
        <f>IFERROR(I187/D187*100-100,"")</f>
        <v>19.467326280570646</v>
      </c>
      <c r="J251" s="16">
        <f>IFERROR(J187/E187*100-100,"")</f>
        <v>7.4256908061420432</v>
      </c>
      <c r="K251" s="16">
        <f t="shared" ref="K251" si="1253">IFERROR(K187/F187*100-100,"")</f>
        <v>6.0881624714068607</v>
      </c>
      <c r="L251" s="16">
        <f>IFERROR(L187/G187*100-100,"")</f>
        <v>18.408716845596018</v>
      </c>
      <c r="M251" s="16">
        <f>IFERROR(M187/H187*100-100,"")</f>
        <v>13.080696698798661</v>
      </c>
      <c r="N251" s="16">
        <f>IFERROR(N187/I187*100-100,"")</f>
        <v>4.5367856976167502</v>
      </c>
      <c r="O251" s="16">
        <f>IFERROR(O187/J187*100-100,"")</f>
        <v>4.6985235588858956</v>
      </c>
      <c r="P251" s="16">
        <f t="shared" ref="P251" si="1254">IFERROR(P187/K187*100-100,"")</f>
        <v>9.0617963081420498</v>
      </c>
      <c r="Q251" s="16">
        <f>IFERROR(Q187/L187*100-100,"")</f>
        <v>5.9479457734524601</v>
      </c>
      <c r="R251" s="16" t="str">
        <f>IFERROR(R187/M187*100-100,"")</f>
        <v/>
      </c>
      <c r="S251" s="16">
        <f>IFERROR(S187/N187*100-100,"")</f>
        <v>12.384801581053594</v>
      </c>
      <c r="T251" s="16">
        <f>IFERROR(T187/O187*100-100,"")</f>
        <v>-1.9411713111931022</v>
      </c>
      <c r="U251" s="16" t="str">
        <f t="shared" ref="U251" si="1255">IFERROR(U187/P187*100-100,"")</f>
        <v/>
      </c>
      <c r="V251" s="16">
        <f>IFERROR(V187/Q187*100-100,"")</f>
        <v>5.372375025526992</v>
      </c>
      <c r="W251" s="16" t="str">
        <f>IFERROR(W187/R187*100-100,"")</f>
        <v/>
      </c>
      <c r="X251" s="16">
        <f>IFERROR(X187/S187*100-100,"")</f>
        <v>-5.2638728884897006</v>
      </c>
      <c r="Y251" s="16">
        <f>IFERROR(Y187/T187*100-100,"")</f>
        <v>16.753083659983176</v>
      </c>
      <c r="Z251" s="16" t="str">
        <f t="shared" ref="Z251" si="1256">IFERROR(Z187/U187*100-100,"")</f>
        <v/>
      </c>
      <c r="AA251" s="16">
        <f>IFERROR(AA187/V187*100-100,"")</f>
        <v>3.1810725694028577</v>
      </c>
      <c r="AB251" s="16">
        <f>IFERROR(AB187/W187*100-100,"")</f>
        <v>-8.8888035965703835</v>
      </c>
      <c r="AC251" s="16">
        <f>IFERROR(AC187/X187*100-100,"")</f>
        <v>11.562663972086028</v>
      </c>
      <c r="AD251" s="16">
        <f>IFERROR(AD187/Y187*100-100,"")</f>
        <v>4.9369640229824938</v>
      </c>
      <c r="AE251" s="16">
        <f t="shared" ref="AE251" si="1257">IFERROR(AE187/Z187*100-100,"")</f>
        <v>2.6488141498988114</v>
      </c>
      <c r="AF251" s="16">
        <f>IFERROR(AF187/AA187*100-100,"")</f>
        <v>-7.2417650629944319E-2</v>
      </c>
      <c r="AG251" s="16">
        <f>IFERROR(AG187/AB187*100-100,"")</f>
        <v>16.308299325158544</v>
      </c>
      <c r="AH251" s="16">
        <f>IFERROR(AH187/AC187*100-100,"")</f>
        <v>-1.1741247843218616</v>
      </c>
      <c r="AI251" s="16">
        <f>IFERROR(AI187/AD187*100-100,"")</f>
        <v>3.8228189671174277</v>
      </c>
      <c r="AJ251" s="16">
        <f t="shared" ref="AJ251" si="1258">IFERROR(AJ187/AE187*100-100,"")</f>
        <v>4.5387030398420478</v>
      </c>
      <c r="AK251" s="16">
        <f>IFERROR(AK187/AF187*100-100,"")</f>
        <v>10.475719963064762</v>
      </c>
      <c r="AL251" s="16">
        <f>IFERROR(AL187/AG187*100-100,"")</f>
        <v>3.8553280652065212</v>
      </c>
      <c r="AM251" s="16">
        <f>IFERROR(AM187/AH187*100-100,"")</f>
        <v>3.3996731164279055</v>
      </c>
      <c r="AN251" s="16">
        <f>IFERROR(AN187/AI187*100-100,"")</f>
        <v>3.6700471238102068</v>
      </c>
      <c r="AO251" s="16">
        <f t="shared" ref="AO251" si="1259">IFERROR(AO187/AJ187*100-100,"")</f>
        <v>5.0145209346257928</v>
      </c>
      <c r="AP251" s="16">
        <f>IFERROR(AP187/AK187*100-100,"")</f>
        <v>6.3723906887155408</v>
      </c>
      <c r="AQ251" s="16">
        <f>IFERROR(AQ187/AL187*100-100,"")</f>
        <v>5.7835230544095708</v>
      </c>
      <c r="AR251" s="16">
        <f>IFERROR(AR187/AM187*100-100,"")</f>
        <v>7.1321688799467182</v>
      </c>
      <c r="AS251" s="16">
        <f>IFERROR(AS187/AN187*100-100,"")</f>
        <v>6.2956551544499604</v>
      </c>
      <c r="AT251" s="16">
        <f t="shared" ref="AT251" si="1260">IFERROR(AT187/AO187*100-100,"")</f>
        <v>6.3817160577211069</v>
      </c>
      <c r="AU251" s="16">
        <f>IFERROR(AU187/AP187*100-100,"")</f>
        <v>3.2125841788835885</v>
      </c>
      <c r="AV251" s="16">
        <f>IFERROR(AV187/AQ187*100-100,"")</f>
        <v>11.054684613653819</v>
      </c>
      <c r="AW251" s="16">
        <f>IFERROR(AW187/AR187*100-100,"")</f>
        <v>-0.74915073268223864</v>
      </c>
      <c r="AX251" s="16">
        <f>IFERROR(AX187/AS187*100-100,"")</f>
        <v>6.200087714939869</v>
      </c>
      <c r="AY251" s="16">
        <f t="shared" ref="AY251" si="1261">IFERROR(AY187/AT187*100-100,"")</f>
        <v>4.8715884329068331</v>
      </c>
      <c r="AZ251" s="16">
        <f>IFERROR(AZ187/AU187*100-100,"")</f>
        <v>1.4689547099157068</v>
      </c>
      <c r="BA251" s="16">
        <f>IFERROR(BA187/AV187*100-100,"")</f>
        <v>-2.386706071273224</v>
      </c>
      <c r="BB251" s="16">
        <f>IFERROR(BB187/AW187*100-100,"")</f>
        <v>9.7509968235994791</v>
      </c>
      <c r="BC251" s="16">
        <f>IFERROR(BC187/AX187*100-100,"")</f>
        <v>4.1567563813700303E-2</v>
      </c>
      <c r="BD251" s="16">
        <f t="shared" ref="BD251" si="1262">IFERROR(BD187/AY187*100-100,"")</f>
        <v>2.1358688972661071</v>
      </c>
      <c r="BE251" s="16">
        <f>IFERROR(BE187/AZ187*100-100,"")</f>
        <v>6.7907620606618906</v>
      </c>
      <c r="BF251" s="16">
        <f>IFERROR(BF187/BA187*100-100,"")</f>
        <v>6.9377047208378571</v>
      </c>
      <c r="BG251" s="16">
        <f>IFERROR(BG187/BB187*100-100,"")</f>
        <v>7.8104371426753545</v>
      </c>
      <c r="BH251" s="16">
        <f>IFERROR(BH187/BC187*100-100,"")</f>
        <v>6.8926416892179532</v>
      </c>
      <c r="BI251" s="16">
        <f t="shared" ref="BI251" si="1263">IFERROR(BI187/BD187*100-100,"")</f>
        <v>7.1975004345108147</v>
      </c>
      <c r="BJ251" s="16">
        <f>IFERROR(BJ187/BE187*100-100,"")</f>
        <v>4.3443886325628966</v>
      </c>
      <c r="BK251" s="16">
        <f>IFERROR(BK187/BF187*100-100,"")</f>
        <v>9.8808722361488037</v>
      </c>
      <c r="BL251" s="16">
        <f>IFERROR(BL187/BG187*100-100,"")</f>
        <v>-1.7978197002208276</v>
      </c>
      <c r="BM251" s="16">
        <f>IFERROR(BM187/BH187*100-100,"")</f>
        <v>7.2237689483147136</v>
      </c>
      <c r="BN251" s="16">
        <f t="shared" ref="BN251" si="1264">IFERROR(BN187/BI187*100-100,"")</f>
        <v>4.6680329314498437</v>
      </c>
      <c r="BO251" s="16">
        <f>IFERROR(BO187/BJ187*100-100,"")</f>
        <v>7.0496669582111622</v>
      </c>
      <c r="BP251" s="16">
        <f>IFERROR(BP187/BK187*100-100,"")</f>
        <v>2.4818243539784106</v>
      </c>
      <c r="BQ251" s="16">
        <f>IFERROR(BQ187/BL187*100-100,"")</f>
        <v>5.785618699688527</v>
      </c>
      <c r="BR251" s="16">
        <f>IFERROR(BR187/BM187*100-100,"")</f>
        <v>4.0740214540874433</v>
      </c>
      <c r="BS251" s="16">
        <f t="shared" ref="BS251" si="1265">IFERROR(BS187/BN187*100-100,"")</f>
        <v>5.0154181456955911</v>
      </c>
      <c r="BT251" s="16">
        <f>IFERROR(BT187/BO187*100-100,"")</f>
        <v>5.3022952449676097</v>
      </c>
      <c r="BU251" s="16">
        <f>IFERROR(BU187/BP187*100-100,"")</f>
        <v>1.4666214245499134</v>
      </c>
      <c r="BV251" s="16">
        <f>IFERROR(BV187/BQ187*100-100,"")</f>
        <v>6.6611163649601792</v>
      </c>
      <c r="BW251" s="16">
        <f>IFERROR(BW187/BR187*100-100,"")</f>
        <v>4.1936141904301394E-2</v>
      </c>
      <c r="BX251" s="16">
        <f t="shared" ref="BX251" si="1266">IFERROR(BX187/BS187*100-100,"")</f>
        <v>2.9739192143999986</v>
      </c>
      <c r="BY251" s="16">
        <f>IFERROR(BY187/BT187*100-100,"")</f>
        <v>1.7188753082493236E-2</v>
      </c>
      <c r="BZ251" s="16">
        <f>IFERROR(BZ187/BU187*100-100,"")</f>
        <v>0.96496567105917563</v>
      </c>
      <c r="CA251" s="16">
        <f>IFERROR(CA187/BV187*100-100,"")</f>
        <v>2.1069315059989719</v>
      </c>
      <c r="CB251" s="16">
        <f>IFERROR(CB187/BW187*100-100,"")</f>
        <v>4.3762268406396458</v>
      </c>
      <c r="CC251" s="16">
        <f t="shared" ref="CC251" si="1267">IFERROR(CC187/BX187*100-100,"")</f>
        <v>2.0856278748614159</v>
      </c>
      <c r="CD251" s="16">
        <f>IFERROR(CD187/BY187*100-100,"")</f>
        <v>2.6900137667534381</v>
      </c>
      <c r="CE251" s="16">
        <f>IFERROR(CE187/BZ187*100-100,"")</f>
        <v>4.2091931919639336</v>
      </c>
      <c r="CF251" s="16">
        <f>IFERROR(CF187/CA187*100-100,"")</f>
        <v>2.9371734499513025</v>
      </c>
      <c r="CG251" s="16">
        <f>IFERROR(CG187/CB187*100-100,"")</f>
        <v>0.69156574553943528</v>
      </c>
      <c r="CH251" s="16">
        <f t="shared" ref="CH251" si="1268">IFERROR(CH187/CC187*100-100,"")</f>
        <v>2.5013469110242852</v>
      </c>
      <c r="CI251" s="16">
        <f>IFERROR(CI187/CD187*100-100,"")</f>
        <v>4.1121503858734911</v>
      </c>
      <c r="CJ251" s="16">
        <f>IFERROR(CJ187/CE187*100-100,"")</f>
        <v>6.6918911679227051</v>
      </c>
      <c r="CK251" s="16">
        <f>IFERROR(CK187/CF187*100-100,"")</f>
        <v>9.6376229154917468</v>
      </c>
      <c r="CL251" s="16">
        <f>IFERROR(CL187/CG187*100-100,"")</f>
        <v>9.7316954654146741</v>
      </c>
      <c r="CM251" s="16">
        <f t="shared" ref="CM251" si="1269">IFERROR(CM187/CH187*100-100,"")</f>
        <v>7.6862879500306747</v>
      </c>
      <c r="CN251" s="16" t="str">
        <f>IFERROR(CN187/CI187*100-100,"")</f>
        <v/>
      </c>
      <c r="CO251" s="16" t="str">
        <f>IFERROR(CO187/CJ187*100-100,"")</f>
        <v/>
      </c>
      <c r="CP251" s="16" t="str">
        <f>IFERROR(CP187/CK187*100-100,"")</f>
        <v/>
      </c>
      <c r="CQ251" s="16" t="str">
        <f>IFERROR(CQ187/CL187*100-100,"")</f>
        <v/>
      </c>
      <c r="CR251" s="16" t="str">
        <f t="shared" ref="CR251" si="1270">IFERROR(CR187/CM187*100-100,"")</f>
        <v/>
      </c>
    </row>
    <row r="252" spans="1:96" s="9" customFormat="1" ht="15" x14ac:dyDescent="0.4">
      <c r="A252" s="43"/>
      <c r="B252" s="44"/>
      <c r="C252" s="44"/>
      <c r="D252" s="44"/>
      <c r="E252" s="44"/>
      <c r="F252" s="44"/>
      <c r="G252" s="45"/>
      <c r="H252" s="45"/>
      <c r="I252" s="45"/>
      <c r="J252" s="45"/>
      <c r="K252" s="46"/>
      <c r="L252" s="45"/>
      <c r="M252" s="45"/>
      <c r="N252" s="45"/>
      <c r="O252" s="45"/>
      <c r="P252" s="46"/>
      <c r="Q252" s="45"/>
      <c r="R252" s="45"/>
      <c r="S252" s="45"/>
      <c r="T252" s="45"/>
      <c r="U252" s="46"/>
      <c r="V252" s="45"/>
      <c r="W252" s="45"/>
      <c r="X252" s="45"/>
      <c r="Y252" s="45"/>
      <c r="Z252" s="46"/>
      <c r="AA252" s="45"/>
      <c r="AB252" s="45"/>
      <c r="AC252" s="45"/>
      <c r="AD252" s="45"/>
      <c r="AE252" s="46"/>
      <c r="AF252" s="45"/>
      <c r="AG252" s="45"/>
      <c r="AH252" s="45"/>
      <c r="AI252" s="45"/>
      <c r="AJ252" s="46"/>
      <c r="AK252" s="45"/>
      <c r="AL252" s="45"/>
      <c r="AM252" s="45"/>
      <c r="AN252" s="45"/>
      <c r="AO252" s="46"/>
      <c r="AP252" s="45"/>
      <c r="AQ252" s="45"/>
      <c r="AR252" s="45"/>
      <c r="AS252" s="45"/>
      <c r="AT252" s="46"/>
      <c r="AU252" s="45"/>
      <c r="AV252" s="45"/>
      <c r="AW252" s="45"/>
      <c r="AX252" s="45"/>
      <c r="AY252" s="46"/>
      <c r="AZ252" s="45"/>
      <c r="BA252" s="45"/>
      <c r="BB252" s="45"/>
      <c r="BC252" s="45"/>
      <c r="BD252" s="46"/>
      <c r="BE252" s="45"/>
      <c r="BF252" s="45"/>
      <c r="BG252" s="45"/>
      <c r="BH252" s="45"/>
      <c r="BI252" s="46"/>
      <c r="BJ252" s="45"/>
      <c r="BK252" s="45"/>
      <c r="BL252" s="45"/>
      <c r="BM252" s="45"/>
      <c r="BN252" s="46"/>
      <c r="BO252" s="45"/>
      <c r="BP252" s="45"/>
      <c r="BQ252" s="45"/>
      <c r="BR252" s="45"/>
      <c r="BS252" s="46"/>
      <c r="BT252" s="45"/>
      <c r="BU252" s="45"/>
      <c r="BV252" s="45"/>
      <c r="BW252" s="45"/>
      <c r="BX252" s="46"/>
      <c r="BY252" s="45"/>
      <c r="BZ252" s="45"/>
      <c r="CA252" s="45"/>
      <c r="CB252" s="45"/>
      <c r="CC252" s="46"/>
      <c r="CD252" s="45"/>
      <c r="CE252" s="45"/>
      <c r="CF252" s="45"/>
      <c r="CG252" s="45"/>
      <c r="CH252" s="46"/>
      <c r="CI252" s="45"/>
      <c r="CJ252" s="45"/>
      <c r="CK252" s="45"/>
      <c r="CL252" s="45"/>
      <c r="CM252" s="46"/>
      <c r="CN252" s="45"/>
      <c r="CO252" s="45"/>
      <c r="CP252" s="45"/>
      <c r="CQ252" s="45"/>
      <c r="CR252" s="46"/>
    </row>
    <row r="253" spans="1:96" s="9" customFormat="1" ht="23.25" customHeight="1" x14ac:dyDescent="0.3">
      <c r="A253" s="47" t="s">
        <v>95</v>
      </c>
      <c r="B253" s="48"/>
      <c r="C253" s="48"/>
      <c r="D253" s="48"/>
      <c r="E253" s="48"/>
      <c r="F253" s="48"/>
      <c r="G253" s="49">
        <f>IFERROR(G189/B189*100-100,"")</f>
        <v>10.083955227803614</v>
      </c>
      <c r="H253" s="49">
        <f t="shared" ref="H253:K253" si="1271">IFERROR(H189/C189*100-100,"")</f>
        <v>8.6798013594935099</v>
      </c>
      <c r="I253" s="49">
        <f t="shared" si="1271"/>
        <v>8.0665870305472822</v>
      </c>
      <c r="J253" s="49">
        <f t="shared" si="1271"/>
        <v>9.3794119211132028</v>
      </c>
      <c r="K253" s="49">
        <f t="shared" si="1271"/>
        <v>9.0439922030152644</v>
      </c>
      <c r="L253" s="49">
        <f>IFERROR(L189/G189*100-100,"")</f>
        <v>5.8819679669585412</v>
      </c>
      <c r="M253" s="49">
        <f t="shared" ref="M253:P253" si="1272">IFERROR(M189/H189*100-100,"")</f>
        <v>7.1455858107849224</v>
      </c>
      <c r="N253" s="49">
        <f t="shared" si="1272"/>
        <v>7.2228735233235426</v>
      </c>
      <c r="O253" s="49">
        <f t="shared" si="1272"/>
        <v>5.3756669450631449</v>
      </c>
      <c r="P253" s="49">
        <f t="shared" si="1272"/>
        <v>6.3889186915079961</v>
      </c>
      <c r="Q253" s="49">
        <f>IFERROR(Q189/L189*100-100,"")</f>
        <v>6.874765538098913</v>
      </c>
      <c r="R253" s="49" t="str">
        <f t="shared" ref="R253:U253" si="1273">IFERROR(R189/M189*100-100,"")</f>
        <v/>
      </c>
      <c r="S253" s="49">
        <f t="shared" si="1273"/>
        <v>10.060719540493281</v>
      </c>
      <c r="T253" s="49">
        <f t="shared" si="1273"/>
        <v>11.027870802722404</v>
      </c>
      <c r="U253" s="49" t="str">
        <f t="shared" si="1273"/>
        <v/>
      </c>
      <c r="V253" s="49">
        <f>IFERROR(V189/Q189*100-100,"")</f>
        <v>10.559004819108424</v>
      </c>
      <c r="W253" s="49" t="str">
        <f t="shared" ref="W253:Z253" si="1274">IFERROR(W189/R189*100-100,"")</f>
        <v/>
      </c>
      <c r="X253" s="49">
        <f t="shared" si="1274"/>
        <v>8.1505566410218933</v>
      </c>
      <c r="Y253" s="49">
        <f t="shared" si="1274"/>
        <v>7.4197332575242996</v>
      </c>
      <c r="Z253" s="49" t="str">
        <f t="shared" si="1274"/>
        <v/>
      </c>
      <c r="AA253" s="49">
        <f>IFERROR(AA189/V189*100-100,"")</f>
        <v>5.1627124396896704</v>
      </c>
      <c r="AB253" s="49">
        <f t="shared" ref="AB253:AE253" si="1275">IFERROR(AB189/W189*100-100,"")</f>
        <v>6.7660080026121818</v>
      </c>
      <c r="AC253" s="49">
        <f t="shared" si="1275"/>
        <v>6.8859701697381155</v>
      </c>
      <c r="AD253" s="49">
        <f t="shared" si="1275"/>
        <v>8.0357767837965639</v>
      </c>
      <c r="AE253" s="49">
        <f t="shared" si="1275"/>
        <v>6.8229111083491603</v>
      </c>
      <c r="AF253" s="49">
        <f>IFERROR(AF189/AA189*100-100,"")</f>
        <v>9.2318467493291507</v>
      </c>
      <c r="AG253" s="49">
        <f t="shared" ref="AG253:AJ253" si="1276">IFERROR(AG189/AB189*100-100,"")</f>
        <v>7.3160099704678885</v>
      </c>
      <c r="AH253" s="49">
        <f t="shared" si="1276"/>
        <v>6.9948992874955991</v>
      </c>
      <c r="AI253" s="49">
        <f t="shared" si="1276"/>
        <v>5.6604187637223191</v>
      </c>
      <c r="AJ253" s="49">
        <f t="shared" si="1276"/>
        <v>7.1807769293638586</v>
      </c>
      <c r="AK253" s="49">
        <f>IFERROR(AK189/AF189*100-100,"")</f>
        <v>5.0760183486841015</v>
      </c>
      <c r="AL253" s="49">
        <f t="shared" ref="AL253:AO253" si="1277">IFERROR(AL189/AG189*100-100,"")</f>
        <v>4.5730242533651051</v>
      </c>
      <c r="AM253" s="49">
        <f t="shared" si="1277"/>
        <v>3.9201058415222008</v>
      </c>
      <c r="AN253" s="49">
        <f t="shared" si="1277"/>
        <v>4.3858583125347934</v>
      </c>
      <c r="AO253" s="49">
        <f t="shared" si="1277"/>
        <v>4.4923978883913094</v>
      </c>
      <c r="AP253" s="49">
        <f>IFERROR(AP189/AK189*100-100,"")</f>
        <v>5.1892332465311739</v>
      </c>
      <c r="AQ253" s="49">
        <f t="shared" ref="AQ253:AT253" si="1278">IFERROR(AQ189/AL189*100-100,"")</f>
        <v>5.3580874854120282</v>
      </c>
      <c r="AR253" s="49">
        <f t="shared" si="1278"/>
        <v>4.921478822698532</v>
      </c>
      <c r="AS253" s="49">
        <f t="shared" si="1278"/>
        <v>4.0218100276383097</v>
      </c>
      <c r="AT253" s="49">
        <f t="shared" si="1278"/>
        <v>4.8466177026018187</v>
      </c>
      <c r="AU253" s="49">
        <f>IFERROR(AU189/AP189*100-100,"")</f>
        <v>2.9691855189244478</v>
      </c>
      <c r="AV253" s="49">
        <f t="shared" ref="AV253:AY253" si="1279">IFERROR(AV189/AQ189*100-100,"")</f>
        <v>2.5719694113830087</v>
      </c>
      <c r="AW253" s="49">
        <f t="shared" si="1279"/>
        <v>2.3977028951266419</v>
      </c>
      <c r="AX253" s="49">
        <f t="shared" si="1279"/>
        <v>2.5213051004211167</v>
      </c>
      <c r="AY253" s="49">
        <f t="shared" si="1279"/>
        <v>2.6059864690876111</v>
      </c>
      <c r="AZ253" s="49">
        <f>IFERROR(AZ189/AU189*100-100,"")</f>
        <v>2.581305433331778</v>
      </c>
      <c r="BA253" s="49">
        <f t="shared" ref="BA253:BD253" si="1280">IFERROR(BA189/AV189*100-100,"")</f>
        <v>2.4376091833805162</v>
      </c>
      <c r="BB253" s="49">
        <f t="shared" si="1280"/>
        <v>2.1917622838628432</v>
      </c>
      <c r="BC253" s="49">
        <f t="shared" si="1280"/>
        <v>2.0248034477061481</v>
      </c>
      <c r="BD253" s="49">
        <f t="shared" si="1280"/>
        <v>2.3029312718690704</v>
      </c>
      <c r="BE253" s="49">
        <f>IFERROR(BE189/AZ189*100-100,"")</f>
        <v>2.1016553280841777</v>
      </c>
      <c r="BF253" s="49">
        <f t="shared" ref="BF253:BI253" si="1281">IFERROR(BF189/BA189*100-100,"")</f>
        <v>2.1474739074800482</v>
      </c>
      <c r="BG253" s="49">
        <f t="shared" si="1281"/>
        <v>1.8628479387329975</v>
      </c>
      <c r="BH253" s="49">
        <f t="shared" si="1281"/>
        <v>1.6540288067922688</v>
      </c>
      <c r="BI253" s="49">
        <f t="shared" si="1281"/>
        <v>1.932613592317395</v>
      </c>
      <c r="BJ253" s="49">
        <f>IFERROR(BJ189/BE189*100-100,"")</f>
        <v>1.6689303679505656</v>
      </c>
      <c r="BK253" s="49">
        <f t="shared" ref="BK253:BN253" si="1282">IFERROR(BK189/BF189*100-100,"")</f>
        <v>1.1843961941964523</v>
      </c>
      <c r="BL253" s="49">
        <f t="shared" si="1282"/>
        <v>0.7883561878623766</v>
      </c>
      <c r="BM253" s="49">
        <f t="shared" si="1282"/>
        <v>0.74271219832266411</v>
      </c>
      <c r="BN253" s="49">
        <f t="shared" si="1282"/>
        <v>1.0834827013556918</v>
      </c>
      <c r="BO253" s="49">
        <f>IFERROR(BO189/BJ189*100-100,"")</f>
        <v>0.96040923244461851</v>
      </c>
      <c r="BP253" s="49">
        <f t="shared" ref="BP253:BS253" si="1283">IFERROR(BP189/BK189*100-100,"")</f>
        <v>1.3445160887101508</v>
      </c>
      <c r="BQ253" s="49">
        <f t="shared" si="1283"/>
        <v>2.4068148717829416</v>
      </c>
      <c r="BR253" s="49">
        <f t="shared" si="1283"/>
        <v>2.5772796968625187</v>
      </c>
      <c r="BS253" s="49">
        <f t="shared" si="1283"/>
        <v>1.8401304972482961</v>
      </c>
      <c r="BT253" s="49">
        <f>IFERROR(BT189/BO189*100-100,"")</f>
        <v>2.6727643934046483</v>
      </c>
      <c r="BU253" s="49">
        <f t="shared" ref="BU253:BX253" si="1284">IFERROR(BU189/BP189*100-100,"")</f>
        <v>3.5441274374932874</v>
      </c>
      <c r="BV253" s="49">
        <f t="shared" si="1284"/>
        <v>4.7156279371380663</v>
      </c>
      <c r="BW253" s="49">
        <f t="shared" si="1284"/>
        <v>4.8445405709859273</v>
      </c>
      <c r="BX253" s="49">
        <f t="shared" si="1284"/>
        <v>3.9869452588706054</v>
      </c>
      <c r="BY253" s="49">
        <f>IFERROR(BY189/BT189*100-100,"")</f>
        <v>4.1883402381048995</v>
      </c>
      <c r="BZ253" s="49">
        <f t="shared" ref="BZ253:CC253" si="1285">IFERROR(BZ189/BU189*100-100,"")</f>
        <v>3.9307870091347183</v>
      </c>
      <c r="CA253" s="49">
        <f t="shared" si="1285"/>
        <v>2.2630508808970404</v>
      </c>
      <c r="CB253" s="49">
        <f t="shared" si="1285"/>
        <v>2.1795390996797437</v>
      </c>
      <c r="CC253" s="49">
        <f t="shared" si="1285"/>
        <v>3.0923220514487184</v>
      </c>
      <c r="CD253" s="49">
        <f>IFERROR(CD189/BY189*100-100,"")</f>
        <v>2.1664888053004177</v>
      </c>
      <c r="CE253" s="49">
        <f t="shared" ref="CE253:CH253" si="1286">IFERROR(CE189/BZ189*100-100,"")</f>
        <v>2.1091894031792293</v>
      </c>
      <c r="CF253" s="49">
        <f t="shared" si="1286"/>
        <v>1.8050779511356012</v>
      </c>
      <c r="CG253" s="49">
        <f t="shared" si="1286"/>
        <v>1.789412842780024</v>
      </c>
      <c r="CH253" s="49">
        <f t="shared" si="1286"/>
        <v>1.9625465733796688</v>
      </c>
      <c r="CI253" s="49">
        <f>IFERROR(CI189/CD189*100-100,"")</f>
        <v>1.9224349703710857</v>
      </c>
      <c r="CJ253" s="49">
        <f t="shared" ref="CJ253:CM253" si="1287">IFERROR(CJ189/CE189*100-100,"")</f>
        <v>1.2279176423560187</v>
      </c>
      <c r="CK253" s="49">
        <f t="shared" si="1287"/>
        <v>1.6015907782003467</v>
      </c>
      <c r="CL253" s="49">
        <f t="shared" si="1287"/>
        <v>1.5832768016632315</v>
      </c>
      <c r="CM253" s="49">
        <f t="shared" si="1287"/>
        <v>1.5800924514624199</v>
      </c>
      <c r="CN253" s="49" t="str">
        <f>IFERROR(CN189/CI189*100-100,"")</f>
        <v/>
      </c>
      <c r="CO253" s="49" t="str">
        <f t="shared" ref="CO253:CR253" si="1288">IFERROR(CO189/CJ189*100-100,"")</f>
        <v/>
      </c>
      <c r="CP253" s="49" t="str">
        <f t="shared" si="1288"/>
        <v/>
      </c>
      <c r="CQ253" s="49" t="str">
        <f t="shared" si="1288"/>
        <v/>
      </c>
      <c r="CR253" s="49" t="str">
        <f t="shared" si="1288"/>
        <v/>
      </c>
    </row>
    <row r="254" spans="1:96" s="9" customFormat="1" ht="15" x14ac:dyDescent="0.4">
      <c r="A254" s="28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  <c r="BE254" s="29"/>
      <c r="BF254" s="29"/>
      <c r="BG254" s="29"/>
      <c r="BH254" s="29"/>
      <c r="BI254" s="29"/>
      <c r="BJ254" s="29"/>
      <c r="BK254" s="29"/>
      <c r="BL254" s="29"/>
      <c r="BM254" s="29"/>
      <c r="BN254" s="29"/>
      <c r="BO254" s="29"/>
      <c r="BP254" s="29"/>
      <c r="BQ254" s="29"/>
      <c r="BR254" s="29"/>
      <c r="BS254" s="29"/>
      <c r="BT254" s="29"/>
      <c r="BU254" s="29"/>
      <c r="BV254" s="29"/>
      <c r="BW254" s="29"/>
      <c r="BX254" s="29"/>
      <c r="BY254" s="29"/>
      <c r="BZ254" s="29"/>
      <c r="CA254" s="29"/>
      <c r="CB254" s="29"/>
      <c r="CC254" s="29"/>
      <c r="CD254" s="29"/>
      <c r="CE254" s="29"/>
      <c r="CF254" s="29"/>
      <c r="CG254" s="29"/>
      <c r="CH254" s="29"/>
      <c r="CI254" s="29"/>
      <c r="CJ254" s="29"/>
      <c r="CK254" s="29"/>
      <c r="CL254" s="29"/>
      <c r="CM254" s="29"/>
      <c r="CN254" s="29"/>
      <c r="CO254" s="29"/>
      <c r="CP254" s="29"/>
      <c r="CQ254" s="29"/>
      <c r="CR254" s="29"/>
    </row>
    <row r="255" spans="1:96" s="31" customFormat="1" ht="15" x14ac:dyDescent="0.4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  <c r="BA255" s="30"/>
      <c r="BB255" s="30"/>
      <c r="BC255" s="30"/>
      <c r="BD255" s="30"/>
      <c r="BE255" s="30"/>
      <c r="BF255" s="30"/>
      <c r="BG255" s="30"/>
      <c r="BH255" s="30"/>
      <c r="BI255" s="30"/>
      <c r="BJ255" s="30"/>
      <c r="BK255" s="30"/>
      <c r="BL255" s="30"/>
      <c r="BM255" s="30"/>
      <c r="BN255" s="30"/>
      <c r="BO255" s="30"/>
      <c r="BP255" s="30"/>
      <c r="BQ255" s="30"/>
      <c r="BR255" s="30"/>
      <c r="BS255" s="30"/>
      <c r="BT255" s="30"/>
      <c r="BU255" s="30"/>
      <c r="BV255" s="30"/>
      <c r="BW255" s="30"/>
      <c r="BX255" s="30"/>
      <c r="BY255" s="30"/>
      <c r="BZ255" s="30"/>
      <c r="CA255" s="30"/>
      <c r="CB255" s="30"/>
      <c r="CC255" s="30"/>
      <c r="CD255" s="30"/>
      <c r="CE255" s="30"/>
      <c r="CF255" s="30"/>
      <c r="CG255" s="30"/>
      <c r="CH255" s="30"/>
      <c r="CI255" s="30"/>
      <c r="CJ255" s="30"/>
      <c r="CK255" s="30"/>
      <c r="CL255" s="30"/>
      <c r="CM255" s="30"/>
      <c r="CN255" s="30"/>
      <c r="CO255" s="30"/>
      <c r="CP255" s="30"/>
      <c r="CQ255" s="30"/>
      <c r="CR255" s="30"/>
    </row>
    <row r="256" spans="1:96" s="31" customFormat="1" ht="15" x14ac:dyDescent="0.4">
      <c r="A256" s="32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3"/>
      <c r="AZ256" s="33"/>
      <c r="BA256" s="33"/>
      <c r="BB256" s="33"/>
      <c r="BC256" s="33"/>
      <c r="BD256" s="33"/>
      <c r="BE256" s="33"/>
      <c r="BF256" s="33"/>
      <c r="BG256" s="33"/>
      <c r="BH256" s="33"/>
      <c r="BI256" s="33"/>
      <c r="BJ256" s="33"/>
      <c r="BK256" s="33"/>
      <c r="BL256" s="33"/>
      <c r="BM256" s="33"/>
      <c r="BN256" s="33"/>
      <c r="BO256" s="33"/>
      <c r="BP256" s="33"/>
      <c r="BQ256" s="33"/>
      <c r="BR256" s="33"/>
      <c r="BS256" s="33"/>
      <c r="BT256" s="33"/>
      <c r="BU256" s="33"/>
      <c r="BV256" s="33"/>
      <c r="BW256" s="33"/>
      <c r="BX256" s="33"/>
      <c r="BY256" s="33"/>
      <c r="BZ256" s="33"/>
      <c r="CA256" s="33"/>
      <c r="CB256" s="33"/>
      <c r="CC256" s="33"/>
      <c r="CD256" s="33"/>
      <c r="CE256" s="33"/>
      <c r="CF256" s="33"/>
      <c r="CG256" s="33"/>
      <c r="CH256" s="33"/>
      <c r="CI256" s="33"/>
      <c r="CJ256" s="33"/>
      <c r="CK256" s="33"/>
      <c r="CL256" s="33"/>
      <c r="CM256" s="33"/>
      <c r="CN256" s="33"/>
      <c r="CO256" s="33"/>
      <c r="CP256" s="33"/>
      <c r="CQ256" s="33"/>
      <c r="CR256" s="33"/>
    </row>
    <row r="257" spans="1:96" ht="20" x14ac:dyDescent="0.4">
      <c r="A257" s="1" t="s">
        <v>103</v>
      </c>
    </row>
    <row r="258" spans="1:96" ht="20.5" thickBot="1" x14ac:dyDescent="0.45">
      <c r="A258" s="1" t="str">
        <f>A226</f>
        <v>Kabupaten/Kota :</v>
      </c>
      <c r="B258" s="34" t="str">
        <f>B226</f>
        <v>Kepuluauan Tanimbar</v>
      </c>
      <c r="L258" s="35"/>
      <c r="V258" s="35"/>
      <c r="AF258" s="35"/>
      <c r="AP258" s="35"/>
      <c r="AZ258" s="35"/>
      <c r="BJ258" s="35"/>
      <c r="BT258" s="35"/>
    </row>
    <row r="259" spans="1:96" s="9" customFormat="1" ht="24" customHeight="1" thickBot="1" x14ac:dyDescent="0.35">
      <c r="A259" s="5" t="s">
        <v>2</v>
      </c>
      <c r="B259" s="6" t="s">
        <v>3</v>
      </c>
      <c r="C259" s="6" t="s">
        <v>4</v>
      </c>
      <c r="D259" s="6" t="s">
        <v>5</v>
      </c>
      <c r="E259" s="6" t="s">
        <v>6</v>
      </c>
      <c r="F259" s="6">
        <v>2008</v>
      </c>
      <c r="G259" s="7" t="s">
        <v>7</v>
      </c>
      <c r="H259" s="7" t="s">
        <v>8</v>
      </c>
      <c r="I259" s="7" t="s">
        <v>9</v>
      </c>
      <c r="J259" s="7" t="s">
        <v>10</v>
      </c>
      <c r="K259" s="7">
        <v>2009</v>
      </c>
      <c r="L259" s="6" t="s">
        <v>11</v>
      </c>
      <c r="M259" s="6" t="s">
        <v>12</v>
      </c>
      <c r="N259" s="6" t="s">
        <v>13</v>
      </c>
      <c r="O259" s="6" t="s">
        <v>14</v>
      </c>
      <c r="P259" s="6">
        <v>2010</v>
      </c>
      <c r="Q259" s="7" t="s">
        <v>15</v>
      </c>
      <c r="R259" s="7" t="s">
        <v>16</v>
      </c>
      <c r="S259" s="7" t="s">
        <v>17</v>
      </c>
      <c r="T259" s="7" t="s">
        <v>18</v>
      </c>
      <c r="U259" s="7">
        <v>2011</v>
      </c>
      <c r="V259" s="6" t="s">
        <v>19</v>
      </c>
      <c r="W259" s="6" t="s">
        <v>20</v>
      </c>
      <c r="X259" s="6" t="s">
        <v>21</v>
      </c>
      <c r="Y259" s="6" t="s">
        <v>22</v>
      </c>
      <c r="Z259" s="6">
        <v>2012</v>
      </c>
      <c r="AA259" s="7" t="s">
        <v>23</v>
      </c>
      <c r="AB259" s="7" t="s">
        <v>24</v>
      </c>
      <c r="AC259" s="7" t="s">
        <v>25</v>
      </c>
      <c r="AD259" s="7" t="s">
        <v>26</v>
      </c>
      <c r="AE259" s="7">
        <v>2013</v>
      </c>
      <c r="AF259" s="6" t="s">
        <v>27</v>
      </c>
      <c r="AG259" s="6" t="s">
        <v>28</v>
      </c>
      <c r="AH259" s="6" t="s">
        <v>29</v>
      </c>
      <c r="AI259" s="6" t="s">
        <v>30</v>
      </c>
      <c r="AJ259" s="6">
        <v>2014</v>
      </c>
      <c r="AK259" s="7" t="s">
        <v>31</v>
      </c>
      <c r="AL259" s="7" t="s">
        <v>32</v>
      </c>
      <c r="AM259" s="7" t="s">
        <v>33</v>
      </c>
      <c r="AN259" s="7" t="s">
        <v>34</v>
      </c>
      <c r="AO259" s="7">
        <v>2015</v>
      </c>
      <c r="AP259" s="6" t="s">
        <v>35</v>
      </c>
      <c r="AQ259" s="6" t="s">
        <v>36</v>
      </c>
      <c r="AR259" s="6" t="s">
        <v>37</v>
      </c>
      <c r="AS259" s="6" t="s">
        <v>38</v>
      </c>
      <c r="AT259" s="6">
        <v>2016</v>
      </c>
      <c r="AU259" s="7" t="s">
        <v>39</v>
      </c>
      <c r="AV259" s="7" t="s">
        <v>40</v>
      </c>
      <c r="AW259" s="7" t="s">
        <v>41</v>
      </c>
      <c r="AX259" s="7" t="s">
        <v>42</v>
      </c>
      <c r="AY259" s="7">
        <v>2017</v>
      </c>
      <c r="AZ259" s="6" t="s">
        <v>43</v>
      </c>
      <c r="BA259" s="6" t="s">
        <v>44</v>
      </c>
      <c r="BB259" s="6" t="s">
        <v>45</v>
      </c>
      <c r="BC259" s="6" t="s">
        <v>46</v>
      </c>
      <c r="BD259" s="6">
        <v>2018</v>
      </c>
      <c r="BE259" s="7" t="s">
        <v>47</v>
      </c>
      <c r="BF259" s="7" t="s">
        <v>48</v>
      </c>
      <c r="BG259" s="7" t="s">
        <v>49</v>
      </c>
      <c r="BH259" s="7" t="s">
        <v>50</v>
      </c>
      <c r="BI259" s="7">
        <v>2019</v>
      </c>
      <c r="BJ259" s="6" t="s">
        <v>51</v>
      </c>
      <c r="BK259" s="6" t="s">
        <v>52</v>
      </c>
      <c r="BL259" s="6" t="s">
        <v>53</v>
      </c>
      <c r="BM259" s="6" t="s">
        <v>54</v>
      </c>
      <c r="BN259" s="6">
        <v>2020</v>
      </c>
      <c r="BO259" s="7" t="s">
        <v>55</v>
      </c>
      <c r="BP259" s="7" t="s">
        <v>56</v>
      </c>
      <c r="BQ259" s="7" t="s">
        <v>57</v>
      </c>
      <c r="BR259" s="7" t="s">
        <v>58</v>
      </c>
      <c r="BS259" s="7">
        <v>2021</v>
      </c>
      <c r="BT259" s="6" t="s">
        <v>59</v>
      </c>
      <c r="BU259" s="6" t="s">
        <v>60</v>
      </c>
      <c r="BV259" s="6" t="s">
        <v>61</v>
      </c>
      <c r="BW259" s="6" t="s">
        <v>62</v>
      </c>
      <c r="BX259" s="6">
        <v>2022</v>
      </c>
      <c r="BY259" s="7" t="s">
        <v>63</v>
      </c>
      <c r="BZ259" s="7" t="s">
        <v>64</v>
      </c>
      <c r="CA259" s="7" t="s">
        <v>65</v>
      </c>
      <c r="CB259" s="7" t="s">
        <v>66</v>
      </c>
      <c r="CC259" s="7">
        <v>2023</v>
      </c>
      <c r="CD259" s="8" t="s">
        <v>67</v>
      </c>
      <c r="CE259" s="8" t="s">
        <v>68</v>
      </c>
      <c r="CF259" s="8" t="s">
        <v>69</v>
      </c>
      <c r="CG259" s="8" t="s">
        <v>70</v>
      </c>
      <c r="CH259" s="8">
        <v>2024</v>
      </c>
      <c r="CI259" s="7" t="s">
        <v>71</v>
      </c>
      <c r="CJ259" s="7" t="s">
        <v>72</v>
      </c>
      <c r="CK259" s="7" t="s">
        <v>73</v>
      </c>
      <c r="CL259" s="7" t="s">
        <v>74</v>
      </c>
      <c r="CM259" s="7">
        <v>2025</v>
      </c>
      <c r="CN259" s="8" t="s">
        <v>75</v>
      </c>
      <c r="CO259" s="8" t="s">
        <v>76</v>
      </c>
      <c r="CP259" s="8" t="s">
        <v>77</v>
      </c>
      <c r="CQ259" s="8" t="s">
        <v>78</v>
      </c>
      <c r="CR259" s="8">
        <v>2026</v>
      </c>
    </row>
    <row r="260" spans="1:96" s="9" customFormat="1" ht="13.5" thickBot="1" x14ac:dyDescent="0.35">
      <c r="A260" s="10">
        <v>-1</v>
      </c>
      <c r="B260" s="11">
        <f>Table33610191810141737475767778797107117127[[#This Row],[Komponen Pengeluaran]]-1</f>
        <v>-2</v>
      </c>
      <c r="C260" s="11">
        <f>B260-1</f>
        <v>-3</v>
      </c>
      <c r="D260" s="11">
        <f t="shared" ref="D260:BO260" si="1289">C260-1</f>
        <v>-4</v>
      </c>
      <c r="E260" s="11">
        <f t="shared" si="1289"/>
        <v>-5</v>
      </c>
      <c r="F260" s="11">
        <f t="shared" si="1289"/>
        <v>-6</v>
      </c>
      <c r="G260" s="11">
        <f t="shared" si="1289"/>
        <v>-7</v>
      </c>
      <c r="H260" s="11">
        <f t="shared" si="1289"/>
        <v>-8</v>
      </c>
      <c r="I260" s="11">
        <f t="shared" si="1289"/>
        <v>-9</v>
      </c>
      <c r="J260" s="11">
        <f t="shared" si="1289"/>
        <v>-10</v>
      </c>
      <c r="K260" s="11">
        <f t="shared" si="1289"/>
        <v>-11</v>
      </c>
      <c r="L260" s="11">
        <f t="shared" si="1289"/>
        <v>-12</v>
      </c>
      <c r="M260" s="11">
        <f t="shared" si="1289"/>
        <v>-13</v>
      </c>
      <c r="N260" s="11">
        <f t="shared" si="1289"/>
        <v>-14</v>
      </c>
      <c r="O260" s="11">
        <f t="shared" si="1289"/>
        <v>-15</v>
      </c>
      <c r="P260" s="11">
        <f t="shared" si="1289"/>
        <v>-16</v>
      </c>
      <c r="Q260" s="11">
        <f t="shared" si="1289"/>
        <v>-17</v>
      </c>
      <c r="R260" s="11">
        <f t="shared" si="1289"/>
        <v>-18</v>
      </c>
      <c r="S260" s="11">
        <f t="shared" si="1289"/>
        <v>-19</v>
      </c>
      <c r="T260" s="11">
        <f t="shared" si="1289"/>
        <v>-20</v>
      </c>
      <c r="U260" s="11">
        <f t="shared" si="1289"/>
        <v>-21</v>
      </c>
      <c r="V260" s="11">
        <f t="shared" si="1289"/>
        <v>-22</v>
      </c>
      <c r="W260" s="11">
        <f t="shared" si="1289"/>
        <v>-23</v>
      </c>
      <c r="X260" s="11">
        <f t="shared" si="1289"/>
        <v>-24</v>
      </c>
      <c r="Y260" s="11">
        <f t="shared" si="1289"/>
        <v>-25</v>
      </c>
      <c r="Z260" s="11">
        <f t="shared" si="1289"/>
        <v>-26</v>
      </c>
      <c r="AA260" s="11">
        <f t="shared" si="1289"/>
        <v>-27</v>
      </c>
      <c r="AB260" s="11">
        <f t="shared" si="1289"/>
        <v>-28</v>
      </c>
      <c r="AC260" s="11">
        <f t="shared" si="1289"/>
        <v>-29</v>
      </c>
      <c r="AD260" s="11">
        <f t="shared" si="1289"/>
        <v>-30</v>
      </c>
      <c r="AE260" s="11">
        <f t="shared" si="1289"/>
        <v>-31</v>
      </c>
      <c r="AF260" s="11">
        <f t="shared" si="1289"/>
        <v>-32</v>
      </c>
      <c r="AG260" s="11">
        <f t="shared" si="1289"/>
        <v>-33</v>
      </c>
      <c r="AH260" s="11">
        <f t="shared" si="1289"/>
        <v>-34</v>
      </c>
      <c r="AI260" s="11">
        <f t="shared" si="1289"/>
        <v>-35</v>
      </c>
      <c r="AJ260" s="11">
        <f t="shared" si="1289"/>
        <v>-36</v>
      </c>
      <c r="AK260" s="11">
        <f t="shared" si="1289"/>
        <v>-37</v>
      </c>
      <c r="AL260" s="11">
        <f t="shared" si="1289"/>
        <v>-38</v>
      </c>
      <c r="AM260" s="11">
        <f t="shared" si="1289"/>
        <v>-39</v>
      </c>
      <c r="AN260" s="11">
        <f t="shared" si="1289"/>
        <v>-40</v>
      </c>
      <c r="AO260" s="11">
        <f t="shared" si="1289"/>
        <v>-41</v>
      </c>
      <c r="AP260" s="11">
        <f t="shared" si="1289"/>
        <v>-42</v>
      </c>
      <c r="AQ260" s="11">
        <f t="shared" si="1289"/>
        <v>-43</v>
      </c>
      <c r="AR260" s="11">
        <f t="shared" si="1289"/>
        <v>-44</v>
      </c>
      <c r="AS260" s="11">
        <f t="shared" si="1289"/>
        <v>-45</v>
      </c>
      <c r="AT260" s="11">
        <f t="shared" si="1289"/>
        <v>-46</v>
      </c>
      <c r="AU260" s="11">
        <f t="shared" si="1289"/>
        <v>-47</v>
      </c>
      <c r="AV260" s="11">
        <f t="shared" si="1289"/>
        <v>-48</v>
      </c>
      <c r="AW260" s="11">
        <f t="shared" si="1289"/>
        <v>-49</v>
      </c>
      <c r="AX260" s="11">
        <f t="shared" si="1289"/>
        <v>-50</v>
      </c>
      <c r="AY260" s="11">
        <f t="shared" si="1289"/>
        <v>-51</v>
      </c>
      <c r="AZ260" s="11">
        <f t="shared" si="1289"/>
        <v>-52</v>
      </c>
      <c r="BA260" s="11">
        <f t="shared" si="1289"/>
        <v>-53</v>
      </c>
      <c r="BB260" s="11">
        <f t="shared" si="1289"/>
        <v>-54</v>
      </c>
      <c r="BC260" s="11">
        <f t="shared" si="1289"/>
        <v>-55</v>
      </c>
      <c r="BD260" s="11">
        <f t="shared" si="1289"/>
        <v>-56</v>
      </c>
      <c r="BE260" s="11">
        <f t="shared" si="1289"/>
        <v>-57</v>
      </c>
      <c r="BF260" s="11">
        <f t="shared" si="1289"/>
        <v>-58</v>
      </c>
      <c r="BG260" s="11">
        <f t="shared" si="1289"/>
        <v>-59</v>
      </c>
      <c r="BH260" s="11">
        <f t="shared" si="1289"/>
        <v>-60</v>
      </c>
      <c r="BI260" s="11">
        <f t="shared" si="1289"/>
        <v>-61</v>
      </c>
      <c r="BJ260" s="11">
        <f t="shared" si="1289"/>
        <v>-62</v>
      </c>
      <c r="BK260" s="11">
        <f t="shared" si="1289"/>
        <v>-63</v>
      </c>
      <c r="BL260" s="11">
        <f t="shared" si="1289"/>
        <v>-64</v>
      </c>
      <c r="BM260" s="11">
        <f t="shared" si="1289"/>
        <v>-65</v>
      </c>
      <c r="BN260" s="11">
        <f t="shared" si="1289"/>
        <v>-66</v>
      </c>
      <c r="BO260" s="11">
        <f t="shared" si="1289"/>
        <v>-67</v>
      </c>
      <c r="BP260" s="11">
        <f t="shared" ref="BP260:CR260" si="1290">BO260-1</f>
        <v>-68</v>
      </c>
      <c r="BQ260" s="11">
        <f t="shared" si="1290"/>
        <v>-69</v>
      </c>
      <c r="BR260" s="11">
        <f t="shared" si="1290"/>
        <v>-70</v>
      </c>
      <c r="BS260" s="11">
        <f t="shared" si="1290"/>
        <v>-71</v>
      </c>
      <c r="BT260" s="11">
        <f t="shared" si="1290"/>
        <v>-72</v>
      </c>
      <c r="BU260" s="11">
        <f t="shared" si="1290"/>
        <v>-73</v>
      </c>
      <c r="BV260" s="11">
        <f t="shared" si="1290"/>
        <v>-74</v>
      </c>
      <c r="BW260" s="11">
        <f t="shared" si="1290"/>
        <v>-75</v>
      </c>
      <c r="BX260" s="11">
        <f t="shared" si="1290"/>
        <v>-76</v>
      </c>
      <c r="BY260" s="11">
        <f t="shared" si="1290"/>
        <v>-77</v>
      </c>
      <c r="BZ260" s="11">
        <f t="shared" si="1290"/>
        <v>-78</v>
      </c>
      <c r="CA260" s="11">
        <f t="shared" si="1290"/>
        <v>-79</v>
      </c>
      <c r="CB260" s="11">
        <f t="shared" si="1290"/>
        <v>-80</v>
      </c>
      <c r="CC260" s="11">
        <f t="shared" si="1290"/>
        <v>-81</v>
      </c>
      <c r="CD260" s="11">
        <f t="shared" si="1290"/>
        <v>-82</v>
      </c>
      <c r="CE260" s="11">
        <f t="shared" si="1290"/>
        <v>-83</v>
      </c>
      <c r="CF260" s="11">
        <f t="shared" si="1290"/>
        <v>-84</v>
      </c>
      <c r="CG260" s="11">
        <f t="shared" si="1290"/>
        <v>-85</v>
      </c>
      <c r="CH260" s="11">
        <f t="shared" si="1290"/>
        <v>-86</v>
      </c>
      <c r="CI260" s="11">
        <f t="shared" si="1290"/>
        <v>-87</v>
      </c>
      <c r="CJ260" s="11">
        <f t="shared" si="1290"/>
        <v>-88</v>
      </c>
      <c r="CK260" s="11">
        <f t="shared" si="1290"/>
        <v>-89</v>
      </c>
      <c r="CL260" s="11">
        <f t="shared" si="1290"/>
        <v>-90</v>
      </c>
      <c r="CM260" s="11">
        <f t="shared" si="1290"/>
        <v>-91</v>
      </c>
      <c r="CN260" s="11">
        <f t="shared" si="1290"/>
        <v>-92</v>
      </c>
      <c r="CO260" s="11">
        <f t="shared" si="1290"/>
        <v>-93</v>
      </c>
      <c r="CP260" s="11">
        <f t="shared" si="1290"/>
        <v>-94</v>
      </c>
      <c r="CQ260" s="11">
        <f t="shared" si="1290"/>
        <v>-95</v>
      </c>
      <c r="CR260" s="11">
        <f t="shared" si="1290"/>
        <v>-96</v>
      </c>
    </row>
    <row r="261" spans="1:96" s="9" customFormat="1" ht="16.5" thickTop="1" x14ac:dyDescent="0.4">
      <c r="A261" s="12"/>
      <c r="B261" s="13"/>
      <c r="C261" s="13"/>
      <c r="D261" s="13"/>
      <c r="E261" s="13"/>
      <c r="F261" s="14"/>
      <c r="G261" s="13"/>
      <c r="H261" s="13"/>
      <c r="I261" s="13"/>
      <c r="J261" s="13"/>
      <c r="K261" s="14"/>
      <c r="L261" s="13"/>
      <c r="M261" s="13"/>
      <c r="N261" s="13"/>
      <c r="O261" s="13"/>
      <c r="P261" s="14"/>
      <c r="Q261" s="13"/>
      <c r="R261" s="13"/>
      <c r="S261" s="13"/>
      <c r="T261" s="13"/>
      <c r="U261" s="14"/>
      <c r="V261" s="13"/>
      <c r="W261" s="13"/>
      <c r="X261" s="13"/>
      <c r="Y261" s="13"/>
      <c r="Z261" s="14"/>
      <c r="AA261" s="13"/>
      <c r="AB261" s="13"/>
      <c r="AC261" s="13"/>
      <c r="AD261" s="13"/>
      <c r="AE261" s="14"/>
      <c r="AF261" s="13"/>
      <c r="AG261" s="13"/>
      <c r="AH261" s="13"/>
      <c r="AI261" s="13"/>
      <c r="AJ261" s="14"/>
      <c r="AK261" s="13"/>
      <c r="AL261" s="13"/>
      <c r="AM261" s="13"/>
      <c r="AN261" s="13"/>
      <c r="AO261" s="14"/>
      <c r="AP261" s="13"/>
      <c r="AQ261" s="13"/>
      <c r="AR261" s="13"/>
      <c r="AS261" s="13"/>
      <c r="AT261" s="14"/>
      <c r="AU261" s="13"/>
      <c r="AV261" s="13"/>
      <c r="AW261" s="13"/>
      <c r="AX261" s="13"/>
      <c r="AY261" s="14"/>
      <c r="AZ261" s="13"/>
      <c r="BA261" s="13"/>
      <c r="BB261" s="13"/>
      <c r="BC261" s="13"/>
      <c r="BD261" s="14"/>
      <c r="BE261" s="13"/>
      <c r="BF261" s="13"/>
      <c r="BG261" s="13"/>
      <c r="BH261" s="13"/>
      <c r="BI261" s="14"/>
      <c r="BJ261" s="13"/>
      <c r="BK261" s="13"/>
      <c r="BL261" s="13"/>
      <c r="BM261" s="13"/>
      <c r="BN261" s="14"/>
      <c r="BO261" s="13"/>
      <c r="BP261" s="13"/>
      <c r="BQ261" s="13"/>
      <c r="BR261" s="13"/>
      <c r="BS261" s="14"/>
      <c r="BT261" s="13"/>
      <c r="BU261" s="13"/>
      <c r="BV261" s="13"/>
      <c r="BW261" s="13"/>
      <c r="BX261" s="14"/>
      <c r="BY261" s="13"/>
      <c r="BZ261" s="13"/>
      <c r="CA261" s="13"/>
      <c r="CB261" s="13"/>
      <c r="CC261" s="14"/>
      <c r="CD261" s="13"/>
      <c r="CE261" s="13"/>
      <c r="CF261" s="13"/>
      <c r="CG261" s="13"/>
      <c r="CH261" s="14"/>
      <c r="CI261" s="13"/>
      <c r="CJ261" s="13"/>
      <c r="CK261" s="13"/>
      <c r="CL261" s="13"/>
      <c r="CM261" s="14"/>
      <c r="CN261" s="13"/>
      <c r="CO261" s="13"/>
      <c r="CP261" s="13"/>
      <c r="CQ261" s="13"/>
      <c r="CR261" s="14"/>
    </row>
    <row r="262" spans="1:96" s="17" customFormat="1" ht="15" x14ac:dyDescent="0.4">
      <c r="A262" s="15" t="s">
        <v>79</v>
      </c>
      <c r="B262" s="50">
        <f t="shared" ref="B262:BM266" si="1291">IFERROR(B6/B$29*100,"")</f>
        <v>86.064470318859193</v>
      </c>
      <c r="C262" s="50">
        <f t="shared" si="1291"/>
        <v>83.413954048485522</v>
      </c>
      <c r="D262" s="50">
        <f t="shared" si="1291"/>
        <v>86.34139452868105</v>
      </c>
      <c r="E262" s="50">
        <f t="shared" si="1291"/>
        <v>85.96391394286799</v>
      </c>
      <c r="F262" s="50">
        <f t="shared" si="1291"/>
        <v>85.457873662654521</v>
      </c>
      <c r="G262" s="50">
        <f t="shared" si="1291"/>
        <v>80.443358384954379</v>
      </c>
      <c r="H262" s="50">
        <f t="shared" si="1291"/>
        <v>80.67719338767219</v>
      </c>
      <c r="I262" s="50">
        <f t="shared" si="1291"/>
        <v>83.694854659800271</v>
      </c>
      <c r="J262" s="50">
        <f t="shared" si="1291"/>
        <v>81.972510149987585</v>
      </c>
      <c r="K262" s="50">
        <f t="shared" si="1291"/>
        <v>81.727215233400216</v>
      </c>
      <c r="L262" s="50">
        <f t="shared" si="1291"/>
        <v>78.615114502430046</v>
      </c>
      <c r="M262" s="50">
        <f t="shared" si="1291"/>
        <v>78.358454801172272</v>
      </c>
      <c r="N262" s="50">
        <f t="shared" si="1291"/>
        <v>79.736475587708682</v>
      </c>
      <c r="O262" s="50">
        <f t="shared" si="1291"/>
        <v>79.976209486572657</v>
      </c>
      <c r="P262" s="50">
        <f t="shared" si="1291"/>
        <v>79.196040108821819</v>
      </c>
      <c r="Q262" s="50">
        <f t="shared" si="1291"/>
        <v>68.710977997046726</v>
      </c>
      <c r="R262" s="50">
        <f t="shared" si="1291"/>
        <v>80.197154649032825</v>
      </c>
      <c r="S262" s="50">
        <f t="shared" si="1291"/>
        <v>76.952713898634954</v>
      </c>
      <c r="T262" s="50">
        <f t="shared" si="1291"/>
        <v>71.03140274078666</v>
      </c>
      <c r="U262" s="50">
        <f t="shared" si="1291"/>
        <v>74.214258396195746</v>
      </c>
      <c r="V262" s="50">
        <f t="shared" si="1291"/>
        <v>72.500492050322165</v>
      </c>
      <c r="W262" s="50">
        <f t="shared" si="1291"/>
        <v>72.734340550701589</v>
      </c>
      <c r="X262" s="50">
        <f t="shared" si="1291"/>
        <v>74.151917414289841</v>
      </c>
      <c r="Y262" s="50">
        <f t="shared" si="1291"/>
        <v>74.307554532792878</v>
      </c>
      <c r="Z262" s="50">
        <f t="shared" si="1291"/>
        <v>73.450709031560123</v>
      </c>
      <c r="AA262" s="50">
        <f t="shared" si="1291"/>
        <v>72.509592941723412</v>
      </c>
      <c r="AB262" s="50">
        <f t="shared" si="1291"/>
        <v>73.094550452004853</v>
      </c>
      <c r="AC262" s="50">
        <f t="shared" si="1291"/>
        <v>76.38219148993997</v>
      </c>
      <c r="AD262" s="50">
        <f t="shared" si="1291"/>
        <v>75.748763974845943</v>
      </c>
      <c r="AE262" s="50">
        <f t="shared" si="1291"/>
        <v>74.532876516247299</v>
      </c>
      <c r="AF262" s="50">
        <f t="shared" si="1291"/>
        <v>72.82194093604069</v>
      </c>
      <c r="AG262" s="50">
        <f t="shared" si="1291"/>
        <v>73.532521587224124</v>
      </c>
      <c r="AH262" s="50">
        <f t="shared" si="1291"/>
        <v>74.774865026187612</v>
      </c>
      <c r="AI262" s="50">
        <f t="shared" si="1291"/>
        <v>78.223773856694294</v>
      </c>
      <c r="AJ262" s="50">
        <f t="shared" si="1291"/>
        <v>74.918567659568254</v>
      </c>
      <c r="AK262" s="50">
        <f t="shared" si="1291"/>
        <v>75.940761567626907</v>
      </c>
      <c r="AL262" s="50">
        <f t="shared" si="1291"/>
        <v>77.260936021619827</v>
      </c>
      <c r="AM262" s="50">
        <f t="shared" si="1291"/>
        <v>78.52518611823244</v>
      </c>
      <c r="AN262" s="50">
        <f t="shared" si="1291"/>
        <v>81.357364841123641</v>
      </c>
      <c r="AO262" s="50">
        <f t="shared" si="1291"/>
        <v>78.368283130358364</v>
      </c>
      <c r="AP262" s="50">
        <f t="shared" si="1291"/>
        <v>79.631939074117881</v>
      </c>
      <c r="AQ262" s="50">
        <f t="shared" si="1291"/>
        <v>77.994864774743078</v>
      </c>
      <c r="AR262" s="50">
        <f t="shared" si="1291"/>
        <v>77.998290869325302</v>
      </c>
      <c r="AS262" s="50">
        <f t="shared" si="1291"/>
        <v>79.007219156589244</v>
      </c>
      <c r="AT262" s="50">
        <f t="shared" si="1291"/>
        <v>78.64805275038951</v>
      </c>
      <c r="AU262" s="50">
        <f t="shared" si="1291"/>
        <v>77.312999088151287</v>
      </c>
      <c r="AV262" s="50">
        <f t="shared" si="1291"/>
        <v>78.083403287659792</v>
      </c>
      <c r="AW262" s="50">
        <f t="shared" si="1291"/>
        <v>79.529411286766944</v>
      </c>
      <c r="AX262" s="50">
        <f t="shared" si="1291"/>
        <v>80.52500228442608</v>
      </c>
      <c r="AY262" s="50">
        <f t="shared" si="1291"/>
        <v>78.908042931453068</v>
      </c>
      <c r="AZ262" s="50">
        <f t="shared" si="1291"/>
        <v>76.51929450759738</v>
      </c>
      <c r="BA262" s="50">
        <f t="shared" si="1291"/>
        <v>77.134411463052416</v>
      </c>
      <c r="BB262" s="50">
        <f t="shared" si="1291"/>
        <v>77.397642543604547</v>
      </c>
      <c r="BC262" s="50">
        <f t="shared" si="1291"/>
        <v>79.842402945885695</v>
      </c>
      <c r="BD262" s="50">
        <f t="shared" si="1291"/>
        <v>77.765927967046665</v>
      </c>
      <c r="BE262" s="50">
        <f t="shared" si="1291"/>
        <v>77.881297228293434</v>
      </c>
      <c r="BF262" s="50">
        <f t="shared" si="1291"/>
        <v>78.74151051506459</v>
      </c>
      <c r="BG262" s="50">
        <f t="shared" si="1291"/>
        <v>81.947575720067292</v>
      </c>
      <c r="BH262" s="50">
        <f t="shared" si="1291"/>
        <v>80.540564933375094</v>
      </c>
      <c r="BI262" s="50">
        <f t="shared" si="1291"/>
        <v>79.817162742549499</v>
      </c>
      <c r="BJ262" s="50">
        <f t="shared" si="1291"/>
        <v>78.950736665356047</v>
      </c>
      <c r="BK262" s="50">
        <f t="shared" si="1291"/>
        <v>80.304774889612162</v>
      </c>
      <c r="BL262" s="50">
        <f t="shared" si="1291"/>
        <v>82.617436646161906</v>
      </c>
      <c r="BM262" s="50">
        <f t="shared" si="1291"/>
        <v>83.167753313489072</v>
      </c>
      <c r="BN262" s="50">
        <f t="shared" ref="BN262:CR269" si="1292">IFERROR(BN6/BN$29*100,"")</f>
        <v>81.263105711237458</v>
      </c>
      <c r="BO262" s="50">
        <f t="shared" si="1292"/>
        <v>82.711548247533969</v>
      </c>
      <c r="BP262" s="50">
        <f t="shared" si="1292"/>
        <v>80.708507127683433</v>
      </c>
      <c r="BQ262" s="50">
        <f t="shared" si="1292"/>
        <v>78.26535632289395</v>
      </c>
      <c r="BR262" s="50">
        <f t="shared" si="1292"/>
        <v>81.390904602242358</v>
      </c>
      <c r="BS262" s="50">
        <f t="shared" si="1292"/>
        <v>80.747482351210095</v>
      </c>
      <c r="BT262" s="50">
        <f t="shared" si="1292"/>
        <v>84.442175986578832</v>
      </c>
      <c r="BU262" s="50">
        <f t="shared" si="1292"/>
        <v>80.482317543052446</v>
      </c>
      <c r="BV262" s="50">
        <f t="shared" si="1292"/>
        <v>79.91504069706275</v>
      </c>
      <c r="BW262" s="50">
        <f t="shared" si="1292"/>
        <v>78.690693330018476</v>
      </c>
      <c r="BX262" s="50">
        <f t="shared" si="1292"/>
        <v>80.775639003874957</v>
      </c>
      <c r="BY262" s="50">
        <f t="shared" si="1292"/>
        <v>81.458248354262395</v>
      </c>
      <c r="BZ262" s="50">
        <f t="shared" si="1292"/>
        <v>77.985246718892498</v>
      </c>
      <c r="CA262" s="50">
        <f t="shared" si="1292"/>
        <v>78.918535846264845</v>
      </c>
      <c r="CB262" s="50">
        <f t="shared" si="1292"/>
        <v>79.201609694877916</v>
      </c>
      <c r="CC262" s="50">
        <f t="shared" si="1292"/>
        <v>79.355431148693043</v>
      </c>
      <c r="CD262" s="50">
        <f t="shared" si="1292"/>
        <v>81.013821999722566</v>
      </c>
      <c r="CE262" s="50">
        <f t="shared" si="1292"/>
        <v>78.56602058075552</v>
      </c>
      <c r="CF262" s="50">
        <f t="shared" si="1292"/>
        <v>77.934664754981725</v>
      </c>
      <c r="CG262" s="50">
        <f t="shared" si="1292"/>
        <v>77.880579792027007</v>
      </c>
      <c r="CH262" s="50">
        <f t="shared" si="1292"/>
        <v>78.809072323523594</v>
      </c>
      <c r="CI262" s="50">
        <f t="shared" si="1292"/>
        <v>79.801480926199332</v>
      </c>
      <c r="CJ262" s="50">
        <f t="shared" si="1292"/>
        <v>79.998410785631762</v>
      </c>
      <c r="CK262" s="50">
        <f t="shared" si="1292"/>
        <v>80.559680896310837</v>
      </c>
      <c r="CL262" s="50">
        <f t="shared" si="1292"/>
        <v>80.138781864428722</v>
      </c>
      <c r="CM262" s="50">
        <f t="shared" si="1292"/>
        <v>80.129292073164549</v>
      </c>
      <c r="CN262" s="50" t="str">
        <f t="shared" si="1292"/>
        <v/>
      </c>
      <c r="CO262" s="50" t="str">
        <f t="shared" si="1292"/>
        <v/>
      </c>
      <c r="CP262" s="50" t="str">
        <f t="shared" si="1292"/>
        <v/>
      </c>
      <c r="CQ262" s="50" t="str">
        <f t="shared" si="1292"/>
        <v/>
      </c>
      <c r="CR262" s="50" t="str">
        <f t="shared" si="1292"/>
        <v/>
      </c>
    </row>
    <row r="263" spans="1:96" s="9" customFormat="1" ht="15" x14ac:dyDescent="0.4">
      <c r="A263" s="18" t="s">
        <v>80</v>
      </c>
      <c r="B263" s="19">
        <f>IFERROR(B7/B$29*100,"")</f>
        <v>59.209196844076374</v>
      </c>
      <c r="C263" s="19">
        <f t="shared" si="1291"/>
        <v>57.011625026676469</v>
      </c>
      <c r="D263" s="19">
        <f t="shared" si="1291"/>
        <v>58.584185178083423</v>
      </c>
      <c r="E263" s="19">
        <f t="shared" si="1291"/>
        <v>57.665103276650655</v>
      </c>
      <c r="F263" s="20">
        <f t="shared" si="1291"/>
        <v>58.100005130437815</v>
      </c>
      <c r="G263" s="19">
        <f>IFERROR(G7/G$29*100,"")</f>
        <v>55.002255004500014</v>
      </c>
      <c r="H263" s="19">
        <f t="shared" si="1291"/>
        <v>55.359651602878536</v>
      </c>
      <c r="I263" s="19">
        <f t="shared" si="1291"/>
        <v>56.282737345218067</v>
      </c>
      <c r="J263" s="19">
        <f t="shared" si="1291"/>
        <v>54.71166834632848</v>
      </c>
      <c r="K263" s="20">
        <f t="shared" si="1291"/>
        <v>55.332484120474255</v>
      </c>
      <c r="L263" s="19">
        <f>IFERROR(L7/L$29*100,"")</f>
        <v>53.482015454446049</v>
      </c>
      <c r="M263" s="19">
        <f t="shared" si="1291"/>
        <v>53.930083515393633</v>
      </c>
      <c r="N263" s="19">
        <f t="shared" si="1291"/>
        <v>53.953865316868431</v>
      </c>
      <c r="O263" s="19">
        <f t="shared" si="1291"/>
        <v>53.241740114232591</v>
      </c>
      <c r="P263" s="20">
        <f t="shared" si="1291"/>
        <v>53.649600779072756</v>
      </c>
      <c r="Q263" s="19">
        <f>IFERROR(Q7/Q$29*100,"")</f>
        <v>45.686559844621343</v>
      </c>
      <c r="R263" s="19">
        <f t="shared" si="1291"/>
        <v>57.481415069949115</v>
      </c>
      <c r="S263" s="19">
        <f t="shared" si="1291"/>
        <v>53.16397261674247</v>
      </c>
      <c r="T263" s="19">
        <f t="shared" si="1291"/>
        <v>45.868841368363121</v>
      </c>
      <c r="U263" s="20">
        <f t="shared" si="1291"/>
        <v>50.479789454481647</v>
      </c>
      <c r="V263" s="19">
        <f>IFERROR(V7/V$29*100,"")</f>
        <v>51.317562564921701</v>
      </c>
      <c r="W263" s="19">
        <f t="shared" si="1291"/>
        <v>50.878912329896629</v>
      </c>
      <c r="X263" s="19">
        <f t="shared" si="1291"/>
        <v>49.649393094536968</v>
      </c>
      <c r="Y263" s="19">
        <f t="shared" si="1291"/>
        <v>48.986641780607684</v>
      </c>
      <c r="Z263" s="20">
        <f t="shared" si="1291"/>
        <v>50.175365204098256</v>
      </c>
      <c r="AA263" s="19">
        <f>IFERROR(AA7/AA$29*100,"")</f>
        <v>48.613197835700404</v>
      </c>
      <c r="AB263" s="19">
        <f t="shared" si="1291"/>
        <v>49.957446899263417</v>
      </c>
      <c r="AC263" s="19">
        <f t="shared" si="1291"/>
        <v>52.653135765022199</v>
      </c>
      <c r="AD263" s="19">
        <f t="shared" si="1291"/>
        <v>51.995565225459409</v>
      </c>
      <c r="AE263" s="20">
        <f t="shared" si="1291"/>
        <v>50.901985386137426</v>
      </c>
      <c r="AF263" s="19">
        <f>IFERROR(AF7/AF$29*100,"")</f>
        <v>50.06543948368585</v>
      </c>
      <c r="AG263" s="19">
        <f t="shared" si="1291"/>
        <v>50.634297161875743</v>
      </c>
      <c r="AH263" s="19">
        <f t="shared" si="1291"/>
        <v>51.277131287005062</v>
      </c>
      <c r="AI263" s="19">
        <f t="shared" si="1291"/>
        <v>53.73105476808702</v>
      </c>
      <c r="AJ263" s="20">
        <f t="shared" si="1291"/>
        <v>51.480426996194296</v>
      </c>
      <c r="AK263" s="19">
        <f>IFERROR(AK7/AK$29*100,"")</f>
        <v>52.643158447739083</v>
      </c>
      <c r="AL263" s="19">
        <f t="shared" si="1291"/>
        <v>53.949608177017538</v>
      </c>
      <c r="AM263" s="19">
        <f t="shared" si="1291"/>
        <v>54.825585235591525</v>
      </c>
      <c r="AN263" s="19">
        <f t="shared" si="1291"/>
        <v>57.168009545389822</v>
      </c>
      <c r="AO263" s="20">
        <f t="shared" si="1291"/>
        <v>54.726668687736776</v>
      </c>
      <c r="AP263" s="19">
        <f>IFERROR(AP7/AP$29*100,"")</f>
        <v>56.007375515977529</v>
      </c>
      <c r="AQ263" s="19">
        <f t="shared" si="1291"/>
        <v>54.883164378113655</v>
      </c>
      <c r="AR263" s="19">
        <f t="shared" si="1291"/>
        <v>54.717877508655313</v>
      </c>
      <c r="AS263" s="19">
        <f t="shared" si="1291"/>
        <v>55.093157497259817</v>
      </c>
      <c r="AT263" s="20">
        <f t="shared" si="1291"/>
        <v>55.161308339947013</v>
      </c>
      <c r="AU263" s="19">
        <f>IFERROR(AU7/AU$29*100,"")</f>
        <v>53.823898857820538</v>
      </c>
      <c r="AV263" s="19">
        <f t="shared" si="1291"/>
        <v>54.500446489427368</v>
      </c>
      <c r="AW263" s="19">
        <f t="shared" si="1291"/>
        <v>55.956021577662831</v>
      </c>
      <c r="AX263" s="19">
        <f t="shared" si="1291"/>
        <v>56.938291756721505</v>
      </c>
      <c r="AY263" s="20">
        <f t="shared" si="1291"/>
        <v>55.34884268070337</v>
      </c>
      <c r="AZ263" s="19">
        <f>IFERROR(AZ7/AZ$29*100,"")</f>
        <v>53.555027201583549</v>
      </c>
      <c r="BA263" s="19">
        <f t="shared" si="1291"/>
        <v>53.867715624005577</v>
      </c>
      <c r="BB263" s="19">
        <f t="shared" si="1291"/>
        <v>54.172868094780156</v>
      </c>
      <c r="BC263" s="19">
        <f t="shared" si="1291"/>
        <v>56.185944561156944</v>
      </c>
      <c r="BD263" s="20">
        <f t="shared" si="1291"/>
        <v>54.479449365753695</v>
      </c>
      <c r="BE263" s="19">
        <f>IFERROR(BE7/BE$29*100,"")</f>
        <v>54.694871808399093</v>
      </c>
      <c r="BF263" s="19">
        <f t="shared" si="1291"/>
        <v>55.271256464823622</v>
      </c>
      <c r="BG263" s="19">
        <f t="shared" si="1291"/>
        <v>58.3119358247015</v>
      </c>
      <c r="BH263" s="19">
        <f t="shared" si="1291"/>
        <v>56.636262752673652</v>
      </c>
      <c r="BI263" s="20">
        <f t="shared" si="1291"/>
        <v>56.260039483739966</v>
      </c>
      <c r="BJ263" s="19">
        <f>IFERROR(BJ7/BJ$29*100,"")</f>
        <v>55.460206091031324</v>
      </c>
      <c r="BK263" s="19">
        <f t="shared" si="1291"/>
        <v>57.707799067326171</v>
      </c>
      <c r="BL263" s="19">
        <f t="shared" si="1291"/>
        <v>59.905445183122076</v>
      </c>
      <c r="BM263" s="19">
        <f t="shared" si="1291"/>
        <v>59.766486369411211</v>
      </c>
      <c r="BN263" s="20">
        <f t="shared" si="1292"/>
        <v>58.211091639384129</v>
      </c>
      <c r="BO263" s="19">
        <f>IFERROR(BO7/BO$29*100,"")</f>
        <v>59.987503338857437</v>
      </c>
      <c r="BP263" s="19">
        <f t="shared" si="1292"/>
        <v>57.851236762285566</v>
      </c>
      <c r="BQ263" s="19">
        <f t="shared" si="1292"/>
        <v>55.37736763641503</v>
      </c>
      <c r="BR263" s="19">
        <f t="shared" si="1292"/>
        <v>58.672517146883919</v>
      </c>
      <c r="BS263" s="20">
        <f t="shared" si="1292"/>
        <v>57.950371994066828</v>
      </c>
      <c r="BT263" s="19">
        <f>IFERROR(BT7/BT$29*100,"")</f>
        <v>61.219410040913743</v>
      </c>
      <c r="BU263" s="19">
        <f t="shared" si="1292"/>
        <v>57.701123089978637</v>
      </c>
      <c r="BV263" s="19">
        <f t="shared" si="1292"/>
        <v>56.962353373882834</v>
      </c>
      <c r="BW263" s="19">
        <f t="shared" si="1292"/>
        <v>56.248977928528298</v>
      </c>
      <c r="BX263" s="20">
        <f t="shared" si="1292"/>
        <v>57.938950212134223</v>
      </c>
      <c r="BY263" s="19">
        <f>IFERROR(BY7/BY$29*100,"")</f>
        <v>58.517748097524994</v>
      </c>
      <c r="BZ263" s="19">
        <f t="shared" si="1292"/>
        <v>56.221712580280034</v>
      </c>
      <c r="CA263" s="19">
        <f t="shared" si="1292"/>
        <v>56.718438433584652</v>
      </c>
      <c r="CB263" s="19">
        <f t="shared" si="1292"/>
        <v>57.10247020164109</v>
      </c>
      <c r="CC263" s="20">
        <f t="shared" si="1292"/>
        <v>57.117017724590468</v>
      </c>
      <c r="CD263" s="19">
        <f>IFERROR(CD7/CD$29*100,"")</f>
        <v>58.427828696041161</v>
      </c>
      <c r="CE263" s="19">
        <f t="shared" si="1292"/>
        <v>56.851441652216195</v>
      </c>
      <c r="CF263" s="19">
        <f t="shared" si="1292"/>
        <v>56.230888030682024</v>
      </c>
      <c r="CG263" s="19">
        <f t="shared" si="1292"/>
        <v>56.080695578400622</v>
      </c>
      <c r="CH263" s="20">
        <f t="shared" si="1292"/>
        <v>56.868277664197173</v>
      </c>
      <c r="CI263" s="19">
        <f>IFERROR(CI7/CI$29*100,"")</f>
        <v>58.135423362808503</v>
      </c>
      <c r="CJ263" s="19">
        <f t="shared" si="1292"/>
        <v>58.125172123943983</v>
      </c>
      <c r="CK263" s="19">
        <f t="shared" si="1292"/>
        <v>58.892360085680664</v>
      </c>
      <c r="CL263" s="19">
        <f t="shared" si="1292"/>
        <v>58.491601451252137</v>
      </c>
      <c r="CM263" s="20">
        <f t="shared" si="1292"/>
        <v>58.416662817593377</v>
      </c>
      <c r="CN263" s="19" t="str">
        <f>IFERROR(CN7/CN$29*100,"")</f>
        <v/>
      </c>
      <c r="CO263" s="19" t="str">
        <f t="shared" si="1292"/>
        <v/>
      </c>
      <c r="CP263" s="19" t="str">
        <f t="shared" si="1292"/>
        <v/>
      </c>
      <c r="CQ263" s="19" t="str">
        <f t="shared" si="1292"/>
        <v/>
      </c>
      <c r="CR263" s="20" t="str">
        <f t="shared" si="1292"/>
        <v/>
      </c>
    </row>
    <row r="264" spans="1:96" s="9" customFormat="1" ht="15" x14ac:dyDescent="0.4">
      <c r="A264" s="18" t="s">
        <v>81</v>
      </c>
      <c r="B264" s="19">
        <f t="shared" ref="B264:Q277" si="1293">IFERROR(B8/B$29*100,"")</f>
        <v>1.9837056277904612</v>
      </c>
      <c r="C264" s="19">
        <f t="shared" si="1293"/>
        <v>2.1508112710477318</v>
      </c>
      <c r="D264" s="19">
        <f t="shared" si="1293"/>
        <v>2.528864414814104</v>
      </c>
      <c r="E264" s="19">
        <f t="shared" si="1293"/>
        <v>3.0201337884908082</v>
      </c>
      <c r="F264" s="20">
        <f t="shared" si="1291"/>
        <v>2.4393329561802251</v>
      </c>
      <c r="G264" s="19">
        <f t="shared" si="1291"/>
        <v>2.7051606957643215</v>
      </c>
      <c r="H264" s="19">
        <f t="shared" si="1291"/>
        <v>3.0653949067467359</v>
      </c>
      <c r="I264" s="19">
        <f t="shared" si="1291"/>
        <v>3.8835996724686308</v>
      </c>
      <c r="J264" s="19">
        <f t="shared" si="1291"/>
        <v>3.9995906208958516</v>
      </c>
      <c r="K264" s="20">
        <f t="shared" si="1291"/>
        <v>3.436098549139925</v>
      </c>
      <c r="L264" s="19">
        <f t="shared" si="1291"/>
        <v>3.0540420965715165</v>
      </c>
      <c r="M264" s="19">
        <f t="shared" si="1291"/>
        <v>3.1124552791928606</v>
      </c>
      <c r="N264" s="19">
        <f t="shared" si="1291"/>
        <v>3.535302912098591</v>
      </c>
      <c r="O264" s="19">
        <f t="shared" si="1291"/>
        <v>3.6754733816693372</v>
      </c>
      <c r="P264" s="20">
        <f t="shared" si="1291"/>
        <v>3.3548166646763802</v>
      </c>
      <c r="Q264" s="19">
        <f t="shared" si="1291"/>
        <v>2.7189733369670863</v>
      </c>
      <c r="R264" s="19">
        <f t="shared" si="1291"/>
        <v>2.997591220912605</v>
      </c>
      <c r="S264" s="19">
        <f t="shared" si="1291"/>
        <v>3.3002625031595887</v>
      </c>
      <c r="T264" s="19">
        <f t="shared" si="1291"/>
        <v>3.6140619521419808</v>
      </c>
      <c r="U264" s="20">
        <f t="shared" si="1291"/>
        <v>3.1809387215361933</v>
      </c>
      <c r="V264" s="19">
        <f t="shared" si="1291"/>
        <v>2.5616530612791526</v>
      </c>
      <c r="W264" s="19">
        <f t="shared" si="1291"/>
        <v>2.8676392707571257</v>
      </c>
      <c r="X264" s="19">
        <f t="shared" si="1291"/>
        <v>3.3136453924401934</v>
      </c>
      <c r="Y264" s="19">
        <f t="shared" si="1291"/>
        <v>3.4883435628528878</v>
      </c>
      <c r="Z264" s="20">
        <f t="shared" si="1291"/>
        <v>3.0708697915853405</v>
      </c>
      <c r="AA264" s="19">
        <f t="shared" si="1291"/>
        <v>3.1227435575621141</v>
      </c>
      <c r="AB264" s="19">
        <f t="shared" si="1291"/>
        <v>3.0306599632903044</v>
      </c>
      <c r="AC264" s="19">
        <f t="shared" si="1291"/>
        <v>3.1414940058602263</v>
      </c>
      <c r="AD264" s="19">
        <f t="shared" si="1291"/>
        <v>3.1886732662566022</v>
      </c>
      <c r="AE264" s="20">
        <f t="shared" si="1291"/>
        <v>3.1234786759362101</v>
      </c>
      <c r="AF264" s="19">
        <f t="shared" si="1291"/>
        <v>2.9815728052095567</v>
      </c>
      <c r="AG264" s="19">
        <f t="shared" si="1291"/>
        <v>3.1214805158020082</v>
      </c>
      <c r="AH264" s="19">
        <f t="shared" si="1291"/>
        <v>3.1932118102706339</v>
      </c>
      <c r="AI264" s="19">
        <f t="shared" si="1291"/>
        <v>3.3791847094629603</v>
      </c>
      <c r="AJ264" s="20">
        <f t="shared" si="1291"/>
        <v>3.1745863899304498</v>
      </c>
      <c r="AK264" s="19">
        <f t="shared" si="1291"/>
        <v>2.9448084217015058</v>
      </c>
      <c r="AL264" s="19">
        <f t="shared" si="1291"/>
        <v>3.0154083944172223</v>
      </c>
      <c r="AM264" s="19">
        <f t="shared" si="1291"/>
        <v>3.1485272893025704</v>
      </c>
      <c r="AN264" s="19">
        <f t="shared" si="1291"/>
        <v>3.2964996362552581</v>
      </c>
      <c r="AO264" s="20">
        <f t="shared" si="1291"/>
        <v>3.1078688105551713</v>
      </c>
      <c r="AP264" s="19">
        <f t="shared" si="1291"/>
        <v>3.1523455348148528</v>
      </c>
      <c r="AQ264" s="19">
        <f t="shared" si="1291"/>
        <v>3.124353404394784</v>
      </c>
      <c r="AR264" s="19">
        <f t="shared" si="1291"/>
        <v>3.176927955573059</v>
      </c>
      <c r="AS264" s="19">
        <f t="shared" si="1291"/>
        <v>3.3288719192053806</v>
      </c>
      <c r="AT264" s="20">
        <f t="shared" si="1291"/>
        <v>3.1981836596191746</v>
      </c>
      <c r="AU264" s="19">
        <f t="shared" si="1291"/>
        <v>3.0892980072039324</v>
      </c>
      <c r="AV264" s="19">
        <f t="shared" si="1291"/>
        <v>3.0946837932435556</v>
      </c>
      <c r="AW264" s="19">
        <f t="shared" si="1291"/>
        <v>3.0960636161296815</v>
      </c>
      <c r="AX264" s="19">
        <f t="shared" si="1291"/>
        <v>3.172033899117281</v>
      </c>
      <c r="AY264" s="20">
        <f t="shared" si="1291"/>
        <v>3.1140626509596978</v>
      </c>
      <c r="AZ264" s="19">
        <f t="shared" si="1291"/>
        <v>3.0651432518953108</v>
      </c>
      <c r="BA264" s="19">
        <f t="shared" si="1291"/>
        <v>3.0987595543654369</v>
      </c>
      <c r="BB264" s="19">
        <f t="shared" si="1291"/>
        <v>3.1389424950867344</v>
      </c>
      <c r="BC264" s="19">
        <f t="shared" si="1291"/>
        <v>3.2743240005316734</v>
      </c>
      <c r="BD264" s="20">
        <f t="shared" si="1291"/>
        <v>3.1470880341904794</v>
      </c>
      <c r="BE264" s="19">
        <f t="shared" si="1291"/>
        <v>3.1495875716984276</v>
      </c>
      <c r="BF264" s="19">
        <f t="shared" si="1291"/>
        <v>3.3702003823240596</v>
      </c>
      <c r="BG264" s="19">
        <f t="shared" si="1291"/>
        <v>3.2743715247088536</v>
      </c>
      <c r="BH264" s="19">
        <f t="shared" si="1291"/>
        <v>3.40528274327878</v>
      </c>
      <c r="BI264" s="20">
        <f t="shared" si="1291"/>
        <v>3.3022958836295393</v>
      </c>
      <c r="BJ264" s="19">
        <f t="shared" si="1291"/>
        <v>3.2166309916343971</v>
      </c>
      <c r="BK264" s="19">
        <f t="shared" si="1291"/>
        <v>2.7205297753047897</v>
      </c>
      <c r="BL264" s="19">
        <f t="shared" si="1291"/>
        <v>2.4806087426089194</v>
      </c>
      <c r="BM264" s="19">
        <f t="shared" si="1291"/>
        <v>2.5213158601630155</v>
      </c>
      <c r="BN264" s="20">
        <f t="shared" si="1292"/>
        <v>2.7348853464302136</v>
      </c>
      <c r="BO264" s="19">
        <f t="shared" si="1292"/>
        <v>2.3577289666134238</v>
      </c>
      <c r="BP264" s="19">
        <f t="shared" si="1292"/>
        <v>2.4638522617435372</v>
      </c>
      <c r="BQ264" s="19">
        <f t="shared" si="1292"/>
        <v>2.3896864206841508</v>
      </c>
      <c r="BR264" s="19">
        <f t="shared" si="1292"/>
        <v>2.3826255050189085</v>
      </c>
      <c r="BS264" s="20">
        <f t="shared" si="1292"/>
        <v>2.3987749674782441</v>
      </c>
      <c r="BT264" s="19">
        <f t="shared" si="1292"/>
        <v>2.3121734464265016</v>
      </c>
      <c r="BU264" s="19">
        <f t="shared" si="1292"/>
        <v>2.400244957901303</v>
      </c>
      <c r="BV264" s="19">
        <f t="shared" si="1292"/>
        <v>2.3896074912020464</v>
      </c>
      <c r="BW264" s="19">
        <f t="shared" si="1292"/>
        <v>2.3752738282238091</v>
      </c>
      <c r="BX264" s="20">
        <f t="shared" si="1292"/>
        <v>2.3705615862209877</v>
      </c>
      <c r="BY264" s="19">
        <f t="shared" si="1292"/>
        <v>2.3674528118607916</v>
      </c>
      <c r="BZ264" s="19">
        <f t="shared" si="1292"/>
        <v>2.2470270245308135</v>
      </c>
      <c r="CA264" s="19">
        <f t="shared" si="1292"/>
        <v>2.2435609184860703</v>
      </c>
      <c r="CB264" s="19">
        <f t="shared" si="1292"/>
        <v>2.2576270472874169</v>
      </c>
      <c r="CC264" s="20">
        <f t="shared" si="1292"/>
        <v>2.2773088867106224</v>
      </c>
      <c r="CD264" s="19">
        <f t="shared" si="1292"/>
        <v>2.3161930024029891</v>
      </c>
      <c r="CE264" s="19">
        <f t="shared" si="1292"/>
        <v>2.2251003085701142</v>
      </c>
      <c r="CF264" s="19">
        <f t="shared" si="1292"/>
        <v>2.195306535429062</v>
      </c>
      <c r="CG264" s="19">
        <f t="shared" si="1292"/>
        <v>2.2385085357773864</v>
      </c>
      <c r="CH264" s="20">
        <f t="shared" si="1292"/>
        <v>2.2426556629978753</v>
      </c>
      <c r="CI264" s="19">
        <f t="shared" si="1292"/>
        <v>2.2761213893174292</v>
      </c>
      <c r="CJ264" s="19">
        <f t="shared" si="1292"/>
        <v>2.2013977690079423</v>
      </c>
      <c r="CK264" s="19">
        <f t="shared" si="1292"/>
        <v>2.1545334123650077</v>
      </c>
      <c r="CL264" s="19">
        <f t="shared" si="1292"/>
        <v>2.2069042995365473</v>
      </c>
      <c r="CM264" s="20">
        <f t="shared" si="1292"/>
        <v>2.2089379842775774</v>
      </c>
      <c r="CN264" s="19" t="str">
        <f t="shared" si="1292"/>
        <v/>
      </c>
      <c r="CO264" s="19" t="str">
        <f t="shared" si="1292"/>
        <v/>
      </c>
      <c r="CP264" s="19" t="str">
        <f t="shared" si="1292"/>
        <v/>
      </c>
      <c r="CQ264" s="19" t="str">
        <f t="shared" si="1292"/>
        <v/>
      </c>
      <c r="CR264" s="20" t="str">
        <f t="shared" si="1292"/>
        <v/>
      </c>
    </row>
    <row r="265" spans="1:96" s="9" customFormat="1" ht="15" x14ac:dyDescent="0.4">
      <c r="A265" s="18" t="s">
        <v>82</v>
      </c>
      <c r="B265" s="19">
        <f t="shared" si="1293"/>
        <v>6.9819031794715478</v>
      </c>
      <c r="C265" s="19">
        <f t="shared" si="1293"/>
        <v>6.9292288045280843</v>
      </c>
      <c r="D265" s="19">
        <f t="shared" si="1293"/>
        <v>7.2115032181817158</v>
      </c>
      <c r="E265" s="19">
        <f t="shared" si="1293"/>
        <v>7.1478498157712096</v>
      </c>
      <c r="F265" s="20">
        <f t="shared" si="1291"/>
        <v>7.071423270263935</v>
      </c>
      <c r="G265" s="19">
        <f t="shared" si="1291"/>
        <v>6.5668614522539039</v>
      </c>
      <c r="H265" s="19">
        <f t="shared" si="1291"/>
        <v>6.5023952265464562</v>
      </c>
      <c r="I265" s="19">
        <f t="shared" si="1291"/>
        <v>6.5723689521102608</v>
      </c>
      <c r="J265" s="19">
        <f t="shared" si="1291"/>
        <v>6.315632227411867</v>
      </c>
      <c r="K265" s="20">
        <f t="shared" si="1291"/>
        <v>6.48513530669792</v>
      </c>
      <c r="L265" s="19">
        <f t="shared" si="1291"/>
        <v>5.9857672889840563</v>
      </c>
      <c r="M265" s="19">
        <f t="shared" si="1291"/>
        <v>5.7150077391008098</v>
      </c>
      <c r="N265" s="19">
        <f t="shared" si="1291"/>
        <v>5.8898444963874343</v>
      </c>
      <c r="O265" s="19">
        <f t="shared" si="1291"/>
        <v>6.0001477161500407</v>
      </c>
      <c r="P265" s="20">
        <f t="shared" si="1291"/>
        <v>5.8982424383804215</v>
      </c>
      <c r="Q265" s="19">
        <f t="shared" si="1291"/>
        <v>5.4309770295704682</v>
      </c>
      <c r="R265" s="19">
        <f t="shared" si="1291"/>
        <v>5.4778277946227254</v>
      </c>
      <c r="S265" s="19">
        <f t="shared" si="1291"/>
        <v>5.6546484028039306</v>
      </c>
      <c r="T265" s="19">
        <f t="shared" si="1291"/>
        <v>5.5617931610420817</v>
      </c>
      <c r="U265" s="20">
        <f t="shared" si="1291"/>
        <v>5.5355729385209429</v>
      </c>
      <c r="V265" s="19">
        <f t="shared" si="1291"/>
        <v>4.8719846515982201</v>
      </c>
      <c r="W265" s="19">
        <f t="shared" si="1291"/>
        <v>5.2864644533498764</v>
      </c>
      <c r="X265" s="19">
        <f t="shared" si="1291"/>
        <v>5.8789197532822257</v>
      </c>
      <c r="Y265" s="19">
        <f t="shared" si="1291"/>
        <v>5.9970731187951571</v>
      </c>
      <c r="Z265" s="20">
        <f t="shared" si="1291"/>
        <v>5.5247266577102465</v>
      </c>
      <c r="AA265" s="19">
        <f t="shared" si="1291"/>
        <v>5.7549252870252969</v>
      </c>
      <c r="AB265" s="19">
        <f t="shared" si="1291"/>
        <v>5.6601183515450213</v>
      </c>
      <c r="AC265" s="19">
        <f t="shared" si="1291"/>
        <v>5.6519213452228412</v>
      </c>
      <c r="AD265" s="19">
        <f t="shared" si="1291"/>
        <v>5.5222343288091125</v>
      </c>
      <c r="AE265" s="20">
        <f t="shared" si="1291"/>
        <v>5.641586386097611</v>
      </c>
      <c r="AF265" s="19">
        <f t="shared" si="1291"/>
        <v>5.2402383614575596</v>
      </c>
      <c r="AG265" s="19">
        <f t="shared" si="1291"/>
        <v>5.376848730607013</v>
      </c>
      <c r="AH265" s="19">
        <f t="shared" si="1291"/>
        <v>5.5617606404138797</v>
      </c>
      <c r="AI265" s="19">
        <f t="shared" si="1291"/>
        <v>5.7063814189527449</v>
      </c>
      <c r="AJ265" s="20">
        <f t="shared" si="1291"/>
        <v>5.4785237902366735</v>
      </c>
      <c r="AK265" s="19">
        <f t="shared" si="1291"/>
        <v>5.4154176686569349</v>
      </c>
      <c r="AL265" s="19">
        <f t="shared" si="1291"/>
        <v>5.4333634475067285</v>
      </c>
      <c r="AM265" s="19">
        <f t="shared" si="1291"/>
        <v>5.4225373712508427</v>
      </c>
      <c r="AN265" s="19">
        <f t="shared" si="1291"/>
        <v>5.5061599925082456</v>
      </c>
      <c r="AO265" s="20">
        <f t="shared" si="1291"/>
        <v>5.4458689420454132</v>
      </c>
      <c r="AP265" s="19">
        <f t="shared" si="1291"/>
        <v>5.3880213944758522</v>
      </c>
      <c r="AQ265" s="19">
        <f t="shared" si="1291"/>
        <v>5.2516584779992241</v>
      </c>
      <c r="AR265" s="19">
        <f t="shared" si="1291"/>
        <v>5.2584171363637324</v>
      </c>
      <c r="AS265" s="19">
        <f t="shared" si="1291"/>
        <v>5.3704279431738566</v>
      </c>
      <c r="AT265" s="20">
        <f t="shared" si="1291"/>
        <v>5.3167859523059287</v>
      </c>
      <c r="AU265" s="19">
        <f t="shared" si="1291"/>
        <v>5.1938185143306743</v>
      </c>
      <c r="AV265" s="19">
        <f t="shared" si="1291"/>
        <v>5.1613922240844321</v>
      </c>
      <c r="AW265" s="19">
        <f t="shared" si="1291"/>
        <v>5.137256600208655</v>
      </c>
      <c r="AX265" s="19">
        <f t="shared" si="1291"/>
        <v>5.1742828296057493</v>
      </c>
      <c r="AY265" s="20">
        <f t="shared" si="1291"/>
        <v>5.1663654156199845</v>
      </c>
      <c r="AZ265" s="19">
        <f t="shared" si="1291"/>
        <v>4.9266129831111218</v>
      </c>
      <c r="BA265" s="19">
        <f t="shared" si="1291"/>
        <v>4.9317990380364165</v>
      </c>
      <c r="BB265" s="19">
        <f t="shared" si="1291"/>
        <v>4.8080155431779916</v>
      </c>
      <c r="BC265" s="19">
        <f t="shared" si="1291"/>
        <v>4.8824400714588876</v>
      </c>
      <c r="BD265" s="20">
        <f t="shared" si="1291"/>
        <v>4.8860291850580486</v>
      </c>
      <c r="BE265" s="19">
        <f t="shared" si="1291"/>
        <v>4.7746330172136231</v>
      </c>
      <c r="BF265" s="19">
        <f t="shared" si="1291"/>
        <v>4.759366648839884</v>
      </c>
      <c r="BG265" s="19">
        <f t="shared" si="1291"/>
        <v>4.7578708119976403</v>
      </c>
      <c r="BH265" s="19">
        <f t="shared" si="1291"/>
        <v>4.7644310578049831</v>
      </c>
      <c r="BI265" s="20">
        <f t="shared" si="1291"/>
        <v>4.7639459313964689</v>
      </c>
      <c r="BJ265" s="19">
        <f t="shared" si="1291"/>
        <v>4.7700274637557021</v>
      </c>
      <c r="BK265" s="19">
        <f t="shared" si="1291"/>
        <v>4.6821104966935838</v>
      </c>
      <c r="BL265" s="19">
        <f t="shared" si="1291"/>
        <v>4.6963514361292837</v>
      </c>
      <c r="BM265" s="19">
        <f t="shared" si="1291"/>
        <v>4.877777752328603</v>
      </c>
      <c r="BN265" s="20">
        <f t="shared" si="1292"/>
        <v>4.7569067275861014</v>
      </c>
      <c r="BO265" s="19">
        <f t="shared" si="1292"/>
        <v>4.9901102282935428</v>
      </c>
      <c r="BP265" s="19">
        <f t="shared" si="1292"/>
        <v>4.8033880026809612</v>
      </c>
      <c r="BQ265" s="19">
        <f t="shared" si="1292"/>
        <v>4.7566287505238201</v>
      </c>
      <c r="BR265" s="19">
        <f t="shared" si="1292"/>
        <v>4.701500024534524</v>
      </c>
      <c r="BS265" s="20">
        <f t="shared" si="1292"/>
        <v>4.8093938312705227</v>
      </c>
      <c r="BT265" s="19">
        <f t="shared" si="1292"/>
        <v>4.7185766720769706</v>
      </c>
      <c r="BU265" s="19">
        <f t="shared" si="1292"/>
        <v>4.6107312529840554</v>
      </c>
      <c r="BV265" s="19">
        <f t="shared" si="1292"/>
        <v>4.6743154548004906</v>
      </c>
      <c r="BW265" s="19">
        <f t="shared" si="1292"/>
        <v>4.6007538498890499</v>
      </c>
      <c r="BX265" s="20">
        <f t="shared" si="1292"/>
        <v>4.6492042410579328</v>
      </c>
      <c r="BY265" s="19">
        <f t="shared" si="1292"/>
        <v>4.663195538464123</v>
      </c>
      <c r="BZ265" s="19">
        <f t="shared" si="1292"/>
        <v>4.3860014308047903</v>
      </c>
      <c r="CA265" s="19">
        <f t="shared" si="1292"/>
        <v>4.4981604184969539</v>
      </c>
      <c r="CB265" s="19">
        <f t="shared" si="1292"/>
        <v>4.4802600126113079</v>
      </c>
      <c r="CC265" s="20">
        <f t="shared" si="1292"/>
        <v>4.5041445190053402</v>
      </c>
      <c r="CD265" s="19">
        <f t="shared" si="1292"/>
        <v>4.5567046628040169</v>
      </c>
      <c r="CE265" s="19">
        <f t="shared" si="1292"/>
        <v>4.3219043655539968</v>
      </c>
      <c r="CF265" s="19">
        <f t="shared" si="1292"/>
        <v>4.3023350912619929</v>
      </c>
      <c r="CG265" s="19">
        <f t="shared" si="1292"/>
        <v>4.2788787235783126</v>
      </c>
      <c r="CH265" s="20">
        <f t="shared" si="1292"/>
        <v>4.3614987384174695</v>
      </c>
      <c r="CI265" s="19">
        <f t="shared" si="1292"/>
        <v>3.9283085599038472</v>
      </c>
      <c r="CJ265" s="19">
        <f t="shared" si="1292"/>
        <v>4.21685361282168</v>
      </c>
      <c r="CK265" s="19">
        <f t="shared" si="1292"/>
        <v>4.1851490887339473</v>
      </c>
      <c r="CL265" s="19">
        <f t="shared" si="1292"/>
        <v>4.1191509856929418</v>
      </c>
      <c r="CM265" s="20">
        <f t="shared" si="1292"/>
        <v>4.1141866823224822</v>
      </c>
      <c r="CN265" s="19" t="str">
        <f t="shared" si="1292"/>
        <v/>
      </c>
      <c r="CO265" s="19" t="str">
        <f t="shared" si="1292"/>
        <v/>
      </c>
      <c r="CP265" s="19" t="str">
        <f t="shared" si="1292"/>
        <v/>
      </c>
      <c r="CQ265" s="19" t="str">
        <f t="shared" si="1292"/>
        <v/>
      </c>
      <c r="CR265" s="20" t="str">
        <f t="shared" si="1292"/>
        <v/>
      </c>
    </row>
    <row r="266" spans="1:96" s="9" customFormat="1" ht="15" x14ac:dyDescent="0.4">
      <c r="A266" s="18" t="s">
        <v>83</v>
      </c>
      <c r="B266" s="19">
        <f t="shared" si="1293"/>
        <v>5.7710018632783653</v>
      </c>
      <c r="C266" s="19">
        <f t="shared" si="1293"/>
        <v>5.9559746901190049</v>
      </c>
      <c r="D266" s="19">
        <f t="shared" si="1293"/>
        <v>6.3702608782816927</v>
      </c>
      <c r="E266" s="19">
        <f t="shared" si="1293"/>
        <v>6.1782107260403656</v>
      </c>
      <c r="F266" s="20">
        <f t="shared" si="1291"/>
        <v>6.0767998714639493</v>
      </c>
      <c r="G266" s="19">
        <f t="shared" si="1291"/>
        <v>5.350688031159839</v>
      </c>
      <c r="H266" s="19">
        <f t="shared" si="1291"/>
        <v>5.4098303318536116</v>
      </c>
      <c r="I266" s="19">
        <f t="shared" si="1291"/>
        <v>5.9884027392514847</v>
      </c>
      <c r="J266" s="19">
        <f t="shared" si="1291"/>
        <v>5.8964235306877608</v>
      </c>
      <c r="K266" s="20">
        <f t="shared" si="1291"/>
        <v>5.6717270117064178</v>
      </c>
      <c r="L266" s="19">
        <f t="shared" si="1291"/>
        <v>5.0844704712670836</v>
      </c>
      <c r="M266" s="19">
        <f t="shared" si="1291"/>
        <v>5.1912331289592784</v>
      </c>
      <c r="N266" s="19">
        <f t="shared" si="1291"/>
        <v>5.6701124084385217</v>
      </c>
      <c r="O266" s="19">
        <f t="shared" si="1291"/>
        <v>5.5589563086699805</v>
      </c>
      <c r="P266" s="20">
        <f t="shared" si="1291"/>
        <v>5.3850671478618226</v>
      </c>
      <c r="Q266" s="19">
        <f t="shared" si="1291"/>
        <v>4.804727985557796</v>
      </c>
      <c r="R266" s="19">
        <f t="shared" si="1291"/>
        <v>5.0448908935111545</v>
      </c>
      <c r="S266" s="19">
        <f t="shared" si="1291"/>
        <v>5.4220127324657819</v>
      </c>
      <c r="T266" s="19">
        <f t="shared" si="1291"/>
        <v>5.3483641268980744</v>
      </c>
      <c r="U266" s="20">
        <f t="shared" si="1291"/>
        <v>5.1701241646416891</v>
      </c>
      <c r="V266" s="19">
        <f t="shared" si="1291"/>
        <v>4.496881083170523</v>
      </c>
      <c r="W266" s="19">
        <f t="shared" si="1291"/>
        <v>4.7887184124013329</v>
      </c>
      <c r="X266" s="19">
        <f t="shared" si="1291"/>
        <v>5.4478846487834813</v>
      </c>
      <c r="Y266" s="19">
        <f t="shared" si="1291"/>
        <v>5.4821940706818104</v>
      </c>
      <c r="Z266" s="20">
        <f t="shared" ref="Z266:CC266" si="1294">IFERROR(Z10/Z$29*100,"")</f>
        <v>5.0684983180513532</v>
      </c>
      <c r="AA266" s="19">
        <f t="shared" si="1294"/>
        <v>5.1324267487244928</v>
      </c>
      <c r="AB266" s="19">
        <f t="shared" si="1294"/>
        <v>5.0321020174898434</v>
      </c>
      <c r="AC266" s="19">
        <f t="shared" si="1294"/>
        <v>5.2123113629925717</v>
      </c>
      <c r="AD266" s="19">
        <f t="shared" si="1294"/>
        <v>5.1390950231501691</v>
      </c>
      <c r="AE266" s="20">
        <f t="shared" si="1294"/>
        <v>5.1304522137127035</v>
      </c>
      <c r="AF266" s="19">
        <f t="shared" si="1294"/>
        <v>5.210301397125261</v>
      </c>
      <c r="AG266" s="19">
        <f t="shared" si="1294"/>
        <v>5.2183836848673355</v>
      </c>
      <c r="AH266" s="19">
        <f t="shared" si="1294"/>
        <v>5.2587602311120234</v>
      </c>
      <c r="AI266" s="19">
        <f t="shared" si="1294"/>
        <v>5.3955079441234242</v>
      </c>
      <c r="AJ266" s="20">
        <f t="shared" si="1294"/>
        <v>5.2734979709949252</v>
      </c>
      <c r="AK266" s="19">
        <f t="shared" si="1294"/>
        <v>5.2694837006614765</v>
      </c>
      <c r="AL266" s="19">
        <f t="shared" si="1294"/>
        <v>5.3337557171268157</v>
      </c>
      <c r="AM266" s="19">
        <f t="shared" si="1294"/>
        <v>5.3845427471435094</v>
      </c>
      <c r="AN266" s="19">
        <f t="shared" si="1294"/>
        <v>5.4304180438863101</v>
      </c>
      <c r="AO266" s="20">
        <f t="shared" si="1294"/>
        <v>5.3574501030234805</v>
      </c>
      <c r="AP266" s="19">
        <f t="shared" si="1294"/>
        <v>5.2645433789168843</v>
      </c>
      <c r="AQ266" s="19">
        <f t="shared" si="1294"/>
        <v>5.1238885489591421</v>
      </c>
      <c r="AR266" s="19">
        <f t="shared" si="1294"/>
        <v>5.1003234321236217</v>
      </c>
      <c r="AS266" s="19">
        <f t="shared" si="1294"/>
        <v>5.1528796349381416</v>
      </c>
      <c r="AT266" s="20">
        <f t="shared" si="1294"/>
        <v>5.1586717761699719</v>
      </c>
      <c r="AU266" s="19">
        <f t="shared" si="1294"/>
        <v>5.1658484512644547</v>
      </c>
      <c r="AV266" s="19">
        <f t="shared" si="1294"/>
        <v>5.3236773457762991</v>
      </c>
      <c r="AW266" s="19">
        <f t="shared" si="1294"/>
        <v>5.3334844915193447</v>
      </c>
      <c r="AX266" s="19">
        <f t="shared" si="1294"/>
        <v>5.258568697765317</v>
      </c>
      <c r="AY266" s="20">
        <f t="shared" si="1294"/>
        <v>5.2715432562507409</v>
      </c>
      <c r="AZ266" s="19">
        <f t="shared" si="1294"/>
        <v>5.0718116384071692</v>
      </c>
      <c r="BA266" s="19">
        <f t="shared" si="1294"/>
        <v>5.1999826113268695</v>
      </c>
      <c r="BB266" s="19">
        <f t="shared" si="1294"/>
        <v>5.2345468014166823</v>
      </c>
      <c r="BC266" s="19">
        <f t="shared" si="1294"/>
        <v>5.3073390092143358</v>
      </c>
      <c r="BD266" s="20">
        <f t="shared" si="1294"/>
        <v>5.2065562061457236</v>
      </c>
      <c r="BE266" s="19">
        <f t="shared" si="1294"/>
        <v>5.1162069440486073</v>
      </c>
      <c r="BF266" s="19">
        <f t="shared" si="1294"/>
        <v>5.2718705140705948</v>
      </c>
      <c r="BG266" s="19">
        <f t="shared" si="1294"/>
        <v>5.4268547325464569</v>
      </c>
      <c r="BH266" s="19">
        <f t="shared" si="1294"/>
        <v>5.5224084423838748</v>
      </c>
      <c r="BI266" s="20">
        <f t="shared" si="1294"/>
        <v>5.3390775910225896</v>
      </c>
      <c r="BJ266" s="19">
        <f t="shared" si="1294"/>
        <v>5.4642938370436074</v>
      </c>
      <c r="BK266" s="19">
        <f t="shared" si="1294"/>
        <v>5.7898735873061744</v>
      </c>
      <c r="BL266" s="19">
        <f t="shared" si="1294"/>
        <v>6.0178945680644169</v>
      </c>
      <c r="BM266" s="19">
        <f t="shared" si="1294"/>
        <v>6.2545479424021275</v>
      </c>
      <c r="BN266" s="20">
        <f t="shared" si="1294"/>
        <v>5.8820396103633383</v>
      </c>
      <c r="BO266" s="19">
        <f t="shared" si="1294"/>
        <v>5.543223277680152</v>
      </c>
      <c r="BP266" s="19">
        <f t="shared" si="1294"/>
        <v>5.6270574114265957</v>
      </c>
      <c r="BQ266" s="19">
        <f t="shared" si="1294"/>
        <v>5.9959379278539755</v>
      </c>
      <c r="BR266" s="19">
        <f t="shared" si="1294"/>
        <v>5.8793207279924298</v>
      </c>
      <c r="BS266" s="20">
        <f t="shared" si="1294"/>
        <v>5.7658182688476316</v>
      </c>
      <c r="BT266" s="19">
        <f t="shared" si="1294"/>
        <v>5.9277013305100041</v>
      </c>
      <c r="BU266" s="19">
        <f t="shared" si="1294"/>
        <v>5.6036606037666008</v>
      </c>
      <c r="BV266" s="19">
        <f t="shared" si="1294"/>
        <v>5.7892728261439776</v>
      </c>
      <c r="BW266" s="19">
        <f t="shared" si="1294"/>
        <v>5.6007807172451614</v>
      </c>
      <c r="BX266" s="20">
        <f t="shared" si="1294"/>
        <v>5.7250732048736959</v>
      </c>
      <c r="BY266" s="19">
        <f t="shared" si="1294"/>
        <v>5.6655643305937291</v>
      </c>
      <c r="BZ266" s="19">
        <f t="shared" si="1294"/>
        <v>5.3822746280737856</v>
      </c>
      <c r="CA266" s="19">
        <f t="shared" si="1294"/>
        <v>5.5756918971520655</v>
      </c>
      <c r="CB266" s="19">
        <f t="shared" si="1294"/>
        <v>5.5353635663037437</v>
      </c>
      <c r="CC266" s="20">
        <f t="shared" si="1294"/>
        <v>5.5376194317164007</v>
      </c>
      <c r="CD266" s="19">
        <f t="shared" si="1292"/>
        <v>5.6803087614274563</v>
      </c>
      <c r="CE266" s="19">
        <f t="shared" si="1292"/>
        <v>5.4535822524406621</v>
      </c>
      <c r="CF266" s="19">
        <f t="shared" si="1292"/>
        <v>5.4344516054289018</v>
      </c>
      <c r="CG266" s="19">
        <f t="shared" si="1292"/>
        <v>5.4885651462867928</v>
      </c>
      <c r="CH266" s="20">
        <f t="shared" si="1292"/>
        <v>5.5116277851761559</v>
      </c>
      <c r="CI266" s="19">
        <f t="shared" si="1292"/>
        <v>5.5942018159925491</v>
      </c>
      <c r="CJ266" s="19">
        <f t="shared" si="1292"/>
        <v>5.718742498581741</v>
      </c>
      <c r="CK266" s="19">
        <f t="shared" si="1292"/>
        <v>5.6482717374300728</v>
      </c>
      <c r="CL266" s="19">
        <f t="shared" si="1292"/>
        <v>5.6802417698730467</v>
      </c>
      <c r="CM266" s="20">
        <f t="shared" si="1292"/>
        <v>5.6610863684641606</v>
      </c>
      <c r="CN266" s="19" t="str">
        <f t="shared" si="1292"/>
        <v/>
      </c>
      <c r="CO266" s="19" t="str">
        <f t="shared" si="1292"/>
        <v/>
      </c>
      <c r="CP266" s="19" t="str">
        <f t="shared" si="1292"/>
        <v/>
      </c>
      <c r="CQ266" s="19" t="str">
        <f t="shared" si="1292"/>
        <v/>
      </c>
      <c r="CR266" s="20" t="str">
        <f t="shared" si="1292"/>
        <v/>
      </c>
    </row>
    <row r="267" spans="1:96" s="9" customFormat="1" ht="15" x14ac:dyDescent="0.4">
      <c r="A267" s="18" t="s">
        <v>84</v>
      </c>
      <c r="B267" s="19">
        <f t="shared" si="1293"/>
        <v>4.6647258158141396</v>
      </c>
      <c r="C267" s="19">
        <f t="shared" si="1293"/>
        <v>4.0210367407527166</v>
      </c>
      <c r="D267" s="19">
        <f t="shared" si="1293"/>
        <v>4.2031318088568819</v>
      </c>
      <c r="E267" s="19">
        <f t="shared" si="1293"/>
        <v>4.3053678205850865</v>
      </c>
      <c r="F267" s="20">
        <f t="shared" si="1293"/>
        <v>4.2940879867462316</v>
      </c>
      <c r="G267" s="19">
        <f t="shared" si="1293"/>
        <v>4.1644969260755733</v>
      </c>
      <c r="H267" s="19">
        <f t="shared" si="1293"/>
        <v>3.6293873905426226</v>
      </c>
      <c r="I267" s="19">
        <f t="shared" si="1293"/>
        <v>3.859780401651256</v>
      </c>
      <c r="J267" s="19">
        <f t="shared" si="1293"/>
        <v>4.0521512831084392</v>
      </c>
      <c r="K267" s="20">
        <f t="shared" si="1293"/>
        <v>3.9279606974841954</v>
      </c>
      <c r="L267" s="19">
        <f t="shared" si="1293"/>
        <v>4.6193214307117314</v>
      </c>
      <c r="M267" s="19">
        <f t="shared" si="1293"/>
        <v>4.3145293693600362</v>
      </c>
      <c r="N267" s="19">
        <f t="shared" si="1293"/>
        <v>4.4846023368392176</v>
      </c>
      <c r="O267" s="19">
        <f t="shared" si="1293"/>
        <v>5.051587634309592</v>
      </c>
      <c r="P267" s="20">
        <f t="shared" si="1293"/>
        <v>4.6236044315087179</v>
      </c>
      <c r="Q267" s="19">
        <f t="shared" si="1293"/>
        <v>4.5696089732643674</v>
      </c>
      <c r="R267" s="19">
        <f t="shared" ref="R267:CC269" si="1295">IFERROR(R11/R$29*100,"")</f>
        <v>3.2052307923849903</v>
      </c>
      <c r="S267" s="19">
        <f t="shared" si="1295"/>
        <v>3.1778739001946441</v>
      </c>
      <c r="T267" s="19">
        <f t="shared" si="1295"/>
        <v>4.0733663454886155</v>
      </c>
      <c r="U267" s="20">
        <f t="shared" si="1295"/>
        <v>3.7493011222045811</v>
      </c>
      <c r="V267" s="19">
        <f t="shared" si="1295"/>
        <v>3.5213447027165867</v>
      </c>
      <c r="W267" s="19">
        <f t="shared" si="1295"/>
        <v>3.1795225383001147</v>
      </c>
      <c r="X267" s="19">
        <f t="shared" si="1295"/>
        <v>3.7048878956312059</v>
      </c>
      <c r="Y267" s="19">
        <f t="shared" si="1295"/>
        <v>4.0547936841564773</v>
      </c>
      <c r="Z267" s="20">
        <f t="shared" si="1295"/>
        <v>3.6229616450975355</v>
      </c>
      <c r="AA267" s="19">
        <f t="shared" si="1295"/>
        <v>3.6828535438339651</v>
      </c>
      <c r="AB267" s="19">
        <f t="shared" si="1295"/>
        <v>3.5068746691789805</v>
      </c>
      <c r="AC267" s="19">
        <f t="shared" si="1295"/>
        <v>3.5976883901555201</v>
      </c>
      <c r="AD267" s="19">
        <f t="shared" si="1295"/>
        <v>3.7825313843820791</v>
      </c>
      <c r="AE267" s="20">
        <f t="shared" si="1295"/>
        <v>3.6460966717404264</v>
      </c>
      <c r="AF267" s="19">
        <f t="shared" si="1295"/>
        <v>3.5163880069960669</v>
      </c>
      <c r="AG267" s="19">
        <f t="shared" si="1295"/>
        <v>3.4801548609050768</v>
      </c>
      <c r="AH267" s="19">
        <f t="shared" si="1295"/>
        <v>3.5600291635321515</v>
      </c>
      <c r="AI267" s="19">
        <f t="shared" si="1295"/>
        <v>3.827840655492381</v>
      </c>
      <c r="AJ267" s="20">
        <f t="shared" si="1295"/>
        <v>3.6008534221658826</v>
      </c>
      <c r="AK267" s="19">
        <f t="shared" si="1295"/>
        <v>3.8038962920604673</v>
      </c>
      <c r="AL267" s="19">
        <f t="shared" si="1295"/>
        <v>3.7245326692868561</v>
      </c>
      <c r="AM267" s="19">
        <f t="shared" si="1295"/>
        <v>3.8229089257059234</v>
      </c>
      <c r="AN267" s="19">
        <f t="shared" si="1295"/>
        <v>3.9503796172787267</v>
      </c>
      <c r="AO267" s="20">
        <f t="shared" si="1295"/>
        <v>3.8285401517497744</v>
      </c>
      <c r="AP267" s="19">
        <f t="shared" si="1295"/>
        <v>3.8062448468213126</v>
      </c>
      <c r="AQ267" s="19">
        <f t="shared" si="1295"/>
        <v>3.740633999162545</v>
      </c>
      <c r="AR267" s="19">
        <f t="shared" si="1295"/>
        <v>3.8986698559472677</v>
      </c>
      <c r="AS267" s="19">
        <f t="shared" si="1295"/>
        <v>4.0515705345382509</v>
      </c>
      <c r="AT267" s="20">
        <f t="shared" si="1295"/>
        <v>3.8781435395358463</v>
      </c>
      <c r="AU267" s="19">
        <f t="shared" si="1295"/>
        <v>3.9869478280824899</v>
      </c>
      <c r="AV267" s="19">
        <f t="shared" si="1295"/>
        <v>3.9731726935425122</v>
      </c>
      <c r="AW267" s="19">
        <f t="shared" si="1295"/>
        <v>3.9796446215270982</v>
      </c>
      <c r="AX267" s="19">
        <f t="shared" si="1295"/>
        <v>4.0263469506791978</v>
      </c>
      <c r="AY267" s="20">
        <f t="shared" si="1295"/>
        <v>3.9920510508255505</v>
      </c>
      <c r="AZ267" s="19">
        <f t="shared" si="1295"/>
        <v>3.9639342297563407</v>
      </c>
      <c r="BA267" s="19">
        <f t="shared" si="1295"/>
        <v>4.0099589005424967</v>
      </c>
      <c r="BB267" s="19">
        <f t="shared" si="1295"/>
        <v>3.9570618702215192</v>
      </c>
      <c r="BC267" s="19">
        <f t="shared" si="1295"/>
        <v>4.0774887525950305</v>
      </c>
      <c r="BD267" s="20">
        <f t="shared" si="1295"/>
        <v>4.0032512364897244</v>
      </c>
      <c r="BE267" s="19">
        <f t="shared" si="1295"/>
        <v>4.0625975911017935</v>
      </c>
      <c r="BF267" s="19">
        <f t="shared" si="1295"/>
        <v>4.0818965553448949</v>
      </c>
      <c r="BG267" s="19">
        <f t="shared" si="1295"/>
        <v>4.0831231322199111</v>
      </c>
      <c r="BH267" s="19">
        <f t="shared" si="1295"/>
        <v>4.1375171838438325</v>
      </c>
      <c r="BI267" s="20">
        <f t="shared" si="1295"/>
        <v>4.0920338308223165</v>
      </c>
      <c r="BJ267" s="19">
        <f t="shared" si="1295"/>
        <v>4.112198070364089</v>
      </c>
      <c r="BK267" s="19">
        <f t="shared" si="1295"/>
        <v>3.6586968350938083</v>
      </c>
      <c r="BL267" s="19">
        <f t="shared" si="1295"/>
        <v>3.8620917193254529</v>
      </c>
      <c r="BM267" s="19">
        <f t="shared" si="1295"/>
        <v>4.0092163631656001</v>
      </c>
      <c r="BN267" s="20">
        <f t="shared" si="1295"/>
        <v>3.9114005778418455</v>
      </c>
      <c r="BO267" s="19">
        <f t="shared" si="1295"/>
        <v>4.0370855308607183</v>
      </c>
      <c r="BP267" s="19">
        <f t="shared" si="1295"/>
        <v>4.0051555112612993</v>
      </c>
      <c r="BQ267" s="19">
        <f t="shared" si="1295"/>
        <v>4.0489596346248522</v>
      </c>
      <c r="BR267" s="19">
        <f t="shared" si="1295"/>
        <v>4.1577877707307938</v>
      </c>
      <c r="BS267" s="20">
        <f t="shared" si="1295"/>
        <v>4.0635954998660875</v>
      </c>
      <c r="BT267" s="19">
        <f t="shared" si="1295"/>
        <v>4.2516357015621855</v>
      </c>
      <c r="BU267" s="19">
        <f t="shared" si="1295"/>
        <v>4.2228495069030849</v>
      </c>
      <c r="BV267" s="19">
        <f t="shared" si="1295"/>
        <v>4.2251992278291688</v>
      </c>
      <c r="BW267" s="19">
        <f t="shared" si="1295"/>
        <v>4.1395643384174443</v>
      </c>
      <c r="BX267" s="20">
        <f t="shared" si="1295"/>
        <v>4.2079624401152271</v>
      </c>
      <c r="BY267" s="19">
        <f t="shared" si="1295"/>
        <v>4.2185540370144707</v>
      </c>
      <c r="BZ267" s="19">
        <f t="shared" si="1295"/>
        <v>3.974242626134787</v>
      </c>
      <c r="CA267" s="19">
        <f t="shared" si="1295"/>
        <v>4.0074263551271709</v>
      </c>
      <c r="CB267" s="19">
        <f t="shared" si="1295"/>
        <v>3.9965834346726541</v>
      </c>
      <c r="CC267" s="20">
        <f t="shared" si="1295"/>
        <v>4.0460508189175428</v>
      </c>
      <c r="CD267" s="19">
        <f t="shared" si="1292"/>
        <v>4.0432648046279551</v>
      </c>
      <c r="CE267" s="19">
        <f t="shared" si="1292"/>
        <v>3.8906312009560811</v>
      </c>
      <c r="CF267" s="19">
        <f t="shared" si="1292"/>
        <v>3.8793844957658634</v>
      </c>
      <c r="CG267" s="19">
        <f t="shared" si="1292"/>
        <v>3.8646863551026511</v>
      </c>
      <c r="CH267" s="20">
        <f t="shared" si="1292"/>
        <v>3.9172687795052381</v>
      </c>
      <c r="CI267" s="19">
        <f t="shared" si="1292"/>
        <v>3.8435056822467741</v>
      </c>
      <c r="CJ267" s="19">
        <f t="shared" si="1292"/>
        <v>3.7717982329870892</v>
      </c>
      <c r="CK267" s="19">
        <f t="shared" si="1292"/>
        <v>3.7028190044576719</v>
      </c>
      <c r="CL267" s="19">
        <f t="shared" si="1292"/>
        <v>3.7319773791808579</v>
      </c>
      <c r="CM267" s="20">
        <f t="shared" si="1292"/>
        <v>3.7611947810384523</v>
      </c>
      <c r="CN267" s="19" t="str">
        <f t="shared" si="1292"/>
        <v/>
      </c>
      <c r="CO267" s="19" t="str">
        <f t="shared" si="1292"/>
        <v/>
      </c>
      <c r="CP267" s="19" t="str">
        <f t="shared" si="1292"/>
        <v/>
      </c>
      <c r="CQ267" s="19" t="str">
        <f t="shared" si="1292"/>
        <v/>
      </c>
      <c r="CR267" s="20" t="str">
        <f t="shared" si="1292"/>
        <v/>
      </c>
    </row>
    <row r="268" spans="1:96" s="9" customFormat="1" ht="15" x14ac:dyDescent="0.4">
      <c r="A268" s="18" t="s">
        <v>85</v>
      </c>
      <c r="B268" s="19">
        <f t="shared" si="1293"/>
        <v>4.7859883181637137</v>
      </c>
      <c r="C268" s="19">
        <f t="shared" si="1293"/>
        <v>4.8768869657860474</v>
      </c>
      <c r="D268" s="19">
        <f t="shared" si="1293"/>
        <v>4.9877606708436666</v>
      </c>
      <c r="E268" s="19">
        <f t="shared" si="1293"/>
        <v>5.2706291027707346</v>
      </c>
      <c r="F268" s="20">
        <f t="shared" si="1293"/>
        <v>4.9887103417120153</v>
      </c>
      <c r="G268" s="19">
        <f t="shared" si="1293"/>
        <v>4.2510601390374276</v>
      </c>
      <c r="H268" s="19">
        <f t="shared" si="1293"/>
        <v>4.4754896369785166</v>
      </c>
      <c r="I268" s="19">
        <f t="shared" si="1293"/>
        <v>4.7928484921557288</v>
      </c>
      <c r="J268" s="19">
        <f t="shared" si="1293"/>
        <v>4.814857630727885</v>
      </c>
      <c r="K268" s="20">
        <f t="shared" si="1293"/>
        <v>4.5929705765329745</v>
      </c>
      <c r="L268" s="19">
        <f t="shared" si="1293"/>
        <v>4.2028860453762036</v>
      </c>
      <c r="M268" s="19">
        <f t="shared" si="1293"/>
        <v>4.0666105044457765</v>
      </c>
      <c r="N268" s="19">
        <f t="shared" si="1293"/>
        <v>4.1826729721269285</v>
      </c>
      <c r="O268" s="19">
        <f t="shared" si="1293"/>
        <v>4.407019676374242</v>
      </c>
      <c r="P268" s="20">
        <f t="shared" si="1293"/>
        <v>4.2178601969233922</v>
      </c>
      <c r="Q268" s="19">
        <f t="shared" si="1293"/>
        <v>3.3271404555421498</v>
      </c>
      <c r="R268" s="19">
        <f t="shared" si="1295"/>
        <v>3.906059126017035</v>
      </c>
      <c r="S268" s="19">
        <f t="shared" si="1295"/>
        <v>4.1753647283602282</v>
      </c>
      <c r="T268" s="19">
        <f t="shared" si="1295"/>
        <v>4.5656998364206771</v>
      </c>
      <c r="U268" s="20">
        <f t="shared" si="1295"/>
        <v>4.0239328880413474</v>
      </c>
      <c r="V268" s="19">
        <f t="shared" si="1295"/>
        <v>3.6188884583606278</v>
      </c>
      <c r="W268" s="19">
        <f t="shared" si="1295"/>
        <v>3.8156015683983262</v>
      </c>
      <c r="X268" s="19">
        <f t="shared" si="1295"/>
        <v>4.0985960503384353</v>
      </c>
      <c r="Y268" s="19">
        <f t="shared" si="1295"/>
        <v>4.2490494645068599</v>
      </c>
      <c r="Z268" s="20">
        <f t="shared" si="1295"/>
        <v>3.9543077148806032</v>
      </c>
      <c r="AA268" s="19">
        <f t="shared" si="1295"/>
        <v>4.1018024160401998</v>
      </c>
      <c r="AB268" s="19">
        <f t="shared" si="1295"/>
        <v>3.988561151832533</v>
      </c>
      <c r="AC268" s="19">
        <f t="shared" si="1295"/>
        <v>4.1799233599179173</v>
      </c>
      <c r="AD268" s="19">
        <f t="shared" si="1295"/>
        <v>4.1598886313853338</v>
      </c>
      <c r="AE268" s="20">
        <f t="shared" si="1295"/>
        <v>4.1104331429221306</v>
      </c>
      <c r="AF268" s="19">
        <f t="shared" si="1295"/>
        <v>3.8162178356090029</v>
      </c>
      <c r="AG268" s="19">
        <f t="shared" si="1295"/>
        <v>3.7963007777767954</v>
      </c>
      <c r="AH268" s="19">
        <f t="shared" si="1295"/>
        <v>4.0048633343378608</v>
      </c>
      <c r="AI268" s="19">
        <f t="shared" si="1295"/>
        <v>4.1543431624361142</v>
      </c>
      <c r="AJ268" s="20">
        <f t="shared" si="1295"/>
        <v>3.9486441987833159</v>
      </c>
      <c r="AK268" s="19">
        <f t="shared" si="1295"/>
        <v>3.9164370655389558</v>
      </c>
      <c r="AL268" s="19">
        <f t="shared" si="1295"/>
        <v>3.8521108221158187</v>
      </c>
      <c r="AM268" s="19">
        <f t="shared" si="1295"/>
        <v>3.9685005107532501</v>
      </c>
      <c r="AN268" s="19">
        <f t="shared" si="1295"/>
        <v>4.0185994310022153</v>
      </c>
      <c r="AO268" s="20">
        <f t="shared" si="1295"/>
        <v>3.9413020202046836</v>
      </c>
      <c r="AP268" s="19">
        <f t="shared" si="1295"/>
        <v>3.9930740949698467</v>
      </c>
      <c r="AQ268" s="19">
        <f t="shared" si="1295"/>
        <v>3.875721093662964</v>
      </c>
      <c r="AR268" s="19">
        <f t="shared" si="1295"/>
        <v>3.8291830578972648</v>
      </c>
      <c r="AS268" s="19">
        <f t="shared" si="1295"/>
        <v>3.955696445538333</v>
      </c>
      <c r="AT268" s="20">
        <f t="shared" si="1295"/>
        <v>3.9126160298171988</v>
      </c>
      <c r="AU268" s="19">
        <f t="shared" si="1295"/>
        <v>3.9947342702281832</v>
      </c>
      <c r="AV268" s="19">
        <f t="shared" si="1295"/>
        <v>3.9512625409109261</v>
      </c>
      <c r="AW268" s="19">
        <f t="shared" si="1295"/>
        <v>3.9419758184438782</v>
      </c>
      <c r="AX268" s="19">
        <f t="shared" si="1295"/>
        <v>3.8718636708675009</v>
      </c>
      <c r="AY268" s="20">
        <f t="shared" si="1295"/>
        <v>3.9383958906764902</v>
      </c>
      <c r="AZ268" s="19">
        <f t="shared" si="1295"/>
        <v>3.8976066310514299</v>
      </c>
      <c r="BA268" s="19">
        <f t="shared" si="1295"/>
        <v>3.9642518275480252</v>
      </c>
      <c r="BB268" s="19">
        <f t="shared" si="1295"/>
        <v>4.0398944677661914</v>
      </c>
      <c r="BC268" s="19">
        <f t="shared" si="1295"/>
        <v>4.0665274807411471</v>
      </c>
      <c r="BD268" s="20">
        <f t="shared" si="1295"/>
        <v>3.9945731229214987</v>
      </c>
      <c r="BE268" s="19">
        <f t="shared" si="1295"/>
        <v>4.0594067842380284</v>
      </c>
      <c r="BF268" s="19">
        <f t="shared" si="1295"/>
        <v>4.0118411559218039</v>
      </c>
      <c r="BG268" s="19">
        <f t="shared" si="1295"/>
        <v>4.1385955757382238</v>
      </c>
      <c r="BH268" s="19">
        <f t="shared" si="1295"/>
        <v>4.1292910968137644</v>
      </c>
      <c r="BI268" s="20">
        <f t="shared" si="1295"/>
        <v>4.0858652034013492</v>
      </c>
      <c r="BJ268" s="19">
        <f t="shared" si="1295"/>
        <v>3.9581995328775683</v>
      </c>
      <c r="BK268" s="19">
        <f t="shared" si="1295"/>
        <v>3.7981088383539614</v>
      </c>
      <c r="BL268" s="19">
        <f t="shared" si="1295"/>
        <v>3.6716597044525234</v>
      </c>
      <c r="BM268" s="19">
        <f t="shared" si="1295"/>
        <v>3.7126354406143767</v>
      </c>
      <c r="BN268" s="20">
        <f t="shared" si="1295"/>
        <v>3.7851570925125935</v>
      </c>
      <c r="BO268" s="19">
        <f t="shared" si="1295"/>
        <v>3.7431696180504348</v>
      </c>
      <c r="BP268" s="19">
        <f t="shared" si="1295"/>
        <v>3.9635255842564416</v>
      </c>
      <c r="BQ268" s="19">
        <f t="shared" si="1295"/>
        <v>3.7510503065000647</v>
      </c>
      <c r="BR268" s="19">
        <f t="shared" si="1295"/>
        <v>3.7025191887346405</v>
      </c>
      <c r="BS268" s="20">
        <f t="shared" si="1295"/>
        <v>3.7895820600026067</v>
      </c>
      <c r="BT268" s="19">
        <f t="shared" si="1295"/>
        <v>4.0196729995216662</v>
      </c>
      <c r="BU268" s="19">
        <f t="shared" si="1295"/>
        <v>3.9580888623789807</v>
      </c>
      <c r="BV268" s="19">
        <f t="shared" si="1295"/>
        <v>3.9021330724915697</v>
      </c>
      <c r="BW268" s="19">
        <f t="shared" si="1295"/>
        <v>3.8130873196169452</v>
      </c>
      <c r="BX268" s="20">
        <f t="shared" si="1295"/>
        <v>3.9194936780147129</v>
      </c>
      <c r="BY268" s="19">
        <f t="shared" si="1295"/>
        <v>3.9960497944491626</v>
      </c>
      <c r="BZ268" s="19">
        <f t="shared" si="1295"/>
        <v>3.8232813549838158</v>
      </c>
      <c r="CA268" s="19">
        <f t="shared" si="1295"/>
        <v>3.9035304026030082</v>
      </c>
      <c r="CB268" s="19">
        <f t="shared" si="1295"/>
        <v>3.8821361921773585</v>
      </c>
      <c r="CC268" s="20">
        <f t="shared" si="1295"/>
        <v>3.8995569971555857</v>
      </c>
      <c r="CD268" s="19">
        <f t="shared" si="1292"/>
        <v>3.9777361551603421</v>
      </c>
      <c r="CE268" s="19">
        <f t="shared" si="1292"/>
        <v>3.882519125958328</v>
      </c>
      <c r="CF268" s="19">
        <f t="shared" si="1292"/>
        <v>3.9209331740995008</v>
      </c>
      <c r="CG268" s="19">
        <f t="shared" si="1292"/>
        <v>3.9289622686685335</v>
      </c>
      <c r="CH268" s="20">
        <f t="shared" si="1292"/>
        <v>3.9269020020123433</v>
      </c>
      <c r="CI268" s="19">
        <f t="shared" si="1292"/>
        <v>3.9892480319153036</v>
      </c>
      <c r="CJ268" s="19">
        <f t="shared" si="1292"/>
        <v>3.9127351226691283</v>
      </c>
      <c r="CK268" s="19">
        <f t="shared" si="1292"/>
        <v>3.9694607693125694</v>
      </c>
      <c r="CL268" s="19">
        <f t="shared" si="1292"/>
        <v>3.8845906060221798</v>
      </c>
      <c r="CM268" s="20">
        <f t="shared" si="1292"/>
        <v>3.9379970415579018</v>
      </c>
      <c r="CN268" s="19" t="str">
        <f t="shared" si="1292"/>
        <v/>
      </c>
      <c r="CO268" s="19" t="str">
        <f t="shared" si="1292"/>
        <v/>
      </c>
      <c r="CP268" s="19" t="str">
        <f t="shared" si="1292"/>
        <v/>
      </c>
      <c r="CQ268" s="19" t="str">
        <f t="shared" si="1292"/>
        <v/>
      </c>
      <c r="CR268" s="20" t="str">
        <f t="shared" si="1292"/>
        <v/>
      </c>
    </row>
    <row r="269" spans="1:96" s="9" customFormat="1" ht="15" x14ac:dyDescent="0.4">
      <c r="A269" s="18" t="s">
        <v>86</v>
      </c>
      <c r="B269" s="19">
        <f t="shared" si="1293"/>
        <v>2.6679486702645669</v>
      </c>
      <c r="C269" s="19">
        <f t="shared" si="1293"/>
        <v>2.4683905495754557</v>
      </c>
      <c r="D269" s="19">
        <f t="shared" si="1293"/>
        <v>2.4556883596195567</v>
      </c>
      <c r="E269" s="19">
        <f t="shared" si="1293"/>
        <v>2.3766194125591289</v>
      </c>
      <c r="F269" s="20">
        <f t="shared" si="1293"/>
        <v>2.4875141058503321</v>
      </c>
      <c r="G269" s="19">
        <f t="shared" si="1293"/>
        <v>2.4028361361633279</v>
      </c>
      <c r="H269" s="19">
        <f t="shared" si="1293"/>
        <v>2.2350442921257216</v>
      </c>
      <c r="I269" s="19">
        <f t="shared" si="1293"/>
        <v>2.3151170569448545</v>
      </c>
      <c r="J269" s="19">
        <f t="shared" si="1293"/>
        <v>2.18218651082731</v>
      </c>
      <c r="K269" s="20">
        <f t="shared" si="1293"/>
        <v>2.2808389713645325</v>
      </c>
      <c r="L269" s="19">
        <f t="shared" si="1293"/>
        <v>2.186611715073413</v>
      </c>
      <c r="M269" s="19">
        <f t="shared" si="1293"/>
        <v>2.0285352647198804</v>
      </c>
      <c r="N269" s="19">
        <f t="shared" si="1293"/>
        <v>2.0200751449495487</v>
      </c>
      <c r="O269" s="19">
        <f t="shared" si="1293"/>
        <v>2.0412846551668613</v>
      </c>
      <c r="P269" s="20">
        <f t="shared" si="1293"/>
        <v>2.0668484503983438</v>
      </c>
      <c r="Q269" s="19">
        <f t="shared" si="1293"/>
        <v>2.1729903715235199</v>
      </c>
      <c r="R269" s="19">
        <f t="shared" si="1295"/>
        <v>2.0841397516352127</v>
      </c>
      <c r="S269" s="19">
        <f t="shared" si="1295"/>
        <v>2.0585790149083145</v>
      </c>
      <c r="T269" s="19">
        <f t="shared" si="1295"/>
        <v>1.9992759504321036</v>
      </c>
      <c r="U269" s="20">
        <f t="shared" si="1295"/>
        <v>2.0745991067693477</v>
      </c>
      <c r="V269" s="19">
        <f t="shared" si="1295"/>
        <v>2.1121775282753408</v>
      </c>
      <c r="W269" s="19">
        <f t="shared" si="1295"/>
        <v>1.9174819775981808</v>
      </c>
      <c r="X269" s="19">
        <f t="shared" si="1295"/>
        <v>2.0585905792773422</v>
      </c>
      <c r="Y269" s="19">
        <f t="shared" si="1295"/>
        <v>2.0494588511919902</v>
      </c>
      <c r="Z269" s="20">
        <f t="shared" si="1295"/>
        <v>2.033979700136781</v>
      </c>
      <c r="AA269" s="19">
        <f t="shared" si="1295"/>
        <v>2.1016435528369382</v>
      </c>
      <c r="AB269" s="19">
        <f t="shared" si="1295"/>
        <v>1.9187873994047588</v>
      </c>
      <c r="AC269" s="19">
        <f t="shared" si="1295"/>
        <v>1.9457172607686999</v>
      </c>
      <c r="AD269" s="19">
        <f t="shared" si="1295"/>
        <v>1.9607761154032459</v>
      </c>
      <c r="AE269" s="20">
        <f t="shared" si="1295"/>
        <v>1.978844039700782</v>
      </c>
      <c r="AF269" s="19">
        <f t="shared" si="1295"/>
        <v>1.9917830459574029</v>
      </c>
      <c r="AG269" s="19">
        <f t="shared" si="1295"/>
        <v>1.9050558553901469</v>
      </c>
      <c r="AH269" s="19">
        <f t="shared" si="1295"/>
        <v>1.9191085595160009</v>
      </c>
      <c r="AI269" s="19">
        <f t="shared" si="1295"/>
        <v>2.0294611981396393</v>
      </c>
      <c r="AJ269" s="20">
        <f t="shared" si="1295"/>
        <v>1.962034891262715</v>
      </c>
      <c r="AK269" s="19">
        <f t="shared" si="1295"/>
        <v>1.947559971268487</v>
      </c>
      <c r="AL269" s="19">
        <f t="shared" si="1295"/>
        <v>1.9521567941488529</v>
      </c>
      <c r="AM269" s="19">
        <f t="shared" si="1295"/>
        <v>1.9525840384848214</v>
      </c>
      <c r="AN269" s="19">
        <f t="shared" si="1295"/>
        <v>1.9872985748030609</v>
      </c>
      <c r="AO269" s="20">
        <f t="shared" si="1295"/>
        <v>1.960584415043056</v>
      </c>
      <c r="AP269" s="19">
        <f t="shared" si="1295"/>
        <v>2.0203343081415985</v>
      </c>
      <c r="AQ269" s="19">
        <f t="shared" si="1295"/>
        <v>1.9954448724507488</v>
      </c>
      <c r="AR269" s="19">
        <f t="shared" si="1295"/>
        <v>2.0168919227650508</v>
      </c>
      <c r="AS269" s="19">
        <f t="shared" si="1295"/>
        <v>2.0546151819354792</v>
      </c>
      <c r="AT269" s="20">
        <f t="shared" si="1295"/>
        <v>2.0223434529943844</v>
      </c>
      <c r="AU269" s="19">
        <f t="shared" si="1295"/>
        <v>2.058453159221016</v>
      </c>
      <c r="AV269" s="19">
        <f t="shared" si="1295"/>
        <v>2.0787682006746926</v>
      </c>
      <c r="AW269" s="19">
        <f t="shared" si="1295"/>
        <v>2.0849645612754593</v>
      </c>
      <c r="AX269" s="19">
        <f t="shared" si="1295"/>
        <v>2.0836144796695142</v>
      </c>
      <c r="AY269" s="20">
        <f t="shared" si="1295"/>
        <v>2.0767819864172301</v>
      </c>
      <c r="AZ269" s="19">
        <f t="shared" si="1295"/>
        <v>2.0391585717924672</v>
      </c>
      <c r="BA269" s="19">
        <f t="shared" si="1295"/>
        <v>2.0619439072275845</v>
      </c>
      <c r="BB269" s="19">
        <f t="shared" si="1295"/>
        <v>2.0463132711552756</v>
      </c>
      <c r="BC269" s="19">
        <f t="shared" si="1295"/>
        <v>2.0483390701876756</v>
      </c>
      <c r="BD269" s="20">
        <f t="shared" si="1295"/>
        <v>2.0489808164874801</v>
      </c>
      <c r="BE269" s="19">
        <f t="shared" si="1295"/>
        <v>2.0239935115938676</v>
      </c>
      <c r="BF269" s="19">
        <f t="shared" si="1295"/>
        <v>1.9750787937397343</v>
      </c>
      <c r="BG269" s="19">
        <f t="shared" si="1295"/>
        <v>1.9548241181547059</v>
      </c>
      <c r="BH269" s="19">
        <f t="shared" si="1295"/>
        <v>1.9453716565761807</v>
      </c>
      <c r="BI269" s="20">
        <f t="shared" si="1295"/>
        <v>1.9739048185372734</v>
      </c>
      <c r="BJ269" s="19">
        <f t="shared" si="1295"/>
        <v>1.9691806786493447</v>
      </c>
      <c r="BK269" s="19">
        <f t="shared" si="1295"/>
        <v>1.9476562895336866</v>
      </c>
      <c r="BL269" s="19">
        <f t="shared" si="1295"/>
        <v>1.9833852924592352</v>
      </c>
      <c r="BM269" s="19">
        <f t="shared" si="1295"/>
        <v>2.0257735854041403</v>
      </c>
      <c r="BN269" s="20">
        <f t="shared" si="1295"/>
        <v>1.9816247171192396</v>
      </c>
      <c r="BO269" s="19">
        <f t="shared" si="1295"/>
        <v>2.0527272871782634</v>
      </c>
      <c r="BP269" s="19">
        <f t="shared" si="1295"/>
        <v>1.9942915940290578</v>
      </c>
      <c r="BQ269" s="19">
        <f t="shared" si="1295"/>
        <v>1.9457256462920458</v>
      </c>
      <c r="BR269" s="19">
        <f t="shared" si="1295"/>
        <v>1.8946342383471506</v>
      </c>
      <c r="BS269" s="20">
        <f t="shared" si="1295"/>
        <v>1.9699457296781779</v>
      </c>
      <c r="BT269" s="19">
        <f t="shared" si="1295"/>
        <v>1.9930057955677534</v>
      </c>
      <c r="BU269" s="19">
        <f t="shared" si="1295"/>
        <v>1.9856192691397816</v>
      </c>
      <c r="BV269" s="19">
        <f t="shared" si="1295"/>
        <v>1.9721592507126691</v>
      </c>
      <c r="BW269" s="19">
        <f t="shared" si="1295"/>
        <v>1.9122553480977633</v>
      </c>
      <c r="BX269" s="20">
        <f t="shared" si="1295"/>
        <v>1.9643936414581735</v>
      </c>
      <c r="BY269" s="19">
        <f t="shared" si="1295"/>
        <v>2.029683744355137</v>
      </c>
      <c r="BZ269" s="19">
        <f t="shared" si="1295"/>
        <v>1.9507070740844779</v>
      </c>
      <c r="CA269" s="19">
        <f t="shared" si="1295"/>
        <v>1.9717274208149183</v>
      </c>
      <c r="CB269" s="19">
        <f t="shared" si="1295"/>
        <v>1.9471692401843494</v>
      </c>
      <c r="CC269" s="20">
        <f t="shared" si="1295"/>
        <v>1.9737327705970875</v>
      </c>
      <c r="CD269" s="19">
        <f t="shared" si="1292"/>
        <v>2.0117859172586514</v>
      </c>
      <c r="CE269" s="19">
        <f t="shared" si="1292"/>
        <v>1.9408416750601329</v>
      </c>
      <c r="CF269" s="19">
        <f t="shared" si="1292"/>
        <v>1.9713658223143729</v>
      </c>
      <c r="CG269" s="19">
        <f t="shared" si="1292"/>
        <v>2.0002831842127122</v>
      </c>
      <c r="CH269" s="20">
        <f t="shared" si="1292"/>
        <v>1.9808416912173226</v>
      </c>
      <c r="CI269" s="19">
        <f t="shared" si="1292"/>
        <v>2.034672084014931</v>
      </c>
      <c r="CJ269" s="19">
        <f t="shared" si="1292"/>
        <v>2.0517114256202289</v>
      </c>
      <c r="CK269" s="19">
        <f t="shared" si="1292"/>
        <v>2.007086798330902</v>
      </c>
      <c r="CL269" s="19">
        <f t="shared" si="1292"/>
        <v>2.0243153728710244</v>
      </c>
      <c r="CM269" s="20">
        <f t="shared" si="1292"/>
        <v>2.0292263979106115</v>
      </c>
      <c r="CN269" s="19" t="str">
        <f t="shared" si="1292"/>
        <v/>
      </c>
      <c r="CO269" s="19" t="str">
        <f t="shared" si="1292"/>
        <v/>
      </c>
      <c r="CP269" s="19" t="str">
        <f t="shared" si="1292"/>
        <v/>
      </c>
      <c r="CQ269" s="19" t="str">
        <f t="shared" si="1292"/>
        <v/>
      </c>
      <c r="CR269" s="20" t="str">
        <f t="shared" si="1292"/>
        <v/>
      </c>
    </row>
    <row r="270" spans="1:96" s="9" customFormat="1" ht="15" x14ac:dyDescent="0.4">
      <c r="A270" s="18"/>
      <c r="B270" s="22"/>
      <c r="C270" s="22"/>
      <c r="D270" s="23"/>
      <c r="E270" s="22"/>
      <c r="F270" s="24"/>
      <c r="G270" s="22"/>
      <c r="H270" s="22"/>
      <c r="I270" s="23"/>
      <c r="J270" s="22"/>
      <c r="K270" s="24"/>
      <c r="L270" s="22"/>
      <c r="M270" s="22"/>
      <c r="N270" s="23"/>
      <c r="O270" s="22"/>
      <c r="P270" s="24"/>
      <c r="Q270" s="22"/>
      <c r="R270" s="22"/>
      <c r="S270" s="23"/>
      <c r="T270" s="22"/>
      <c r="U270" s="24"/>
      <c r="V270" s="22"/>
      <c r="W270" s="22"/>
      <c r="X270" s="23"/>
      <c r="Y270" s="22"/>
      <c r="Z270" s="24"/>
      <c r="AA270" s="22"/>
      <c r="AB270" s="22"/>
      <c r="AC270" s="23"/>
      <c r="AD270" s="22"/>
      <c r="AE270" s="24"/>
      <c r="AF270" s="22"/>
      <c r="AG270" s="22"/>
      <c r="AH270" s="23"/>
      <c r="AI270" s="22"/>
      <c r="AJ270" s="24"/>
      <c r="AK270" s="22"/>
      <c r="AL270" s="22"/>
      <c r="AM270" s="23"/>
      <c r="AN270" s="22"/>
      <c r="AO270" s="24"/>
      <c r="AP270" s="22"/>
      <c r="AQ270" s="22"/>
      <c r="AR270" s="23"/>
      <c r="AS270" s="22"/>
      <c r="AT270" s="24"/>
      <c r="AU270" s="22"/>
      <c r="AV270" s="22"/>
      <c r="AW270" s="23"/>
      <c r="AX270" s="22"/>
      <c r="AY270" s="24"/>
      <c r="AZ270" s="22"/>
      <c r="BA270" s="22"/>
      <c r="BB270" s="23"/>
      <c r="BC270" s="22"/>
      <c r="BD270" s="24"/>
      <c r="BE270" s="22"/>
      <c r="BF270" s="22"/>
      <c r="BG270" s="23"/>
      <c r="BH270" s="22"/>
      <c r="BI270" s="24"/>
      <c r="BJ270" s="22"/>
      <c r="BK270" s="22"/>
      <c r="BL270" s="23"/>
      <c r="BM270" s="22"/>
      <c r="BN270" s="24"/>
      <c r="BO270" s="22"/>
      <c r="BP270" s="22"/>
      <c r="BQ270" s="23"/>
      <c r="BR270" s="22"/>
      <c r="BS270" s="24"/>
      <c r="BT270" s="22"/>
      <c r="BU270" s="22"/>
      <c r="BV270" s="23"/>
      <c r="BW270" s="22"/>
      <c r="BX270" s="24"/>
      <c r="BY270" s="22"/>
      <c r="BZ270" s="22"/>
      <c r="CA270" s="23"/>
      <c r="CB270" s="22"/>
      <c r="CC270" s="24"/>
      <c r="CD270" s="22"/>
      <c r="CE270" s="22"/>
      <c r="CF270" s="23"/>
      <c r="CG270" s="22"/>
      <c r="CH270" s="24"/>
      <c r="CI270" s="22"/>
      <c r="CJ270" s="22"/>
      <c r="CK270" s="23"/>
      <c r="CL270" s="22"/>
      <c r="CM270" s="24"/>
      <c r="CN270" s="22"/>
      <c r="CO270" s="22"/>
      <c r="CP270" s="23"/>
      <c r="CQ270" s="22"/>
      <c r="CR270" s="24"/>
    </row>
    <row r="271" spans="1:96" s="17" customFormat="1" ht="15" x14ac:dyDescent="0.4">
      <c r="A271" s="15" t="s">
        <v>87</v>
      </c>
      <c r="B271" s="50">
        <f t="shared" si="1293"/>
        <v>3.711869801957917</v>
      </c>
      <c r="C271" s="50">
        <f t="shared" si="1293"/>
        <v>4.0535647597971449</v>
      </c>
      <c r="D271" s="50">
        <f t="shared" si="1293"/>
        <v>4.7676057867260067</v>
      </c>
      <c r="E271" s="50">
        <f t="shared" si="1293"/>
        <v>4.8671732492899151</v>
      </c>
      <c r="F271" s="50">
        <f t="shared" si="1293"/>
        <v>4.3713442037426002</v>
      </c>
      <c r="G271" s="50">
        <f t="shared" si="1293"/>
        <v>4.2438092060216297</v>
      </c>
      <c r="H271" s="50">
        <f t="shared" si="1293"/>
        <v>4.5183686821461961</v>
      </c>
      <c r="I271" s="50">
        <f t="shared" si="1293"/>
        <v>3.9215630768924203</v>
      </c>
      <c r="J271" s="50">
        <f t="shared" si="1293"/>
        <v>4.2573092922397944</v>
      </c>
      <c r="K271" s="50">
        <f t="shared" si="1293"/>
        <v>4.2331413455627294</v>
      </c>
      <c r="L271" s="50">
        <f t="shared" si="1293"/>
        <v>4.3457241113575931</v>
      </c>
      <c r="M271" s="50">
        <f t="shared" si="1293"/>
        <v>4.1851259379101071</v>
      </c>
      <c r="N271" s="50">
        <f t="shared" si="1293"/>
        <v>4.196130414110252</v>
      </c>
      <c r="O271" s="50">
        <f t="shared" si="1293"/>
        <v>4.1204406497314121</v>
      </c>
      <c r="P271" s="50">
        <f t="shared" si="1293"/>
        <v>4.2085892238360225</v>
      </c>
      <c r="Q271" s="50">
        <f t="shared" si="1293"/>
        <v>4.0511298650408669</v>
      </c>
      <c r="R271" s="50">
        <f t="shared" ref="R271:CC271" si="1296">IFERROR(R15/R$29*100,"")</f>
        <v>4.049942205820269</v>
      </c>
      <c r="S271" s="50">
        <f t="shared" si="1296"/>
        <v>3.8786275070812608</v>
      </c>
      <c r="T271" s="50">
        <f t="shared" si="1296"/>
        <v>3.7223787999289453</v>
      </c>
      <c r="U271" s="50">
        <f t="shared" si="1296"/>
        <v>3.9161943237632788</v>
      </c>
      <c r="V271" s="50">
        <f t="shared" si="1296"/>
        <v>3.7439184903499227</v>
      </c>
      <c r="W271" s="50">
        <f t="shared" si="1296"/>
        <v>3.6920366385103409</v>
      </c>
      <c r="X271" s="50">
        <f t="shared" si="1296"/>
        <v>3.6850865543054119</v>
      </c>
      <c r="Y271" s="50">
        <f t="shared" si="1296"/>
        <v>3.6616059213642589</v>
      </c>
      <c r="Z271" s="50">
        <f t="shared" si="1296"/>
        <v>3.6945986910144972</v>
      </c>
      <c r="AA271" s="50">
        <f t="shared" si="1296"/>
        <v>3.9792773025898946</v>
      </c>
      <c r="AB271" s="50">
        <f t="shared" si="1296"/>
        <v>3.7404855969582438</v>
      </c>
      <c r="AC271" s="50">
        <f t="shared" si="1296"/>
        <v>3.6199113319349814</v>
      </c>
      <c r="AD271" s="50">
        <f t="shared" si="1296"/>
        <v>3.3956994037522001</v>
      </c>
      <c r="AE271" s="50">
        <f t="shared" si="1296"/>
        <v>3.6689744837588676</v>
      </c>
      <c r="AF271" s="50">
        <f t="shared" si="1296"/>
        <v>3.7205713259691158</v>
      </c>
      <c r="AG271" s="50">
        <f t="shared" si="1296"/>
        <v>3.5801306489866978</v>
      </c>
      <c r="AH271" s="50">
        <f t="shared" si="1296"/>
        <v>3.5226909191109801</v>
      </c>
      <c r="AI271" s="50">
        <f t="shared" si="1296"/>
        <v>3.5439472091358324</v>
      </c>
      <c r="AJ271" s="50">
        <f t="shared" si="1296"/>
        <v>3.5892543883500654</v>
      </c>
      <c r="AK271" s="50">
        <f t="shared" si="1296"/>
        <v>3.5716001457494158</v>
      </c>
      <c r="AL271" s="50">
        <f t="shared" si="1296"/>
        <v>3.5669446109404319</v>
      </c>
      <c r="AM271" s="50">
        <f t="shared" si="1296"/>
        <v>3.5725173604672089</v>
      </c>
      <c r="AN271" s="50">
        <f t="shared" si="1296"/>
        <v>3.7519228036721377</v>
      </c>
      <c r="AO271" s="50">
        <f t="shared" si="1296"/>
        <v>3.6189140753481799</v>
      </c>
      <c r="AP271" s="50">
        <f t="shared" si="1296"/>
        <v>3.5288979684527426</v>
      </c>
      <c r="AQ271" s="50">
        <f t="shared" si="1296"/>
        <v>3.5149030323235131</v>
      </c>
      <c r="AR271" s="50">
        <f t="shared" si="1296"/>
        <v>3.6430921999548915</v>
      </c>
      <c r="AS271" s="50">
        <f t="shared" si="1296"/>
        <v>3.7906864398091211</v>
      </c>
      <c r="AT271" s="50">
        <f t="shared" si="1296"/>
        <v>3.6234143071797793</v>
      </c>
      <c r="AU271" s="50">
        <f t="shared" si="1296"/>
        <v>3.7141268362718174</v>
      </c>
      <c r="AV271" s="50">
        <f t="shared" si="1296"/>
        <v>3.6755031854725972</v>
      </c>
      <c r="AW271" s="50">
        <f t="shared" si="1296"/>
        <v>3.690385105111583</v>
      </c>
      <c r="AX271" s="50">
        <f t="shared" si="1296"/>
        <v>3.7382015149550343</v>
      </c>
      <c r="AY271" s="50">
        <f t="shared" si="1296"/>
        <v>3.7049232603148461</v>
      </c>
      <c r="AZ271" s="50">
        <f t="shared" si="1296"/>
        <v>3.8165181902746301</v>
      </c>
      <c r="BA271" s="50">
        <f t="shared" si="1296"/>
        <v>3.9002672557028295</v>
      </c>
      <c r="BB271" s="50">
        <f t="shared" si="1296"/>
        <v>3.8323594172417206</v>
      </c>
      <c r="BC271" s="50">
        <f t="shared" si="1296"/>
        <v>3.8018104352723285</v>
      </c>
      <c r="BD271" s="50">
        <f t="shared" si="1296"/>
        <v>3.8372438558878348</v>
      </c>
      <c r="BE271" s="50">
        <f t="shared" si="1296"/>
        <v>3.9682182850036121</v>
      </c>
      <c r="BF271" s="50">
        <f t="shared" si="1296"/>
        <v>3.9471025529940613</v>
      </c>
      <c r="BG271" s="50">
        <f t="shared" si="1296"/>
        <v>4.0480106025049842</v>
      </c>
      <c r="BH271" s="50">
        <f t="shared" si="1296"/>
        <v>4.1685037446535391</v>
      </c>
      <c r="BI271" s="50">
        <f t="shared" si="1296"/>
        <v>4.0352231569319335</v>
      </c>
      <c r="BJ271" s="50">
        <f t="shared" si="1296"/>
        <v>4.2967199537654768</v>
      </c>
      <c r="BK271" s="50">
        <f t="shared" si="1296"/>
        <v>4.1503561200782304</v>
      </c>
      <c r="BL271" s="50">
        <f t="shared" si="1296"/>
        <v>4.1829741167438215</v>
      </c>
      <c r="BM271" s="50">
        <f t="shared" si="1296"/>
        <v>4.2973131553434856</v>
      </c>
      <c r="BN271" s="50">
        <f t="shared" si="1296"/>
        <v>4.2321607688598837</v>
      </c>
      <c r="BO271" s="50">
        <f t="shared" si="1296"/>
        <v>4.3033488292359294</v>
      </c>
      <c r="BP271" s="50">
        <f t="shared" si="1296"/>
        <v>4.1340342211099284</v>
      </c>
      <c r="BQ271" s="50">
        <f t="shared" si="1296"/>
        <v>4.0719252442529257</v>
      </c>
      <c r="BR271" s="50">
        <f t="shared" si="1296"/>
        <v>4.1760606330084951</v>
      </c>
      <c r="BS271" s="50">
        <f t="shared" si="1296"/>
        <v>4.1695933163424987</v>
      </c>
      <c r="BT271" s="50">
        <f t="shared" si="1296"/>
        <v>4.3609732140636641</v>
      </c>
      <c r="BU271" s="50">
        <f t="shared" si="1296"/>
        <v>4.2065096293198554</v>
      </c>
      <c r="BV271" s="50">
        <f t="shared" si="1296"/>
        <v>4.1481819194609315</v>
      </c>
      <c r="BW271" s="50">
        <f t="shared" si="1296"/>
        <v>4.1880568327057182</v>
      </c>
      <c r="BX271" s="50">
        <f t="shared" si="1296"/>
        <v>4.2223814529328694</v>
      </c>
      <c r="BY271" s="50">
        <f t="shared" si="1296"/>
        <v>4.3598693004546982</v>
      </c>
      <c r="BZ271" s="50">
        <f t="shared" si="1296"/>
        <v>4.2095961493012428</v>
      </c>
      <c r="CA271" s="50">
        <f t="shared" si="1296"/>
        <v>4.2889273906067986</v>
      </c>
      <c r="CB271" s="50">
        <f t="shared" si="1296"/>
        <v>4.4642175490298381</v>
      </c>
      <c r="CC271" s="50">
        <f t="shared" si="1296"/>
        <v>4.3310425064449376</v>
      </c>
      <c r="CD271" s="50">
        <f t="shared" ref="CD271:CR271" si="1297">IFERROR(CD15/CD$29*100,"")</f>
        <v>5.0805627302097633</v>
      </c>
      <c r="CE271" s="50">
        <f t="shared" si="1297"/>
        <v>4.4901885880112893</v>
      </c>
      <c r="CF271" s="50">
        <f t="shared" si="1297"/>
        <v>4.5733402838768695</v>
      </c>
      <c r="CG271" s="50">
        <f t="shared" si="1297"/>
        <v>4.9017285575680187</v>
      </c>
      <c r="CH271" s="50">
        <f t="shared" si="1297"/>
        <v>4.758210867907434</v>
      </c>
      <c r="CI271" s="50">
        <f t="shared" si="1297"/>
        <v>5.1189287321447532</v>
      </c>
      <c r="CJ271" s="50">
        <f t="shared" si="1297"/>
        <v>4.7465871249717395</v>
      </c>
      <c r="CK271" s="50">
        <f t="shared" si="1297"/>
        <v>4.6025684006465388</v>
      </c>
      <c r="CL271" s="50">
        <f t="shared" si="1297"/>
        <v>4.661572901437788</v>
      </c>
      <c r="CM271" s="50">
        <f t="shared" si="1297"/>
        <v>4.777301301258178</v>
      </c>
      <c r="CN271" s="50" t="str">
        <f t="shared" si="1297"/>
        <v/>
      </c>
      <c r="CO271" s="50" t="str">
        <f t="shared" si="1297"/>
        <v/>
      </c>
      <c r="CP271" s="50" t="str">
        <f t="shared" si="1297"/>
        <v/>
      </c>
      <c r="CQ271" s="50" t="str">
        <f t="shared" si="1297"/>
        <v/>
      </c>
      <c r="CR271" s="50" t="str">
        <f t="shared" si="1297"/>
        <v/>
      </c>
    </row>
    <row r="272" spans="1:96" s="9" customFormat="1" ht="15" x14ac:dyDescent="0.4">
      <c r="A272" s="25"/>
      <c r="B272" s="22"/>
      <c r="C272" s="22"/>
      <c r="D272" s="22"/>
      <c r="E272" s="22"/>
      <c r="F272" s="24"/>
      <c r="G272" s="22"/>
      <c r="H272" s="22"/>
      <c r="I272" s="22"/>
      <c r="J272" s="22"/>
      <c r="K272" s="24"/>
      <c r="L272" s="22"/>
      <c r="M272" s="22"/>
      <c r="N272" s="22"/>
      <c r="O272" s="22"/>
      <c r="P272" s="24"/>
      <c r="Q272" s="22"/>
      <c r="R272" s="22"/>
      <c r="S272" s="22"/>
      <c r="T272" s="22"/>
      <c r="U272" s="24"/>
      <c r="V272" s="22"/>
      <c r="W272" s="22"/>
      <c r="X272" s="22"/>
      <c r="Y272" s="22"/>
      <c r="Z272" s="24"/>
      <c r="AA272" s="22"/>
      <c r="AB272" s="22"/>
      <c r="AC272" s="22"/>
      <c r="AD272" s="22"/>
      <c r="AE272" s="24"/>
      <c r="AF272" s="22"/>
      <c r="AG272" s="22"/>
      <c r="AH272" s="22"/>
      <c r="AI272" s="22"/>
      <c r="AJ272" s="24"/>
      <c r="AK272" s="22"/>
      <c r="AL272" s="22"/>
      <c r="AM272" s="22"/>
      <c r="AN272" s="22"/>
      <c r="AO272" s="24"/>
      <c r="AP272" s="22"/>
      <c r="AQ272" s="22"/>
      <c r="AR272" s="22"/>
      <c r="AS272" s="22"/>
      <c r="AT272" s="24"/>
      <c r="AU272" s="22"/>
      <c r="AV272" s="22"/>
      <c r="AW272" s="22"/>
      <c r="AX272" s="22"/>
      <c r="AY272" s="24"/>
      <c r="AZ272" s="22"/>
      <c r="BA272" s="22"/>
      <c r="BB272" s="22"/>
      <c r="BC272" s="22"/>
      <c r="BD272" s="24"/>
      <c r="BE272" s="22"/>
      <c r="BF272" s="22"/>
      <c r="BG272" s="22"/>
      <c r="BH272" s="22"/>
      <c r="BI272" s="24"/>
      <c r="BJ272" s="22"/>
      <c r="BK272" s="22"/>
      <c r="BL272" s="22"/>
      <c r="BM272" s="22"/>
      <c r="BN272" s="24"/>
      <c r="BO272" s="22"/>
      <c r="BP272" s="22"/>
      <c r="BQ272" s="22"/>
      <c r="BR272" s="22"/>
      <c r="BS272" s="24"/>
      <c r="BT272" s="22"/>
      <c r="BU272" s="22"/>
      <c r="BV272" s="22"/>
      <c r="BW272" s="22"/>
      <c r="BX272" s="24"/>
      <c r="BY272" s="22"/>
      <c r="BZ272" s="22"/>
      <c r="CA272" s="22"/>
      <c r="CB272" s="22"/>
      <c r="CC272" s="24"/>
      <c r="CD272" s="22"/>
      <c r="CE272" s="22"/>
      <c r="CF272" s="22"/>
      <c r="CG272" s="22"/>
      <c r="CH272" s="24"/>
      <c r="CI272" s="22"/>
      <c r="CJ272" s="22"/>
      <c r="CK272" s="22"/>
      <c r="CL272" s="22"/>
      <c r="CM272" s="24"/>
      <c r="CN272" s="22"/>
      <c r="CO272" s="22"/>
      <c r="CP272" s="22"/>
      <c r="CQ272" s="22"/>
      <c r="CR272" s="24"/>
    </row>
    <row r="273" spans="1:96" s="17" customFormat="1" ht="15" x14ac:dyDescent="0.4">
      <c r="A273" s="15" t="s">
        <v>88</v>
      </c>
      <c r="B273" s="50">
        <f t="shared" si="1293"/>
        <v>46.418898133466612</v>
      </c>
      <c r="C273" s="50">
        <f t="shared" si="1293"/>
        <v>54.122076898277768</v>
      </c>
      <c r="D273" s="50">
        <f t="shared" si="1293"/>
        <v>56.167427675067394</v>
      </c>
      <c r="E273" s="50">
        <f t="shared" si="1293"/>
        <v>56.480886644820259</v>
      </c>
      <c r="F273" s="50">
        <f t="shared" si="1293"/>
        <v>53.461861609800501</v>
      </c>
      <c r="G273" s="50">
        <f t="shared" si="1293"/>
        <v>52.839123558174492</v>
      </c>
      <c r="H273" s="50">
        <f t="shared" si="1293"/>
        <v>60.185787315294313</v>
      </c>
      <c r="I273" s="50">
        <f t="shared" si="1293"/>
        <v>60.152870291269487</v>
      </c>
      <c r="J273" s="50">
        <f t="shared" si="1293"/>
        <v>65.083854025861797</v>
      </c>
      <c r="K273" s="50">
        <f t="shared" si="1293"/>
        <v>59.746631839845477</v>
      </c>
      <c r="L273" s="50">
        <f t="shared" si="1293"/>
        <v>51.617803256277959</v>
      </c>
      <c r="M273" s="50">
        <f t="shared" si="1293"/>
        <v>55.359810390779515</v>
      </c>
      <c r="N273" s="50">
        <f t="shared" si="1293"/>
        <v>57.589215448717859</v>
      </c>
      <c r="O273" s="50">
        <f t="shared" si="1293"/>
        <v>65.418757068432626</v>
      </c>
      <c r="P273" s="50">
        <f t="shared" si="1293"/>
        <v>57.699562852465327</v>
      </c>
      <c r="Q273" s="50">
        <f t="shared" si="1293"/>
        <v>55.826739233726087</v>
      </c>
      <c r="R273" s="50">
        <f t="shared" ref="R273:CC273" si="1298">IFERROR(R17/R$29*100,"")</f>
        <v>64.167693302619895</v>
      </c>
      <c r="S273" s="50">
        <f t="shared" si="1298"/>
        <v>68.747598806407922</v>
      </c>
      <c r="T273" s="50">
        <f t="shared" si="1298"/>
        <v>67.25965737186813</v>
      </c>
      <c r="U273" s="50">
        <f t="shared" si="1298"/>
        <v>64.283162321787827</v>
      </c>
      <c r="V273" s="50">
        <f t="shared" si="1298"/>
        <v>50.727206907913313</v>
      </c>
      <c r="W273" s="50">
        <f t="shared" si="1298"/>
        <v>61.337338289766627</v>
      </c>
      <c r="X273" s="50">
        <f t="shared" si="1298"/>
        <v>61.24531546789985</v>
      </c>
      <c r="Y273" s="50">
        <f t="shared" si="1298"/>
        <v>67.275026508834841</v>
      </c>
      <c r="Z273" s="50">
        <f t="shared" si="1298"/>
        <v>60.354162786308542</v>
      </c>
      <c r="AA273" s="50">
        <f t="shared" si="1298"/>
        <v>52.332886891572002</v>
      </c>
      <c r="AB273" s="50">
        <f t="shared" si="1298"/>
        <v>60.089741492238637</v>
      </c>
      <c r="AC273" s="50">
        <f t="shared" si="1298"/>
        <v>61.393306319877908</v>
      </c>
      <c r="AD273" s="50">
        <f t="shared" si="1298"/>
        <v>61.920408943636495</v>
      </c>
      <c r="AE273" s="50">
        <f t="shared" si="1298"/>
        <v>59.162507139850227</v>
      </c>
      <c r="AF273" s="50">
        <f t="shared" si="1298"/>
        <v>50.628084254686222</v>
      </c>
      <c r="AG273" s="50">
        <f t="shared" si="1298"/>
        <v>56.209489125567593</v>
      </c>
      <c r="AH273" s="50">
        <f t="shared" si="1298"/>
        <v>59.253195282758767</v>
      </c>
      <c r="AI273" s="50">
        <f t="shared" si="1298"/>
        <v>63.34520983985842</v>
      </c>
      <c r="AJ273" s="50">
        <f t="shared" si="1298"/>
        <v>57.544439937843286</v>
      </c>
      <c r="AK273" s="50">
        <f t="shared" si="1298"/>
        <v>53.25705033442523</v>
      </c>
      <c r="AL273" s="50">
        <f t="shared" si="1298"/>
        <v>56.341361241834278</v>
      </c>
      <c r="AM273" s="50">
        <f t="shared" si="1298"/>
        <v>58.94946032048702</v>
      </c>
      <c r="AN273" s="50">
        <f t="shared" si="1298"/>
        <v>62.623476984350056</v>
      </c>
      <c r="AO273" s="50">
        <f t="shared" si="1298"/>
        <v>57.961314897213455</v>
      </c>
      <c r="AP273" s="50">
        <f t="shared" si="1298"/>
        <v>53.15751636723266</v>
      </c>
      <c r="AQ273" s="50">
        <f t="shared" si="1298"/>
        <v>54.947587902012593</v>
      </c>
      <c r="AR273" s="50">
        <f t="shared" si="1298"/>
        <v>57.904711952641442</v>
      </c>
      <c r="AS273" s="50">
        <f t="shared" si="1298"/>
        <v>61.753876425162701</v>
      </c>
      <c r="AT273" s="50">
        <f t="shared" si="1298"/>
        <v>57.070209814928027</v>
      </c>
      <c r="AU273" s="50">
        <f t="shared" si="1298"/>
        <v>52.290935799306752</v>
      </c>
      <c r="AV273" s="50">
        <f t="shared" si="1298"/>
        <v>53.891266398275249</v>
      </c>
      <c r="AW273" s="50">
        <f t="shared" si="1298"/>
        <v>57.035988229258017</v>
      </c>
      <c r="AX273" s="50">
        <f t="shared" si="1298"/>
        <v>59.200359672408212</v>
      </c>
      <c r="AY273" s="50">
        <f t="shared" si="1298"/>
        <v>55.702309759538046</v>
      </c>
      <c r="AZ273" s="50">
        <f t="shared" si="1298"/>
        <v>49.2799324996301</v>
      </c>
      <c r="BA273" s="50">
        <f t="shared" si="1298"/>
        <v>51.138329637857041</v>
      </c>
      <c r="BB273" s="50">
        <f t="shared" si="1298"/>
        <v>53.759143852623126</v>
      </c>
      <c r="BC273" s="50">
        <f t="shared" si="1298"/>
        <v>56.255736151471744</v>
      </c>
      <c r="BD273" s="50">
        <f t="shared" si="1298"/>
        <v>52.708581159997777</v>
      </c>
      <c r="BE273" s="50">
        <f t="shared" si="1298"/>
        <v>47.423819802813348</v>
      </c>
      <c r="BF273" s="50">
        <f t="shared" si="1298"/>
        <v>51.564943611742521</v>
      </c>
      <c r="BG273" s="50">
        <f t="shared" si="1298"/>
        <v>57.208509599665256</v>
      </c>
      <c r="BH273" s="50">
        <f t="shared" si="1298"/>
        <v>61.059377575137333</v>
      </c>
      <c r="BI273" s="50">
        <f t="shared" si="1298"/>
        <v>54.473209251068141</v>
      </c>
      <c r="BJ273" s="50">
        <f t="shared" si="1298"/>
        <v>31.832143343136543</v>
      </c>
      <c r="BK273" s="50">
        <f t="shared" si="1298"/>
        <v>38.966854294170176</v>
      </c>
      <c r="BL273" s="50">
        <f t="shared" si="1298"/>
        <v>41.581592432345047</v>
      </c>
      <c r="BM273" s="50">
        <f t="shared" si="1298"/>
        <v>50.450356797143371</v>
      </c>
      <c r="BN273" s="50">
        <f t="shared" si="1298"/>
        <v>40.717943958507114</v>
      </c>
      <c r="BO273" s="50">
        <f t="shared" si="1298"/>
        <v>23.418465730342628</v>
      </c>
      <c r="BP273" s="50">
        <f t="shared" si="1298"/>
        <v>44.330255183425209</v>
      </c>
      <c r="BQ273" s="50">
        <f t="shared" si="1298"/>
        <v>35.011391843672563</v>
      </c>
      <c r="BR273" s="50">
        <f t="shared" si="1298"/>
        <v>56.944666236402952</v>
      </c>
      <c r="BS273" s="50">
        <f t="shared" si="1298"/>
        <v>40.307800971475288</v>
      </c>
      <c r="BT273" s="50">
        <f t="shared" si="1298"/>
        <v>23.209809042323204</v>
      </c>
      <c r="BU273" s="50">
        <f t="shared" si="1298"/>
        <v>30.385536451462492</v>
      </c>
      <c r="BV273" s="50">
        <f t="shared" si="1298"/>
        <v>36.623548653586923</v>
      </c>
      <c r="BW273" s="50">
        <f t="shared" si="1298"/>
        <v>48.634379079478961</v>
      </c>
      <c r="BX273" s="50">
        <f t="shared" si="1298"/>
        <v>35.170326853045133</v>
      </c>
      <c r="BY273" s="50">
        <f t="shared" si="1298"/>
        <v>21.451098016823408</v>
      </c>
      <c r="BZ273" s="50">
        <f t="shared" si="1298"/>
        <v>33.481608212863399</v>
      </c>
      <c r="CA273" s="50">
        <f t="shared" si="1298"/>
        <v>31.384110175544027</v>
      </c>
      <c r="CB273" s="50">
        <f t="shared" si="1298"/>
        <v>45.132424982545864</v>
      </c>
      <c r="CC273" s="50">
        <f t="shared" si="1298"/>
        <v>33.131429285548222</v>
      </c>
      <c r="CD273" s="50">
        <f t="shared" ref="CD273:CR273" si="1299">IFERROR(CD17/CD$29*100,"")</f>
        <v>22.124737222242914</v>
      </c>
      <c r="CE273" s="50">
        <f t="shared" si="1299"/>
        <v>32.754012893166731</v>
      </c>
      <c r="CF273" s="50">
        <f t="shared" si="1299"/>
        <v>30.131767314835852</v>
      </c>
      <c r="CG273" s="50">
        <f t="shared" si="1299"/>
        <v>43.385287793443013</v>
      </c>
      <c r="CH273" s="50">
        <f t="shared" si="1299"/>
        <v>32.328125826760221</v>
      </c>
      <c r="CI273" s="50">
        <f t="shared" si="1299"/>
        <v>23.086818670413116</v>
      </c>
      <c r="CJ273" s="50">
        <f t="shared" si="1299"/>
        <v>27.731913189192152</v>
      </c>
      <c r="CK273" s="50">
        <f t="shared" si="1299"/>
        <v>27.61967018691648</v>
      </c>
      <c r="CL273" s="50">
        <f t="shared" si="1299"/>
        <v>33.381584642804171</v>
      </c>
      <c r="CM273" s="50">
        <f t="shared" si="1299"/>
        <v>28.067768606639952</v>
      </c>
      <c r="CN273" s="50" t="str">
        <f t="shared" si="1299"/>
        <v/>
      </c>
      <c r="CO273" s="50" t="str">
        <f t="shared" si="1299"/>
        <v/>
      </c>
      <c r="CP273" s="50" t="str">
        <f t="shared" si="1299"/>
        <v/>
      </c>
      <c r="CQ273" s="50" t="str">
        <f t="shared" si="1299"/>
        <v/>
      </c>
      <c r="CR273" s="50" t="str">
        <f t="shared" si="1299"/>
        <v/>
      </c>
    </row>
    <row r="274" spans="1:96" s="9" customFormat="1" ht="15" x14ac:dyDescent="0.4">
      <c r="A274" s="25"/>
      <c r="B274" s="22"/>
      <c r="C274" s="22"/>
      <c r="D274" s="22"/>
      <c r="E274" s="22"/>
      <c r="F274" s="24"/>
      <c r="G274" s="22"/>
      <c r="H274" s="22"/>
      <c r="I274" s="22"/>
      <c r="J274" s="22"/>
      <c r="K274" s="24"/>
      <c r="L274" s="22"/>
      <c r="M274" s="22"/>
      <c r="N274" s="22"/>
      <c r="O274" s="22"/>
      <c r="P274" s="24"/>
      <c r="Q274" s="22"/>
      <c r="R274" s="22"/>
      <c r="S274" s="22"/>
      <c r="T274" s="22"/>
      <c r="U274" s="24"/>
      <c r="V274" s="22"/>
      <c r="W274" s="22"/>
      <c r="X274" s="22"/>
      <c r="Y274" s="22"/>
      <c r="Z274" s="24"/>
      <c r="AA274" s="22"/>
      <c r="AB274" s="22"/>
      <c r="AC274" s="22"/>
      <c r="AD274" s="22"/>
      <c r="AE274" s="24"/>
      <c r="AF274" s="22"/>
      <c r="AG274" s="22"/>
      <c r="AH274" s="22"/>
      <c r="AI274" s="22"/>
      <c r="AJ274" s="24"/>
      <c r="AK274" s="22"/>
      <c r="AL274" s="22"/>
      <c r="AM274" s="22"/>
      <c r="AN274" s="22"/>
      <c r="AO274" s="24"/>
      <c r="AP274" s="22"/>
      <c r="AQ274" s="22"/>
      <c r="AR274" s="22"/>
      <c r="AS274" s="22"/>
      <c r="AT274" s="24"/>
      <c r="AU274" s="22"/>
      <c r="AV274" s="22"/>
      <c r="AW274" s="22"/>
      <c r="AX274" s="22"/>
      <c r="AY274" s="24"/>
      <c r="AZ274" s="22"/>
      <c r="BA274" s="22"/>
      <c r="BB274" s="22"/>
      <c r="BC274" s="22"/>
      <c r="BD274" s="24"/>
      <c r="BE274" s="22"/>
      <c r="BF274" s="22"/>
      <c r="BG274" s="22"/>
      <c r="BH274" s="22"/>
      <c r="BI274" s="24"/>
      <c r="BJ274" s="22"/>
      <c r="BK274" s="22"/>
      <c r="BL274" s="22"/>
      <c r="BM274" s="22"/>
      <c r="BN274" s="24"/>
      <c r="BO274" s="22"/>
      <c r="BP274" s="22"/>
      <c r="BQ274" s="22"/>
      <c r="BR274" s="22"/>
      <c r="BS274" s="24"/>
      <c r="BT274" s="22"/>
      <c r="BU274" s="22"/>
      <c r="BV274" s="22"/>
      <c r="BW274" s="22"/>
      <c r="BX274" s="24"/>
      <c r="BY274" s="22"/>
      <c r="BZ274" s="22"/>
      <c r="CA274" s="22"/>
      <c r="CB274" s="22"/>
      <c r="CC274" s="24"/>
      <c r="CD274" s="22"/>
      <c r="CE274" s="22"/>
      <c r="CF274" s="22"/>
      <c r="CG274" s="22"/>
      <c r="CH274" s="24"/>
      <c r="CI274" s="22"/>
      <c r="CJ274" s="22"/>
      <c r="CK274" s="22"/>
      <c r="CL274" s="22"/>
      <c r="CM274" s="24"/>
      <c r="CN274" s="22"/>
      <c r="CO274" s="22"/>
      <c r="CP274" s="22"/>
      <c r="CQ274" s="22"/>
      <c r="CR274" s="24"/>
    </row>
    <row r="275" spans="1:96" s="17" customFormat="1" ht="15" x14ac:dyDescent="0.4">
      <c r="A275" s="15" t="s">
        <v>89</v>
      </c>
      <c r="B275" s="50">
        <f t="shared" si="1293"/>
        <v>45.316732112628991</v>
      </c>
      <c r="C275" s="50">
        <f t="shared" si="1293"/>
        <v>44.190641817704972</v>
      </c>
      <c r="D275" s="50">
        <f t="shared" si="1293"/>
        <v>43.676178642956643</v>
      </c>
      <c r="E275" s="50">
        <f t="shared" si="1293"/>
        <v>43.257534916876104</v>
      </c>
      <c r="F275" s="50">
        <f t="shared" si="1293"/>
        <v>44.075595987194724</v>
      </c>
      <c r="G275" s="50">
        <f t="shared" si="1293"/>
        <v>38.46786637032681</v>
      </c>
      <c r="H275" s="50">
        <f t="shared" si="1293"/>
        <v>39.714985960810964</v>
      </c>
      <c r="I275" s="50">
        <f t="shared" si="1293"/>
        <v>41.076497338089432</v>
      </c>
      <c r="J275" s="50">
        <f t="shared" si="1293"/>
        <v>41.517718923812794</v>
      </c>
      <c r="K275" s="50">
        <f t="shared" si="1293"/>
        <v>40.24455276621304</v>
      </c>
      <c r="L275" s="50">
        <f t="shared" si="1293"/>
        <v>40.167852776476586</v>
      </c>
      <c r="M275" s="50">
        <f t="shared" si="1293"/>
        <v>43.946283593481162</v>
      </c>
      <c r="N275" s="50">
        <f t="shared" si="1293"/>
        <v>43.101709646604156</v>
      </c>
      <c r="O275" s="50">
        <f t="shared" si="1293"/>
        <v>42.113616402845963</v>
      </c>
      <c r="P275" s="50">
        <f t="shared" si="1293"/>
        <v>42.361230225500677</v>
      </c>
      <c r="Q275" s="50">
        <f t="shared" si="1293"/>
        <v>45.126069967530611</v>
      </c>
      <c r="R275" s="50">
        <f t="shared" ref="R275:CC277" si="1300">IFERROR(R19/R$29*100,"")</f>
        <v>46.129458180992643</v>
      </c>
      <c r="S275" s="50">
        <f t="shared" si="1300"/>
        <v>44.572247620059869</v>
      </c>
      <c r="T275" s="50">
        <f t="shared" si="1300"/>
        <v>44.4837648981065</v>
      </c>
      <c r="U275" s="50">
        <f t="shared" si="1300"/>
        <v>45.047526836755516</v>
      </c>
      <c r="V275" s="50">
        <f t="shared" si="1300"/>
        <v>48.076999323048263</v>
      </c>
      <c r="W275" s="50">
        <f t="shared" si="1300"/>
        <v>51.684460726093185</v>
      </c>
      <c r="X275" s="50">
        <f t="shared" si="1300"/>
        <v>53.299482314580928</v>
      </c>
      <c r="Y275" s="50">
        <f t="shared" si="1300"/>
        <v>53.453555674963425</v>
      </c>
      <c r="Z275" s="50">
        <f t="shared" si="1300"/>
        <v>51.703138964388941</v>
      </c>
      <c r="AA275" s="50">
        <f t="shared" si="1300"/>
        <v>56.680971446797521</v>
      </c>
      <c r="AB275" s="50">
        <f t="shared" si="1300"/>
        <v>47.810681531362007</v>
      </c>
      <c r="AC275" s="50">
        <f t="shared" si="1300"/>
        <v>50.297710592813871</v>
      </c>
      <c r="AD275" s="50">
        <f t="shared" si="1300"/>
        <v>50.188697273913974</v>
      </c>
      <c r="AE275" s="50">
        <f t="shared" si="1300"/>
        <v>51.119630273226569</v>
      </c>
      <c r="AF275" s="50">
        <f t="shared" si="1300"/>
        <v>53.118555652452017</v>
      </c>
      <c r="AG275" s="50">
        <f t="shared" si="1300"/>
        <v>48.255671198051701</v>
      </c>
      <c r="AH275" s="50">
        <f t="shared" si="1300"/>
        <v>48.208539651014391</v>
      </c>
      <c r="AI275" s="50">
        <f t="shared" si="1300"/>
        <v>49.314460065006301</v>
      </c>
      <c r="AJ275" s="50">
        <f t="shared" si="1300"/>
        <v>49.676303709584005</v>
      </c>
      <c r="AK275" s="50">
        <f t="shared" si="1300"/>
        <v>47.38803293955641</v>
      </c>
      <c r="AL275" s="50">
        <f t="shared" si="1300"/>
        <v>48.784902894570074</v>
      </c>
      <c r="AM275" s="50">
        <f t="shared" si="1300"/>
        <v>49.219046668601635</v>
      </c>
      <c r="AN275" s="50">
        <f t="shared" si="1300"/>
        <v>51.398150751136008</v>
      </c>
      <c r="AO275" s="50">
        <f t="shared" si="1300"/>
        <v>49.266608489389029</v>
      </c>
      <c r="AP275" s="50">
        <f t="shared" si="1300"/>
        <v>48.756573504839821</v>
      </c>
      <c r="AQ275" s="50">
        <f t="shared" si="1300"/>
        <v>48.795253194102287</v>
      </c>
      <c r="AR275" s="50">
        <f t="shared" si="1300"/>
        <v>50.571230998836249</v>
      </c>
      <c r="AS275" s="50">
        <f t="shared" si="1300"/>
        <v>52.478690829166254</v>
      </c>
      <c r="AT275" s="50">
        <f t="shared" si="1300"/>
        <v>50.207636544088189</v>
      </c>
      <c r="AU275" s="50">
        <f t="shared" si="1300"/>
        <v>50.247088033363596</v>
      </c>
      <c r="AV275" s="50">
        <f t="shared" si="1300"/>
        <v>50.825206119052979</v>
      </c>
      <c r="AW275" s="50">
        <f t="shared" si="1300"/>
        <v>51.877193552788569</v>
      </c>
      <c r="AX275" s="50">
        <f t="shared" si="1300"/>
        <v>53.59870433989957</v>
      </c>
      <c r="AY275" s="50">
        <f t="shared" si="1300"/>
        <v>51.682778693933869</v>
      </c>
      <c r="AZ275" s="50">
        <f t="shared" si="1300"/>
        <v>52.116289031676722</v>
      </c>
      <c r="BA275" s="50">
        <f t="shared" si="1300"/>
        <v>51.750442658607952</v>
      </c>
      <c r="BB275" s="50">
        <f t="shared" si="1300"/>
        <v>51.045416640241605</v>
      </c>
      <c r="BC275" s="50">
        <f t="shared" si="1300"/>
        <v>51.552036848516522</v>
      </c>
      <c r="BD275" s="50">
        <f t="shared" si="1300"/>
        <v>51.605247970109914</v>
      </c>
      <c r="BE275" s="50">
        <f t="shared" si="1300"/>
        <v>51.303132683251995</v>
      </c>
      <c r="BF275" s="50">
        <f t="shared" si="1300"/>
        <v>51.369900469717336</v>
      </c>
      <c r="BG275" s="50">
        <f t="shared" si="1300"/>
        <v>53.289312935918296</v>
      </c>
      <c r="BH275" s="50">
        <f t="shared" si="1300"/>
        <v>54.745453438467926</v>
      </c>
      <c r="BI275" s="50">
        <f t="shared" si="1300"/>
        <v>52.717348224526226</v>
      </c>
      <c r="BJ275" s="50">
        <f t="shared" si="1300"/>
        <v>51.087626041167546</v>
      </c>
      <c r="BK275" s="50">
        <f t="shared" si="1300"/>
        <v>52.941982895713046</v>
      </c>
      <c r="BL275" s="50">
        <f t="shared" si="1300"/>
        <v>55.529854059559149</v>
      </c>
      <c r="BM275" s="50">
        <f t="shared" si="1300"/>
        <v>55.783512067417448</v>
      </c>
      <c r="BN275" s="50">
        <f t="shared" si="1300"/>
        <v>53.838253810742799</v>
      </c>
      <c r="BO275" s="50">
        <f t="shared" si="1300"/>
        <v>54.470180766021478</v>
      </c>
      <c r="BP275" s="50">
        <f t="shared" si="1300"/>
        <v>53.373798612895271</v>
      </c>
      <c r="BQ275" s="50">
        <f t="shared" si="1300"/>
        <v>56.470676039062475</v>
      </c>
      <c r="BR275" s="50">
        <f t="shared" si="1300"/>
        <v>55.534764277195848</v>
      </c>
      <c r="BS275" s="50">
        <f t="shared" si="1300"/>
        <v>54.977697666146895</v>
      </c>
      <c r="BT275" s="50">
        <f t="shared" si="1300"/>
        <v>51.366187848889567</v>
      </c>
      <c r="BU275" s="50">
        <f t="shared" si="1300"/>
        <v>52.320951323969688</v>
      </c>
      <c r="BV275" s="50">
        <f t="shared" si="1300"/>
        <v>51.153589796666509</v>
      </c>
      <c r="BW275" s="50">
        <f t="shared" si="1300"/>
        <v>53.348679030506432</v>
      </c>
      <c r="BX275" s="50">
        <f t="shared" si="1300"/>
        <v>52.075733336047968</v>
      </c>
      <c r="BY275" s="50">
        <f t="shared" si="1300"/>
        <v>49.051378823581523</v>
      </c>
      <c r="BZ275" s="50">
        <f t="shared" si="1300"/>
        <v>47.461930188140961</v>
      </c>
      <c r="CA275" s="50">
        <f t="shared" si="1300"/>
        <v>50.782027569450207</v>
      </c>
      <c r="CB275" s="50">
        <f t="shared" si="1300"/>
        <v>50.06892378171176</v>
      </c>
      <c r="CC275" s="50">
        <f t="shared" si="1300"/>
        <v>49.350825902791165</v>
      </c>
      <c r="CD275" s="50">
        <f t="shared" ref="CD275:CR277" si="1301">IFERROR(CD19/CD$29*100,"")</f>
        <v>47.921880641478445</v>
      </c>
      <c r="CE275" s="50">
        <f t="shared" si="1301"/>
        <v>47.07473603084339</v>
      </c>
      <c r="CF275" s="50">
        <f t="shared" si="1301"/>
        <v>48.768906662813286</v>
      </c>
      <c r="CG275" s="50">
        <f t="shared" si="1301"/>
        <v>49.264175173182224</v>
      </c>
      <c r="CH275" s="50">
        <f t="shared" si="1301"/>
        <v>48.273274974404217</v>
      </c>
      <c r="CI275" s="50">
        <f t="shared" si="1301"/>
        <v>46.51580777517421</v>
      </c>
      <c r="CJ275" s="50">
        <f t="shared" si="1301"/>
        <v>46.206949949146541</v>
      </c>
      <c r="CK275" s="50">
        <f t="shared" si="1301"/>
        <v>47.386582713472023</v>
      </c>
      <c r="CL275" s="50">
        <f t="shared" si="1301"/>
        <v>47.08530098613025</v>
      </c>
      <c r="CM275" s="50">
        <f t="shared" si="1301"/>
        <v>46.80771335329645</v>
      </c>
      <c r="CN275" s="50" t="str">
        <f t="shared" si="1301"/>
        <v/>
      </c>
      <c r="CO275" s="50" t="str">
        <f t="shared" si="1301"/>
        <v/>
      </c>
      <c r="CP275" s="50" t="str">
        <f t="shared" si="1301"/>
        <v/>
      </c>
      <c r="CQ275" s="50" t="str">
        <f t="shared" si="1301"/>
        <v/>
      </c>
      <c r="CR275" s="50" t="str">
        <f t="shared" si="1301"/>
        <v/>
      </c>
    </row>
    <row r="276" spans="1:96" s="9" customFormat="1" ht="15" x14ac:dyDescent="0.4">
      <c r="A276" s="18" t="s">
        <v>90</v>
      </c>
      <c r="B276" s="19">
        <f t="shared" si="1293"/>
        <v>21.755248308766571</v>
      </c>
      <c r="C276" s="19">
        <f t="shared" si="1293"/>
        <v>21.619312479859246</v>
      </c>
      <c r="D276" s="19">
        <f t="shared" si="1293"/>
        <v>21.70868943713889</v>
      </c>
      <c r="E276" s="19">
        <f t="shared" si="1293"/>
        <v>21.925371056280802</v>
      </c>
      <c r="F276" s="20">
        <f t="shared" si="1293"/>
        <v>21.755523771911804</v>
      </c>
      <c r="G276" s="19">
        <f t="shared" si="1293"/>
        <v>18.584842018995886</v>
      </c>
      <c r="H276" s="19">
        <f t="shared" si="1293"/>
        <v>20.34179762528305</v>
      </c>
      <c r="I276" s="19">
        <f t="shared" si="1293"/>
        <v>22.167819952225134</v>
      </c>
      <c r="J276" s="19">
        <f t="shared" si="1293"/>
        <v>23.886603430183161</v>
      </c>
      <c r="K276" s="20">
        <f t="shared" si="1293"/>
        <v>21.334643516418986</v>
      </c>
      <c r="L276" s="19">
        <f t="shared" si="1293"/>
        <v>22.508578498378792</v>
      </c>
      <c r="M276" s="19">
        <f t="shared" si="1293"/>
        <v>22.146582735634706</v>
      </c>
      <c r="N276" s="19">
        <f t="shared" si="1293"/>
        <v>22.534625950837604</v>
      </c>
      <c r="O276" s="19">
        <f t="shared" si="1293"/>
        <v>23.665776828007949</v>
      </c>
      <c r="P276" s="20">
        <f t="shared" si="1293"/>
        <v>22.73068972589618</v>
      </c>
      <c r="Q276" s="19">
        <f t="shared" si="1293"/>
        <v>21.641965037441054</v>
      </c>
      <c r="R276" s="19">
        <f t="shared" si="1300"/>
        <v>22.346175621159112</v>
      </c>
      <c r="S276" s="19">
        <f t="shared" si="1300"/>
        <v>23.387638726531748</v>
      </c>
      <c r="T276" s="19">
        <f t="shared" si="1300"/>
        <v>23.589486039301537</v>
      </c>
      <c r="U276" s="20">
        <f t="shared" si="1300"/>
        <v>22.794025678173334</v>
      </c>
      <c r="V276" s="19">
        <f t="shared" si="1300"/>
        <v>25.981993506043349</v>
      </c>
      <c r="W276" s="19">
        <f t="shared" si="1300"/>
        <v>26.899247455251114</v>
      </c>
      <c r="X276" s="19">
        <f t="shared" si="1300"/>
        <v>27.481811576698767</v>
      </c>
      <c r="Y276" s="19">
        <f t="shared" si="1300"/>
        <v>29.539280708044419</v>
      </c>
      <c r="Z276" s="20">
        <f t="shared" si="1300"/>
        <v>27.520679497397488</v>
      </c>
      <c r="AA276" s="19">
        <f t="shared" si="1300"/>
        <v>29.656693013796914</v>
      </c>
      <c r="AB276" s="19">
        <f t="shared" si="1300"/>
        <v>27.802751195644248</v>
      </c>
      <c r="AC276" s="19">
        <f t="shared" si="1300"/>
        <v>28.171685039232518</v>
      </c>
      <c r="AD276" s="19">
        <f t="shared" si="1300"/>
        <v>27.330480494786507</v>
      </c>
      <c r="AE276" s="20">
        <f t="shared" si="1300"/>
        <v>28.188612482312063</v>
      </c>
      <c r="AF276" s="19">
        <f t="shared" si="1300"/>
        <v>27.951228373744318</v>
      </c>
      <c r="AG276" s="19">
        <f t="shared" si="1300"/>
        <v>28.204246536525734</v>
      </c>
      <c r="AH276" s="19">
        <f t="shared" si="1300"/>
        <v>27.531937064795969</v>
      </c>
      <c r="AI276" s="19">
        <f t="shared" si="1300"/>
        <v>26.951245915029752</v>
      </c>
      <c r="AJ276" s="20">
        <f t="shared" si="1300"/>
        <v>27.642300550593134</v>
      </c>
      <c r="AK276" s="19">
        <f t="shared" si="1300"/>
        <v>26.22090983492647</v>
      </c>
      <c r="AL276" s="19">
        <f t="shared" si="1300"/>
        <v>27.441896004873595</v>
      </c>
      <c r="AM276" s="19">
        <f t="shared" si="1300"/>
        <v>27.540424756546244</v>
      </c>
      <c r="AN276" s="19">
        <f t="shared" si="1300"/>
        <v>28.329231871997479</v>
      </c>
      <c r="AO276" s="20">
        <f t="shared" si="1300"/>
        <v>27.418001503723076</v>
      </c>
      <c r="AP276" s="19">
        <f t="shared" si="1300"/>
        <v>27.253658617696246</v>
      </c>
      <c r="AQ276" s="19">
        <f t="shared" si="1300"/>
        <v>27.167799202522996</v>
      </c>
      <c r="AR276" s="19">
        <f t="shared" si="1300"/>
        <v>27.97984494467045</v>
      </c>
      <c r="AS276" s="19">
        <f t="shared" si="1300"/>
        <v>28.696271434261959</v>
      </c>
      <c r="AT276" s="20">
        <f t="shared" si="1300"/>
        <v>27.79694927257777</v>
      </c>
      <c r="AU276" s="19">
        <f t="shared" si="1300"/>
        <v>27.683424733181045</v>
      </c>
      <c r="AV276" s="19">
        <f t="shared" si="1300"/>
        <v>27.848860892355592</v>
      </c>
      <c r="AW276" s="19">
        <f t="shared" si="1300"/>
        <v>28.617301719218407</v>
      </c>
      <c r="AX276" s="19">
        <f t="shared" si="1300"/>
        <v>30.556751421325934</v>
      </c>
      <c r="AY276" s="20">
        <f t="shared" si="1300"/>
        <v>28.715415433597691</v>
      </c>
      <c r="AZ276" s="19">
        <f t="shared" si="1300"/>
        <v>28.699193632457291</v>
      </c>
      <c r="BA276" s="19">
        <f t="shared" si="1300"/>
        <v>28.648365114013728</v>
      </c>
      <c r="BB276" s="19">
        <f t="shared" si="1300"/>
        <v>28.209975407487402</v>
      </c>
      <c r="BC276" s="19">
        <f t="shared" si="1300"/>
        <v>28.944291220564843</v>
      </c>
      <c r="BD276" s="20">
        <f t="shared" si="1300"/>
        <v>28.62614734651434</v>
      </c>
      <c r="BE276" s="19">
        <f t="shared" si="1300"/>
        <v>28.648224456698234</v>
      </c>
      <c r="BF276" s="19">
        <f t="shared" si="1300"/>
        <v>28.47075434293162</v>
      </c>
      <c r="BG276" s="19">
        <f t="shared" si="1300"/>
        <v>29.452057708816348</v>
      </c>
      <c r="BH276" s="19">
        <f t="shared" si="1300"/>
        <v>30.130366049121598</v>
      </c>
      <c r="BI276" s="20">
        <f t="shared" si="1300"/>
        <v>29.192996727923337</v>
      </c>
      <c r="BJ276" s="19">
        <f t="shared" si="1300"/>
        <v>27.835070613056033</v>
      </c>
      <c r="BK276" s="19">
        <f t="shared" si="1300"/>
        <v>29.667344155993707</v>
      </c>
      <c r="BL276" s="19">
        <f t="shared" si="1300"/>
        <v>31.184043541547595</v>
      </c>
      <c r="BM276" s="19">
        <f t="shared" si="1300"/>
        <v>30.385714092367216</v>
      </c>
      <c r="BN276" s="20">
        <f t="shared" si="1300"/>
        <v>29.767616002141224</v>
      </c>
      <c r="BO276" s="19">
        <f t="shared" si="1300"/>
        <v>29.034454806080927</v>
      </c>
      <c r="BP276" s="19">
        <f t="shared" si="1300"/>
        <v>29.528006934587776</v>
      </c>
      <c r="BQ276" s="19">
        <f t="shared" si="1300"/>
        <v>31.765229795165261</v>
      </c>
      <c r="BR276" s="19">
        <f t="shared" si="1300"/>
        <v>31.603834764604326</v>
      </c>
      <c r="BS276" s="20">
        <f t="shared" si="1300"/>
        <v>30.515556187467297</v>
      </c>
      <c r="BT276" s="19">
        <f t="shared" si="1300"/>
        <v>28.180203499222458</v>
      </c>
      <c r="BU276" s="19">
        <f t="shared" si="1300"/>
        <v>28.486030994389942</v>
      </c>
      <c r="BV276" s="19">
        <f t="shared" si="1300"/>
        <v>27.676453172242617</v>
      </c>
      <c r="BW276" s="19">
        <f t="shared" si="1300"/>
        <v>29.533599225455141</v>
      </c>
      <c r="BX276" s="20">
        <f t="shared" si="1300"/>
        <v>28.487208574658535</v>
      </c>
      <c r="BY276" s="19">
        <f t="shared" si="1300"/>
        <v>27.284344512092801</v>
      </c>
      <c r="BZ276" s="19">
        <f t="shared" si="1300"/>
        <v>24.973269715045397</v>
      </c>
      <c r="CA276" s="19">
        <f t="shared" si="1300"/>
        <v>27.429280921317726</v>
      </c>
      <c r="CB276" s="19">
        <f t="shared" si="1300"/>
        <v>27.155157206960386</v>
      </c>
      <c r="CC276" s="20">
        <f t="shared" si="1300"/>
        <v>26.704044286791316</v>
      </c>
      <c r="CD276" s="19">
        <f t="shared" si="1301"/>
        <v>26.026112195545814</v>
      </c>
      <c r="CE276" s="19">
        <f t="shared" si="1301"/>
        <v>25.379423618631204</v>
      </c>
      <c r="CF276" s="19">
        <f t="shared" si="1301"/>
        <v>26.137040048168526</v>
      </c>
      <c r="CG276" s="19">
        <f t="shared" si="1301"/>
        <v>26.417689558567393</v>
      </c>
      <c r="CH276" s="20">
        <f t="shared" si="1301"/>
        <v>25.994328780177835</v>
      </c>
      <c r="CI276" s="19">
        <f t="shared" si="1301"/>
        <v>24.964295532118697</v>
      </c>
      <c r="CJ276" s="19">
        <f t="shared" si="1301"/>
        <v>24.758511118497143</v>
      </c>
      <c r="CK276" s="19">
        <f t="shared" si="1301"/>
        <v>25.449692827084334</v>
      </c>
      <c r="CL276" s="19">
        <f t="shared" si="1301"/>
        <v>25.231672328819077</v>
      </c>
      <c r="CM276" s="20">
        <f t="shared" si="1301"/>
        <v>25.105614286928606</v>
      </c>
      <c r="CN276" s="19" t="str">
        <f t="shared" si="1301"/>
        <v/>
      </c>
      <c r="CO276" s="19" t="str">
        <f t="shared" si="1301"/>
        <v/>
      </c>
      <c r="CP276" s="19" t="str">
        <f t="shared" si="1301"/>
        <v/>
      </c>
      <c r="CQ276" s="19" t="str">
        <f t="shared" si="1301"/>
        <v/>
      </c>
      <c r="CR276" s="20" t="str">
        <f t="shared" si="1301"/>
        <v/>
      </c>
    </row>
    <row r="277" spans="1:96" s="9" customFormat="1" ht="15" x14ac:dyDescent="0.4">
      <c r="A277" s="18" t="s">
        <v>91</v>
      </c>
      <c r="B277" s="19">
        <f t="shared" si="1293"/>
        <v>23.561483803862419</v>
      </c>
      <c r="C277" s="19">
        <f t="shared" si="1293"/>
        <v>22.571329337845729</v>
      </c>
      <c r="D277" s="19">
        <f t="shared" si="1293"/>
        <v>21.967489205817756</v>
      </c>
      <c r="E277" s="19">
        <f t="shared" si="1293"/>
        <v>21.332163860595294</v>
      </c>
      <c r="F277" s="20">
        <f t="shared" si="1293"/>
        <v>22.320072215282909</v>
      </c>
      <c r="G277" s="19">
        <f t="shared" si="1293"/>
        <v>19.883024351330928</v>
      </c>
      <c r="H277" s="19">
        <f t="shared" si="1293"/>
        <v>19.373188335527917</v>
      </c>
      <c r="I277" s="19">
        <f t="shared" si="1293"/>
        <v>18.908677385864294</v>
      </c>
      <c r="J277" s="19">
        <f t="shared" si="1293"/>
        <v>17.631115493629629</v>
      </c>
      <c r="K277" s="20">
        <f t="shared" si="1293"/>
        <v>18.909909249794048</v>
      </c>
      <c r="L277" s="19">
        <f t="shared" si="1293"/>
        <v>17.659274278097794</v>
      </c>
      <c r="M277" s="19">
        <f t="shared" si="1293"/>
        <v>21.799700857846457</v>
      </c>
      <c r="N277" s="19">
        <f t="shared" si="1293"/>
        <v>20.567083695766552</v>
      </c>
      <c r="O277" s="19">
        <f t="shared" si="1293"/>
        <v>18.44783957483801</v>
      </c>
      <c r="P277" s="20">
        <f t="shared" si="1293"/>
        <v>19.6305404996045</v>
      </c>
      <c r="Q277" s="19">
        <f t="shared" si="1293"/>
        <v>23.484104930089561</v>
      </c>
      <c r="R277" s="19">
        <f t="shared" si="1300"/>
        <v>23.783282559833534</v>
      </c>
      <c r="S277" s="19">
        <f t="shared" si="1300"/>
        <v>21.184608893528122</v>
      </c>
      <c r="T277" s="19">
        <f t="shared" si="1300"/>
        <v>20.894278858804967</v>
      </c>
      <c r="U277" s="20">
        <f t="shared" si="1300"/>
        <v>22.253501158582182</v>
      </c>
      <c r="V277" s="19">
        <f t="shared" si="1300"/>
        <v>22.09500581700491</v>
      </c>
      <c r="W277" s="19">
        <f t="shared" si="1300"/>
        <v>24.785213270842064</v>
      </c>
      <c r="X277" s="19">
        <f t="shared" si="1300"/>
        <v>25.817670737882153</v>
      </c>
      <c r="Y277" s="19">
        <f t="shared" si="1300"/>
        <v>23.914274966919017</v>
      </c>
      <c r="Z277" s="20">
        <f t="shared" si="1300"/>
        <v>24.18245946699146</v>
      </c>
      <c r="AA277" s="19">
        <f t="shared" si="1300"/>
        <v>27.02427843300061</v>
      </c>
      <c r="AB277" s="19">
        <f t="shared" si="1300"/>
        <v>20.007930335717759</v>
      </c>
      <c r="AC277" s="19">
        <f t="shared" si="1300"/>
        <v>22.126025553581346</v>
      </c>
      <c r="AD277" s="19">
        <f t="shared" si="1300"/>
        <v>22.858216779127464</v>
      </c>
      <c r="AE277" s="20">
        <f t="shared" si="1300"/>
        <v>22.93101779091451</v>
      </c>
      <c r="AF277" s="19">
        <f t="shared" si="1300"/>
        <v>25.167327278707695</v>
      </c>
      <c r="AG277" s="19">
        <f t="shared" si="1300"/>
        <v>20.051424661525967</v>
      </c>
      <c r="AH277" s="19">
        <f t="shared" si="1300"/>
        <v>20.676602586218426</v>
      </c>
      <c r="AI277" s="19">
        <f t="shared" si="1300"/>
        <v>22.36321414997655</v>
      </c>
      <c r="AJ277" s="20">
        <f t="shared" si="1300"/>
        <v>22.03400315899087</v>
      </c>
      <c r="AK277" s="19">
        <f t="shared" si="1300"/>
        <v>21.16712310462994</v>
      </c>
      <c r="AL277" s="19">
        <f t="shared" si="1300"/>
        <v>21.343006889696483</v>
      </c>
      <c r="AM277" s="19">
        <f t="shared" si="1300"/>
        <v>21.678621912055391</v>
      </c>
      <c r="AN277" s="19">
        <f t="shared" si="1300"/>
        <v>23.068918879138529</v>
      </c>
      <c r="AO277" s="20">
        <f t="shared" si="1300"/>
        <v>21.848606985665953</v>
      </c>
      <c r="AP277" s="19">
        <f t="shared" si="1300"/>
        <v>21.502914887143575</v>
      </c>
      <c r="AQ277" s="19">
        <f t="shared" si="1300"/>
        <v>21.627453991579284</v>
      </c>
      <c r="AR277" s="19">
        <f t="shared" si="1300"/>
        <v>22.591386054165799</v>
      </c>
      <c r="AS277" s="19">
        <f t="shared" si="1300"/>
        <v>23.782419394904288</v>
      </c>
      <c r="AT277" s="20">
        <f t="shared" si="1300"/>
        <v>22.410687271510412</v>
      </c>
      <c r="AU277" s="19">
        <f t="shared" si="1300"/>
        <v>22.563663300182547</v>
      </c>
      <c r="AV277" s="19">
        <f t="shared" si="1300"/>
        <v>22.97634522669739</v>
      </c>
      <c r="AW277" s="19">
        <f t="shared" si="1300"/>
        <v>23.259891833570162</v>
      </c>
      <c r="AX277" s="19">
        <f t="shared" si="1300"/>
        <v>23.041952918573639</v>
      </c>
      <c r="AY277" s="20">
        <f t="shared" si="1300"/>
        <v>22.967363260336178</v>
      </c>
      <c r="AZ277" s="19">
        <f t="shared" si="1300"/>
        <v>23.417095399219438</v>
      </c>
      <c r="BA277" s="19">
        <f t="shared" si="1300"/>
        <v>23.10207754459422</v>
      </c>
      <c r="BB277" s="19">
        <f t="shared" si="1300"/>
        <v>22.835441232754199</v>
      </c>
      <c r="BC277" s="19">
        <f t="shared" si="1300"/>
        <v>22.60774562795168</v>
      </c>
      <c r="BD277" s="20">
        <f t="shared" si="1300"/>
        <v>22.979100623595578</v>
      </c>
      <c r="BE277" s="19">
        <f t="shared" si="1300"/>
        <v>22.654908226553751</v>
      </c>
      <c r="BF277" s="19">
        <f t="shared" si="1300"/>
        <v>22.89914612678572</v>
      </c>
      <c r="BG277" s="19">
        <f t="shared" si="1300"/>
        <v>23.837255227101952</v>
      </c>
      <c r="BH277" s="19">
        <f t="shared" si="1300"/>
        <v>24.615087389346332</v>
      </c>
      <c r="BI277" s="20">
        <f t="shared" si="1300"/>
        <v>23.52435149660289</v>
      </c>
      <c r="BJ277" s="19">
        <f t="shared" si="1300"/>
        <v>23.252555428111499</v>
      </c>
      <c r="BK277" s="19">
        <f t="shared" si="1300"/>
        <v>23.274638739719339</v>
      </c>
      <c r="BL277" s="19">
        <f t="shared" si="1300"/>
        <v>24.345810518011543</v>
      </c>
      <c r="BM277" s="19">
        <f t="shared" si="1300"/>
        <v>25.397797975050235</v>
      </c>
      <c r="BN277" s="20">
        <f t="shared" si="1300"/>
        <v>24.070637808601568</v>
      </c>
      <c r="BO277" s="19">
        <f t="shared" si="1300"/>
        <v>25.435725959940559</v>
      </c>
      <c r="BP277" s="19">
        <f t="shared" si="1300"/>
        <v>23.845791678307492</v>
      </c>
      <c r="BQ277" s="19">
        <f t="shared" si="1300"/>
        <v>24.70544624389721</v>
      </c>
      <c r="BR277" s="19">
        <f t="shared" si="1300"/>
        <v>23.930929512591522</v>
      </c>
      <c r="BS277" s="20">
        <f t="shared" si="1300"/>
        <v>24.462141478679587</v>
      </c>
      <c r="BT277" s="19">
        <f t="shared" si="1300"/>
        <v>23.185984349667105</v>
      </c>
      <c r="BU277" s="19">
        <f t="shared" si="1300"/>
        <v>23.834920329579738</v>
      </c>
      <c r="BV277" s="19">
        <f t="shared" si="1300"/>
        <v>23.477136624423895</v>
      </c>
      <c r="BW277" s="19">
        <f t="shared" si="1300"/>
        <v>23.815079805051294</v>
      </c>
      <c r="BX277" s="20">
        <f t="shared" si="1300"/>
        <v>23.588524761389426</v>
      </c>
      <c r="BY277" s="19">
        <f t="shared" si="1300"/>
        <v>21.767034311488725</v>
      </c>
      <c r="BZ277" s="19">
        <f t="shared" si="1300"/>
        <v>22.48866047309556</v>
      </c>
      <c r="CA277" s="19">
        <f t="shared" si="1300"/>
        <v>23.35274664813247</v>
      </c>
      <c r="CB277" s="19">
        <f t="shared" si="1300"/>
        <v>22.913766574751374</v>
      </c>
      <c r="CC277" s="20">
        <f t="shared" si="1300"/>
        <v>22.646781615999853</v>
      </c>
      <c r="CD277" s="19">
        <f t="shared" si="1301"/>
        <v>21.895768445932628</v>
      </c>
      <c r="CE277" s="19">
        <f t="shared" si="1301"/>
        <v>21.695312412212186</v>
      </c>
      <c r="CF277" s="19">
        <f t="shared" si="1301"/>
        <v>22.631866614644764</v>
      </c>
      <c r="CG277" s="19">
        <f t="shared" si="1301"/>
        <v>22.846485614614828</v>
      </c>
      <c r="CH277" s="20">
        <f t="shared" si="1301"/>
        <v>22.278946194226389</v>
      </c>
      <c r="CI277" s="19">
        <f t="shared" si="1301"/>
        <v>21.551512243055519</v>
      </c>
      <c r="CJ277" s="19">
        <f t="shared" si="1301"/>
        <v>21.448438830649401</v>
      </c>
      <c r="CK277" s="19">
        <f t="shared" si="1301"/>
        <v>21.936889886387686</v>
      </c>
      <c r="CL277" s="19">
        <f t="shared" si="1301"/>
        <v>21.853628657311177</v>
      </c>
      <c r="CM277" s="20">
        <f t="shared" si="1301"/>
        <v>21.702099066367843</v>
      </c>
      <c r="CN277" s="19" t="str">
        <f t="shared" si="1301"/>
        <v/>
      </c>
      <c r="CO277" s="19" t="str">
        <f t="shared" si="1301"/>
        <v/>
      </c>
      <c r="CP277" s="19" t="str">
        <f t="shared" si="1301"/>
        <v/>
      </c>
      <c r="CQ277" s="19" t="str">
        <f t="shared" si="1301"/>
        <v/>
      </c>
      <c r="CR277" s="20" t="str">
        <f t="shared" si="1301"/>
        <v/>
      </c>
    </row>
    <row r="278" spans="1:96" s="9" customFormat="1" ht="15" x14ac:dyDescent="0.4">
      <c r="A278" s="25"/>
      <c r="B278" s="22"/>
      <c r="C278" s="22"/>
      <c r="D278" s="22"/>
      <c r="E278" s="22"/>
      <c r="F278" s="24"/>
      <c r="G278" s="22"/>
      <c r="H278" s="22"/>
      <c r="I278" s="22"/>
      <c r="J278" s="22"/>
      <c r="K278" s="24"/>
      <c r="L278" s="22"/>
      <c r="M278" s="22"/>
      <c r="N278" s="22"/>
      <c r="O278" s="22"/>
      <c r="P278" s="24"/>
      <c r="Q278" s="22"/>
      <c r="R278" s="22"/>
      <c r="S278" s="22"/>
      <c r="T278" s="22"/>
      <c r="U278" s="24"/>
      <c r="V278" s="22"/>
      <c r="W278" s="22"/>
      <c r="X278" s="22"/>
      <c r="Y278" s="22"/>
      <c r="Z278" s="24"/>
      <c r="AA278" s="22"/>
      <c r="AB278" s="22"/>
      <c r="AC278" s="22"/>
      <c r="AD278" s="22"/>
      <c r="AE278" s="24"/>
      <c r="AF278" s="22"/>
      <c r="AG278" s="22"/>
      <c r="AH278" s="22"/>
      <c r="AI278" s="22"/>
      <c r="AJ278" s="24"/>
      <c r="AK278" s="22"/>
      <c r="AL278" s="22"/>
      <c r="AM278" s="22"/>
      <c r="AN278" s="22"/>
      <c r="AO278" s="24"/>
      <c r="AP278" s="22"/>
      <c r="AQ278" s="22"/>
      <c r="AR278" s="22"/>
      <c r="AS278" s="22"/>
      <c r="AT278" s="24"/>
      <c r="AU278" s="22"/>
      <c r="AV278" s="22"/>
      <c r="AW278" s="22"/>
      <c r="AX278" s="22"/>
      <c r="AY278" s="24"/>
      <c r="AZ278" s="22"/>
      <c r="BA278" s="22"/>
      <c r="BB278" s="22"/>
      <c r="BC278" s="22"/>
      <c r="BD278" s="24"/>
      <c r="BE278" s="22"/>
      <c r="BF278" s="22"/>
      <c r="BG278" s="22"/>
      <c r="BH278" s="22"/>
      <c r="BI278" s="24"/>
      <c r="BJ278" s="22"/>
      <c r="BK278" s="22"/>
      <c r="BL278" s="22"/>
      <c r="BM278" s="22"/>
      <c r="BN278" s="24"/>
      <c r="BO278" s="22"/>
      <c r="BP278" s="22"/>
      <c r="BQ278" s="22"/>
      <c r="BR278" s="22"/>
      <c r="BS278" s="24"/>
      <c r="BT278" s="22"/>
      <c r="BU278" s="22"/>
      <c r="BV278" s="22"/>
      <c r="BW278" s="22"/>
      <c r="BX278" s="24"/>
      <c r="BY278" s="22"/>
      <c r="BZ278" s="22"/>
      <c r="CA278" s="22"/>
      <c r="CB278" s="22"/>
      <c r="CC278" s="24"/>
      <c r="CD278" s="22"/>
      <c r="CE278" s="22"/>
      <c r="CF278" s="22"/>
      <c r="CG278" s="22"/>
      <c r="CH278" s="24"/>
      <c r="CI278" s="22"/>
      <c r="CJ278" s="22"/>
      <c r="CK278" s="22"/>
      <c r="CL278" s="22"/>
      <c r="CM278" s="24"/>
      <c r="CN278" s="22"/>
      <c r="CO278" s="22"/>
      <c r="CP278" s="22"/>
      <c r="CQ278" s="22"/>
      <c r="CR278" s="24"/>
    </row>
    <row r="279" spans="1:96" s="17" customFormat="1" ht="15" x14ac:dyDescent="0.4">
      <c r="A279" s="15" t="s">
        <v>92</v>
      </c>
      <c r="B279" s="50">
        <f t="shared" ref="B279:BM279" si="1302">IFERROR(B23/B$29*100,"")</f>
        <v>1.8732551384659277</v>
      </c>
      <c r="C279" s="50">
        <f t="shared" si="1302"/>
        <v>1.732270340268659</v>
      </c>
      <c r="D279" s="50">
        <f t="shared" si="1302"/>
        <v>3.9503158421619631</v>
      </c>
      <c r="E279" s="50">
        <f t="shared" si="1302"/>
        <v>0.37719924850521935</v>
      </c>
      <c r="F279" s="50">
        <f t="shared" si="1302"/>
        <v>1.9655141732588193</v>
      </c>
      <c r="G279" s="50">
        <f t="shared" si="1302"/>
        <v>0.98206202681327526</v>
      </c>
      <c r="H279" s="50">
        <f t="shared" si="1302"/>
        <v>0.89936740113762348</v>
      </c>
      <c r="I279" s="50">
        <f t="shared" si="1302"/>
        <v>1.2785221275373575</v>
      </c>
      <c r="J279" s="50">
        <f t="shared" si="1302"/>
        <v>0.52688760542127289</v>
      </c>
      <c r="K279" s="50">
        <f t="shared" si="1302"/>
        <v>0.91420478236271863</v>
      </c>
      <c r="L279" s="50">
        <f t="shared" si="1302"/>
        <v>1.0050305470344725</v>
      </c>
      <c r="M279" s="50">
        <f t="shared" si="1302"/>
        <v>2.208284217077662</v>
      </c>
      <c r="N279" s="50">
        <f t="shared" si="1302"/>
        <v>3.0914187020216763</v>
      </c>
      <c r="O279" s="50">
        <f t="shared" si="1302"/>
        <v>0.52916552278006546</v>
      </c>
      <c r="P279" s="50">
        <f t="shared" si="1302"/>
        <v>1.7084378703467986</v>
      </c>
      <c r="Q279" s="50">
        <f t="shared" si="1302"/>
        <v>2.1320861774500006</v>
      </c>
      <c r="R279" s="50">
        <f t="shared" si="1302"/>
        <v>1.7756533633181142</v>
      </c>
      <c r="S279" s="50">
        <f t="shared" si="1302"/>
        <v>1.4860280140696107</v>
      </c>
      <c r="T279" s="50">
        <f t="shared" si="1302"/>
        <v>0.75037262567874352</v>
      </c>
      <c r="U279" s="50">
        <f t="shared" si="1302"/>
        <v>1.5011051025100803</v>
      </c>
      <c r="V279" s="50">
        <f t="shared" si="1302"/>
        <v>2.741333784843806</v>
      </c>
      <c r="W279" s="50">
        <f t="shared" si="1302"/>
        <v>2.3209931080836115</v>
      </c>
      <c r="X279" s="50">
        <f t="shared" si="1302"/>
        <v>1.3761679181830548</v>
      </c>
      <c r="Y279" s="50">
        <f t="shared" si="1302"/>
        <v>0.89977046936059002</v>
      </c>
      <c r="Z279" s="50">
        <f t="shared" si="1302"/>
        <v>1.8086790415552674</v>
      </c>
      <c r="AA279" s="50">
        <f t="shared" si="1302"/>
        <v>2.4823946716810372</v>
      </c>
      <c r="AB279" s="50">
        <f t="shared" si="1302"/>
        <v>2.4318164899820967</v>
      </c>
      <c r="AC279" s="50">
        <f t="shared" si="1302"/>
        <v>1.2403747055900298</v>
      </c>
      <c r="AD279" s="50">
        <f t="shared" si="1302"/>
        <v>0.9908899058719729</v>
      </c>
      <c r="AE279" s="50">
        <f t="shared" si="1302"/>
        <v>1.7417922432054411</v>
      </c>
      <c r="AF279" s="50">
        <f t="shared" si="1302"/>
        <v>1.8084669600152752</v>
      </c>
      <c r="AG279" s="50">
        <f t="shared" si="1302"/>
        <v>2.2982106194723504</v>
      </c>
      <c r="AH279" s="50">
        <f t="shared" si="1302"/>
        <v>2.0714480526228165</v>
      </c>
      <c r="AI279" s="50">
        <f t="shared" si="1302"/>
        <v>0.65274567477844192</v>
      </c>
      <c r="AJ279" s="50">
        <f t="shared" si="1302"/>
        <v>1.6900436217211716</v>
      </c>
      <c r="AK279" s="50">
        <f t="shared" si="1302"/>
        <v>1.2069595543222313</v>
      </c>
      <c r="AL279" s="50">
        <f t="shared" si="1302"/>
        <v>1.3167986986591129</v>
      </c>
      <c r="AM279" s="50">
        <f t="shared" si="1302"/>
        <v>1.3680544730535629</v>
      </c>
      <c r="AN279" s="50">
        <f t="shared" si="1302"/>
        <v>1.3167091673803228</v>
      </c>
      <c r="AO279" s="50">
        <f t="shared" si="1302"/>
        <v>1.3040604793441153</v>
      </c>
      <c r="AP279" s="50">
        <f t="shared" si="1302"/>
        <v>1.3374308600805245</v>
      </c>
      <c r="AQ279" s="50">
        <f t="shared" si="1302"/>
        <v>1.278590897051469</v>
      </c>
      <c r="AR279" s="50">
        <f t="shared" si="1302"/>
        <v>1.2581094588242103</v>
      </c>
      <c r="AS279" s="50">
        <f t="shared" si="1302"/>
        <v>1.2377045466036023</v>
      </c>
      <c r="AT279" s="50">
        <f t="shared" si="1302"/>
        <v>1.2764758069434663</v>
      </c>
      <c r="AU279" s="50">
        <f t="shared" si="1302"/>
        <v>1.2995394536822535</v>
      </c>
      <c r="AV279" s="50">
        <f t="shared" si="1302"/>
        <v>1.2752605686626517</v>
      </c>
      <c r="AW279" s="50">
        <f t="shared" si="1302"/>
        <v>1.2678825867355239</v>
      </c>
      <c r="AX279" s="50">
        <f t="shared" si="1302"/>
        <v>1.243834389227479</v>
      </c>
      <c r="AY279" s="50">
        <f t="shared" si="1302"/>
        <v>1.2709106017060701</v>
      </c>
      <c r="AZ279" s="50">
        <f t="shared" si="1302"/>
        <v>1.3242757426776006</v>
      </c>
      <c r="BA279" s="50">
        <f t="shared" si="1302"/>
        <v>1.3187224021093953</v>
      </c>
      <c r="BB279" s="50">
        <f t="shared" si="1302"/>
        <v>1.2874149856934838</v>
      </c>
      <c r="BC279" s="50">
        <f t="shared" si="1302"/>
        <v>1.2900733876946215</v>
      </c>
      <c r="BD279" s="50">
        <f t="shared" si="1302"/>
        <v>1.3045350326287444</v>
      </c>
      <c r="BE279" s="50">
        <f t="shared" si="1302"/>
        <v>1.3139602497791982</v>
      </c>
      <c r="BF279" s="50">
        <f t="shared" si="1302"/>
        <v>1.2988425159369403</v>
      </c>
      <c r="BG279" s="50">
        <f t="shared" si="1302"/>
        <v>1.2793394898988903</v>
      </c>
      <c r="BH279" s="50">
        <f t="shared" si="1302"/>
        <v>1.2712575454668404</v>
      </c>
      <c r="BI279" s="50">
        <f t="shared" si="1302"/>
        <v>1.2903408889346175</v>
      </c>
      <c r="BJ279" s="50">
        <f t="shared" si="1302"/>
        <v>1.3324188641107666</v>
      </c>
      <c r="BK279" s="50">
        <f t="shared" si="1302"/>
        <v>1.3494832958498055</v>
      </c>
      <c r="BL279" s="50">
        <f t="shared" si="1302"/>
        <v>1.3777949815020991</v>
      </c>
      <c r="BM279" s="50">
        <f t="shared" si="1302"/>
        <v>1.3939755406793051</v>
      </c>
      <c r="BN279" s="50">
        <f t="shared" ref="BN279:CR279" si="1303">IFERROR(BN23/BN$29*100,"")</f>
        <v>1.3634666617571087</v>
      </c>
      <c r="BO279" s="50">
        <f t="shared" si="1303"/>
        <v>1.3884007551747026</v>
      </c>
      <c r="BP279" s="50">
        <f t="shared" si="1303"/>
        <v>1.2524235936856518</v>
      </c>
      <c r="BQ279" s="50">
        <f t="shared" si="1303"/>
        <v>1.2573408791651326</v>
      </c>
      <c r="BR279" s="50">
        <f t="shared" si="1303"/>
        <v>1.2132806321443197</v>
      </c>
      <c r="BS279" s="50">
        <f t="shared" si="1303"/>
        <v>1.2757535940059892</v>
      </c>
      <c r="BT279" s="50">
        <f t="shared" si="1303"/>
        <v>1.259712325343344</v>
      </c>
      <c r="BU279" s="50">
        <f t="shared" si="1303"/>
        <v>1.1833298537807238</v>
      </c>
      <c r="BV279" s="50">
        <f t="shared" si="1303"/>
        <v>1.1792932543378014</v>
      </c>
      <c r="BW279" s="50">
        <f t="shared" si="1303"/>
        <v>1.1653580691606011</v>
      </c>
      <c r="BX279" s="50">
        <f t="shared" si="1303"/>
        <v>1.1951580415184988</v>
      </c>
      <c r="BY279" s="50">
        <f t="shared" si="1303"/>
        <v>1.18850404656729</v>
      </c>
      <c r="BZ279" s="50">
        <f t="shared" si="1303"/>
        <v>1.1084798453039493</v>
      </c>
      <c r="CA279" s="50">
        <f t="shared" si="1303"/>
        <v>1.0972610634153892</v>
      </c>
      <c r="CB279" s="50">
        <f t="shared" si="1303"/>
        <v>1.0524379666255459</v>
      </c>
      <c r="CC279" s="50">
        <f t="shared" si="1303"/>
        <v>1.1100093245853893</v>
      </c>
      <c r="CD279" s="50">
        <f t="shared" si="1303"/>
        <v>1.1414333487620743</v>
      </c>
      <c r="CE279" s="50">
        <f t="shared" si="1303"/>
        <v>1.0861130103728045</v>
      </c>
      <c r="CF279" s="50">
        <f t="shared" si="1303"/>
        <v>1.0693817038307989</v>
      </c>
      <c r="CG279" s="50">
        <f t="shared" si="1303"/>
        <v>1.0142957916723276</v>
      </c>
      <c r="CH279" s="50">
        <f t="shared" si="1303"/>
        <v>1.0763564315952374</v>
      </c>
      <c r="CI279" s="50">
        <f t="shared" si="1303"/>
        <v>1.0844302904257292</v>
      </c>
      <c r="CJ279" s="50">
        <f t="shared" si="1303"/>
        <v>1.008217954676996</v>
      </c>
      <c r="CK279" s="50">
        <f t="shared" si="1303"/>
        <v>1.0391005283182351</v>
      </c>
      <c r="CL279" s="50">
        <f t="shared" si="1303"/>
        <v>0.99539088448742752</v>
      </c>
      <c r="CM279" s="50">
        <f t="shared" si="1303"/>
        <v>1.0309035603403764</v>
      </c>
      <c r="CN279" s="50" t="str">
        <f t="shared" si="1303"/>
        <v/>
      </c>
      <c r="CO279" s="50" t="str">
        <f t="shared" si="1303"/>
        <v/>
      </c>
      <c r="CP279" s="50" t="str">
        <f t="shared" si="1303"/>
        <v/>
      </c>
      <c r="CQ279" s="50" t="str">
        <f t="shared" si="1303"/>
        <v/>
      </c>
      <c r="CR279" s="50" t="str">
        <f t="shared" si="1303"/>
        <v/>
      </c>
    </row>
    <row r="280" spans="1:96" s="9" customFormat="1" ht="15" x14ac:dyDescent="0.4">
      <c r="A280" s="25"/>
      <c r="B280" s="22"/>
      <c r="C280" s="22"/>
      <c r="D280" s="22"/>
      <c r="E280" s="22"/>
      <c r="F280" s="24"/>
      <c r="G280" s="22"/>
      <c r="H280" s="22"/>
      <c r="I280" s="22"/>
      <c r="J280" s="22"/>
      <c r="K280" s="24"/>
      <c r="L280" s="22"/>
      <c r="M280" s="22"/>
      <c r="N280" s="22"/>
      <c r="O280" s="22"/>
      <c r="P280" s="24"/>
      <c r="Q280" s="22"/>
      <c r="R280" s="22"/>
      <c r="S280" s="22"/>
      <c r="T280" s="22"/>
      <c r="U280" s="24"/>
      <c r="V280" s="22"/>
      <c r="W280" s="22"/>
      <c r="X280" s="22"/>
      <c r="Y280" s="22"/>
      <c r="Z280" s="24"/>
      <c r="AA280" s="22"/>
      <c r="AB280" s="22"/>
      <c r="AC280" s="22"/>
      <c r="AD280" s="22"/>
      <c r="AE280" s="24"/>
      <c r="AF280" s="22"/>
      <c r="AG280" s="22"/>
      <c r="AH280" s="22"/>
      <c r="AI280" s="22"/>
      <c r="AJ280" s="24"/>
      <c r="AK280" s="22"/>
      <c r="AL280" s="22"/>
      <c r="AM280" s="22"/>
      <c r="AN280" s="22"/>
      <c r="AO280" s="24"/>
      <c r="AP280" s="22"/>
      <c r="AQ280" s="22"/>
      <c r="AR280" s="22"/>
      <c r="AS280" s="22"/>
      <c r="AT280" s="24"/>
      <c r="AU280" s="22"/>
      <c r="AV280" s="22"/>
      <c r="AW280" s="22"/>
      <c r="AX280" s="22"/>
      <c r="AY280" s="24"/>
      <c r="AZ280" s="22"/>
      <c r="BA280" s="22"/>
      <c r="BB280" s="22"/>
      <c r="BC280" s="22"/>
      <c r="BD280" s="24"/>
      <c r="BE280" s="22"/>
      <c r="BF280" s="22"/>
      <c r="BG280" s="22"/>
      <c r="BH280" s="22"/>
      <c r="BI280" s="24"/>
      <c r="BJ280" s="22"/>
      <c r="BK280" s="22"/>
      <c r="BL280" s="22"/>
      <c r="BM280" s="22"/>
      <c r="BN280" s="24"/>
      <c r="BO280" s="22"/>
      <c r="BP280" s="22"/>
      <c r="BQ280" s="22"/>
      <c r="BR280" s="22"/>
      <c r="BS280" s="24"/>
      <c r="BT280" s="22"/>
      <c r="BU280" s="22"/>
      <c r="BV280" s="22"/>
      <c r="BW280" s="22"/>
      <c r="BX280" s="24"/>
      <c r="BY280" s="22"/>
      <c r="BZ280" s="22"/>
      <c r="CA280" s="22"/>
      <c r="CB280" s="22"/>
      <c r="CC280" s="24"/>
      <c r="CD280" s="22"/>
      <c r="CE280" s="22"/>
      <c r="CF280" s="22"/>
      <c r="CG280" s="22"/>
      <c r="CH280" s="24"/>
      <c r="CI280" s="22"/>
      <c r="CJ280" s="22"/>
      <c r="CK280" s="22"/>
      <c r="CL280" s="22"/>
      <c r="CM280" s="24"/>
      <c r="CN280" s="22"/>
      <c r="CO280" s="22"/>
      <c r="CP280" s="22"/>
      <c r="CQ280" s="22"/>
      <c r="CR280" s="24"/>
    </row>
    <row r="281" spans="1:96" s="17" customFormat="1" ht="15" x14ac:dyDescent="0.4">
      <c r="A281" s="15" t="s">
        <v>93</v>
      </c>
      <c r="B281" s="50">
        <f t="shared" ref="B281:BM281" si="1304">IFERROR(B25/B$29*100,"")</f>
        <v>11.063811166212785</v>
      </c>
      <c r="C281" s="50">
        <f t="shared" si="1304"/>
        <v>16.41403348396825</v>
      </c>
      <c r="D281" s="50">
        <f t="shared" si="1304"/>
        <v>7.8529607281831157E-2</v>
      </c>
      <c r="E281" s="50">
        <f t="shared" si="1304"/>
        <v>25.434357360196298</v>
      </c>
      <c r="F281" s="50">
        <f t="shared" si="1304"/>
        <v>13.428298235089031</v>
      </c>
      <c r="G281" s="50">
        <f t="shared" si="1304"/>
        <v>1.7300983294295924</v>
      </c>
      <c r="H281" s="50">
        <f t="shared" si="1304"/>
        <v>4.8511302145225148</v>
      </c>
      <c r="I281" s="50">
        <f t="shared" si="1304"/>
        <v>12.552553065072974</v>
      </c>
      <c r="J281" s="50">
        <f t="shared" si="1304"/>
        <v>20.16659161501488</v>
      </c>
      <c r="K281" s="50">
        <f t="shared" si="1304"/>
        <v>10.15601942533902</v>
      </c>
      <c r="L281" s="50">
        <f t="shared" si="1304"/>
        <v>2.9365651680842273</v>
      </c>
      <c r="M281" s="50">
        <f t="shared" si="1304"/>
        <v>5.4484075308053495</v>
      </c>
      <c r="N281" s="50">
        <f t="shared" si="1304"/>
        <v>1.8345795448059188</v>
      </c>
      <c r="O281" s="50">
        <f t="shared" si="1304"/>
        <v>40.745901446847562</v>
      </c>
      <c r="P281" s="50">
        <f t="shared" si="1304"/>
        <v>13.237613665371686</v>
      </c>
      <c r="Q281" s="50">
        <f t="shared" si="1304"/>
        <v>9.1209274621705081</v>
      </c>
      <c r="R281" s="50">
        <f t="shared" si="1304"/>
        <v>17.485776341014464</v>
      </c>
      <c r="S281" s="50">
        <f t="shared" si="1304"/>
        <v>7.3101999075138826</v>
      </c>
      <c r="T281" s="50">
        <f t="shared" si="1304"/>
        <v>12.953579788016038</v>
      </c>
      <c r="U281" s="50">
        <f t="shared" si="1304"/>
        <v>11.711937477949631</v>
      </c>
      <c r="V281" s="50">
        <f t="shared" si="1304"/>
        <v>8.9066358772222909</v>
      </c>
      <c r="W281" s="50">
        <f t="shared" si="1304"/>
        <v>20.307448809939565</v>
      </c>
      <c r="X281" s="50">
        <f t="shared" si="1304"/>
        <v>11.245037787201744</v>
      </c>
      <c r="Y281" s="50">
        <f t="shared" si="1304"/>
        <v>10.561988102378566</v>
      </c>
      <c r="Z281" s="50">
        <f t="shared" si="1304"/>
        <v>12.754783560373047</v>
      </c>
      <c r="AA281" s="50">
        <f t="shared" si="1304"/>
        <v>9.8223218551618441</v>
      </c>
      <c r="AB281" s="50">
        <f t="shared" si="1304"/>
        <v>9.2551180551299232</v>
      </c>
      <c r="AC281" s="50">
        <f t="shared" si="1304"/>
        <v>16.46116957832254</v>
      </c>
      <c r="AD281" s="50">
        <f t="shared" si="1304"/>
        <v>13.538351492311143</v>
      </c>
      <c r="AE281" s="50">
        <f t="shared" si="1304"/>
        <v>12.405515611607877</v>
      </c>
      <c r="AF281" s="50">
        <f t="shared" si="1304"/>
        <v>1.1449459110606721</v>
      </c>
      <c r="AG281" s="50">
        <f t="shared" si="1304"/>
        <v>13.204087260574498</v>
      </c>
      <c r="AH281" s="50">
        <f t="shared" si="1304"/>
        <v>13.989481557863442</v>
      </c>
      <c r="AI281" s="50">
        <f t="shared" si="1304"/>
        <v>15.922653864634736</v>
      </c>
      <c r="AJ281" s="50">
        <f t="shared" si="1304"/>
        <v>11.261860129690916</v>
      </c>
      <c r="AK281" s="50">
        <f t="shared" si="1304"/>
        <v>10.532366396324861</v>
      </c>
      <c r="AL281" s="50">
        <f t="shared" si="1304"/>
        <v>10.501604516901367</v>
      </c>
      <c r="AM281" s="50">
        <f t="shared" si="1304"/>
        <v>10.094690685627111</v>
      </c>
      <c r="AN281" s="50">
        <f t="shared" si="1304"/>
        <v>12.42635299945289</v>
      </c>
      <c r="AO281" s="50">
        <f t="shared" si="1304"/>
        <v>10.920003163314137</v>
      </c>
      <c r="AP281" s="50">
        <f t="shared" si="1304"/>
        <v>10.720477219093413</v>
      </c>
      <c r="AQ281" s="50">
        <f t="shared" si="1304"/>
        <v>9.5840000889238564</v>
      </c>
      <c r="AR281" s="50">
        <f t="shared" si="1304"/>
        <v>10.853135947405445</v>
      </c>
      <c r="AS281" s="50">
        <f t="shared" si="1304"/>
        <v>12.203817765218901</v>
      </c>
      <c r="AT281" s="50">
        <f t="shared" si="1304"/>
        <v>10.86422105222117</v>
      </c>
      <c r="AU281" s="50">
        <f t="shared" si="1304"/>
        <v>7.2645988507295591</v>
      </c>
      <c r="AV281" s="50">
        <f t="shared" si="1304"/>
        <v>13.974503266218541</v>
      </c>
      <c r="AW281" s="50">
        <f t="shared" si="1304"/>
        <v>5.9855359384806333</v>
      </c>
      <c r="AX281" s="50">
        <f t="shared" si="1304"/>
        <v>15.432704029101647</v>
      </c>
      <c r="AY281" s="50">
        <f t="shared" si="1304"/>
        <v>10.735846025935459</v>
      </c>
      <c r="AZ281" s="50">
        <f t="shared" si="1304"/>
        <v>5.2314473677495439</v>
      </c>
      <c r="BA281" s="50">
        <f t="shared" si="1304"/>
        <v>9.7635748282398023</v>
      </c>
      <c r="BB281" s="50">
        <f t="shared" si="1304"/>
        <v>12.462118578798341</v>
      </c>
      <c r="BC281" s="50">
        <f t="shared" si="1304"/>
        <v>13.071650795376099</v>
      </c>
      <c r="BD281" s="50">
        <f t="shared" si="1304"/>
        <v>10.244825867334471</v>
      </c>
      <c r="BE281" s="50">
        <f t="shared" si="1304"/>
        <v>0.5219210589797455</v>
      </c>
      <c r="BF281" s="50">
        <f t="shared" si="1304"/>
        <v>4.2267546174686768</v>
      </c>
      <c r="BG281" s="50">
        <f t="shared" si="1304"/>
        <v>6.1344238627997747</v>
      </c>
      <c r="BH281" s="50">
        <f t="shared" si="1304"/>
        <v>16.085480494266374</v>
      </c>
      <c r="BI281" s="50">
        <f t="shared" si="1304"/>
        <v>6.9039899797438427</v>
      </c>
      <c r="BJ281" s="50">
        <f t="shared" si="1304"/>
        <v>5.2025053152753475</v>
      </c>
      <c r="BK281" s="50">
        <f t="shared" si="1304"/>
        <v>3.6658336489345653</v>
      </c>
      <c r="BL281" s="50">
        <f t="shared" si="1304"/>
        <v>4.5449555959421462</v>
      </c>
      <c r="BM281" s="50">
        <f t="shared" si="1304"/>
        <v>4.1609654805816252</v>
      </c>
      <c r="BN281" s="50">
        <f t="shared" ref="BN281:CR281" si="1305">IFERROR(BN25/BN$29*100,"")</f>
        <v>4.3954960984374543</v>
      </c>
      <c r="BO281" s="50">
        <f t="shared" si="1305"/>
        <v>3.1140358484392299</v>
      </c>
      <c r="BP281" s="50">
        <f t="shared" si="1305"/>
        <v>4.1279181521820218</v>
      </c>
      <c r="BQ281" s="50">
        <f t="shared" si="1305"/>
        <v>5.416652357108914</v>
      </c>
      <c r="BR281" s="50">
        <f t="shared" si="1305"/>
        <v>5.0820061892757016</v>
      </c>
      <c r="BS281" s="50">
        <f t="shared" si="1305"/>
        <v>4.460389037783238</v>
      </c>
      <c r="BT281" s="50">
        <f t="shared" si="1305"/>
        <v>4.353913376769655</v>
      </c>
      <c r="BU281" s="50">
        <f t="shared" si="1305"/>
        <v>4.9932138699931805</v>
      </c>
      <c r="BV281" s="50">
        <f t="shared" si="1305"/>
        <v>3.8395730773704284</v>
      </c>
      <c r="BW281" s="50">
        <f t="shared" si="1305"/>
        <v>5.3255941029585658</v>
      </c>
      <c r="BX281" s="50">
        <f t="shared" si="1305"/>
        <v>4.6395433133374748</v>
      </c>
      <c r="BY281" s="50">
        <f t="shared" si="1305"/>
        <v>4.4736261347598685</v>
      </c>
      <c r="BZ281" s="50">
        <f t="shared" si="1305"/>
        <v>4.9991338090058219</v>
      </c>
      <c r="CA281" s="50">
        <f t="shared" si="1305"/>
        <v>3.5424565859842541</v>
      </c>
      <c r="CB281" s="50">
        <f t="shared" si="1305"/>
        <v>4.0357488986174568</v>
      </c>
      <c r="CC281" s="50">
        <f t="shared" si="1305"/>
        <v>4.2576697327702648</v>
      </c>
      <c r="CD281" s="50">
        <f t="shared" si="1305"/>
        <v>4.8991602309865367</v>
      </c>
      <c r="CE281" s="50">
        <f t="shared" si="1305"/>
        <v>4.6373556703098906</v>
      </c>
      <c r="CF281" s="50">
        <f t="shared" si="1305"/>
        <v>5.0534901039808249</v>
      </c>
      <c r="CG281" s="50">
        <f t="shared" si="1305"/>
        <v>3.6809819988139592</v>
      </c>
      <c r="CH281" s="50">
        <f t="shared" si="1305"/>
        <v>4.5565169265664052</v>
      </c>
      <c r="CI281" s="50">
        <f t="shared" si="1305"/>
        <v>4.2636348289650554</v>
      </c>
      <c r="CJ281" s="50">
        <f t="shared" si="1305"/>
        <v>4.3006391174562033</v>
      </c>
      <c r="CK281" s="50">
        <f t="shared" si="1305"/>
        <v>4.6641198888577513</v>
      </c>
      <c r="CL281" s="50">
        <f t="shared" si="1305"/>
        <v>4.8337902324414941</v>
      </c>
      <c r="CM281" s="50">
        <f t="shared" si="1305"/>
        <v>4.5227155204202587</v>
      </c>
      <c r="CN281" s="50" t="str">
        <f t="shared" si="1305"/>
        <v/>
      </c>
      <c r="CO281" s="50" t="str">
        <f t="shared" si="1305"/>
        <v/>
      </c>
      <c r="CP281" s="50" t="str">
        <f t="shared" si="1305"/>
        <v/>
      </c>
      <c r="CQ281" s="50" t="str">
        <f t="shared" si="1305"/>
        <v/>
      </c>
      <c r="CR281" s="50" t="str">
        <f t="shared" si="1305"/>
        <v/>
      </c>
    </row>
    <row r="282" spans="1:96" s="9" customFormat="1" ht="15" x14ac:dyDescent="0.4">
      <c r="A282" s="25"/>
      <c r="B282" s="22"/>
      <c r="C282" s="22"/>
      <c r="D282" s="22"/>
      <c r="E282" s="22"/>
      <c r="F282" s="24"/>
      <c r="G282" s="22"/>
      <c r="H282" s="22"/>
      <c r="I282" s="22"/>
      <c r="J282" s="22"/>
      <c r="K282" s="24"/>
      <c r="L282" s="22"/>
      <c r="M282" s="22"/>
      <c r="N282" s="22"/>
      <c r="O282" s="22"/>
      <c r="P282" s="24"/>
      <c r="Q282" s="22"/>
      <c r="R282" s="22"/>
      <c r="S282" s="22"/>
      <c r="T282" s="22"/>
      <c r="U282" s="24"/>
      <c r="V282" s="22"/>
      <c r="W282" s="22"/>
      <c r="X282" s="22"/>
      <c r="Y282" s="22"/>
      <c r="Z282" s="24"/>
      <c r="AA282" s="22"/>
      <c r="AB282" s="22"/>
      <c r="AC282" s="22"/>
      <c r="AD282" s="22"/>
      <c r="AE282" s="24"/>
      <c r="AF282" s="22"/>
      <c r="AG282" s="22"/>
      <c r="AH282" s="22"/>
      <c r="AI282" s="22"/>
      <c r="AJ282" s="24"/>
      <c r="AK282" s="22"/>
      <c r="AL282" s="22"/>
      <c r="AM282" s="22"/>
      <c r="AN282" s="22"/>
      <c r="AO282" s="24"/>
      <c r="AP282" s="22"/>
      <c r="AQ282" s="22"/>
      <c r="AR282" s="22"/>
      <c r="AS282" s="22"/>
      <c r="AT282" s="24"/>
      <c r="AU282" s="22"/>
      <c r="AV282" s="22"/>
      <c r="AW282" s="22"/>
      <c r="AX282" s="22"/>
      <c r="AY282" s="24"/>
      <c r="AZ282" s="22"/>
      <c r="BA282" s="22"/>
      <c r="BB282" s="22"/>
      <c r="BC282" s="22"/>
      <c r="BD282" s="24"/>
      <c r="BE282" s="22"/>
      <c r="BF282" s="22"/>
      <c r="BG282" s="22"/>
      <c r="BH282" s="22"/>
      <c r="BI282" s="24"/>
      <c r="BJ282" s="22"/>
      <c r="BK282" s="22"/>
      <c r="BL282" s="22"/>
      <c r="BM282" s="22"/>
      <c r="BN282" s="24"/>
      <c r="BO282" s="22"/>
      <c r="BP282" s="22"/>
      <c r="BQ282" s="22"/>
      <c r="BR282" s="22"/>
      <c r="BS282" s="24"/>
      <c r="BT282" s="22"/>
      <c r="BU282" s="22"/>
      <c r="BV282" s="22"/>
      <c r="BW282" s="22"/>
      <c r="BX282" s="24"/>
      <c r="BY282" s="22"/>
      <c r="BZ282" s="22"/>
      <c r="CA282" s="22"/>
      <c r="CB282" s="22"/>
      <c r="CC282" s="24"/>
      <c r="CD282" s="22"/>
      <c r="CE282" s="22"/>
      <c r="CF282" s="22"/>
      <c r="CG282" s="22"/>
      <c r="CH282" s="24"/>
      <c r="CI282" s="22"/>
      <c r="CJ282" s="22"/>
      <c r="CK282" s="22"/>
      <c r="CL282" s="22"/>
      <c r="CM282" s="24"/>
      <c r="CN282" s="22"/>
      <c r="CO282" s="22"/>
      <c r="CP282" s="22"/>
      <c r="CQ282" s="22"/>
      <c r="CR282" s="24"/>
    </row>
    <row r="283" spans="1:96" s="17" customFormat="1" ht="15" x14ac:dyDescent="0.4">
      <c r="A283" s="15" t="s">
        <v>94</v>
      </c>
      <c r="B283" s="50">
        <f t="shared" ref="B283:BM283" si="1306">IFERROR(B27/B$29*100,"")</f>
        <v>94.449036671591386</v>
      </c>
      <c r="C283" s="50">
        <f t="shared" si="1306"/>
        <v>103.92654134850228</v>
      </c>
      <c r="D283" s="50">
        <f t="shared" si="1306"/>
        <v>94.981452082874881</v>
      </c>
      <c r="E283" s="50">
        <f t="shared" si="1306"/>
        <v>116.38106536255574</v>
      </c>
      <c r="F283" s="50">
        <f t="shared" si="1306"/>
        <v>102.7604878717402</v>
      </c>
      <c r="G283" s="50">
        <f t="shared" si="1306"/>
        <v>78.706317875720202</v>
      </c>
      <c r="H283" s="50">
        <f t="shared" si="1306"/>
        <v>90.8468329615838</v>
      </c>
      <c r="I283" s="50">
        <f t="shared" si="1306"/>
        <v>102.67686055866196</v>
      </c>
      <c r="J283" s="50">
        <f t="shared" si="1306"/>
        <v>113.52487161233815</v>
      </c>
      <c r="K283" s="50">
        <f t="shared" si="1306"/>
        <v>97.021765392723182</v>
      </c>
      <c r="L283" s="50">
        <f t="shared" si="1306"/>
        <v>78.688090361660883</v>
      </c>
      <c r="M283" s="50">
        <f t="shared" si="1306"/>
        <v>89.506366471226045</v>
      </c>
      <c r="N283" s="50">
        <f t="shared" si="1306"/>
        <v>89.54952934396853</v>
      </c>
      <c r="O283" s="50">
        <f t="shared" si="1306"/>
        <v>132.9040905772103</v>
      </c>
      <c r="P283" s="50">
        <f t="shared" si="1306"/>
        <v>98.41147394634234</v>
      </c>
      <c r="Q283" s="50">
        <f t="shared" si="1306"/>
        <v>84.967930702964807</v>
      </c>
      <c r="R283" s="50">
        <f t="shared" si="1306"/>
        <v>113.80567804279822</v>
      </c>
      <c r="S283" s="50">
        <f t="shared" si="1306"/>
        <v>102.94741575376753</v>
      </c>
      <c r="T283" s="50">
        <f t="shared" si="1306"/>
        <v>100.20115622438497</v>
      </c>
      <c r="U283" s="50">
        <f t="shared" si="1306"/>
        <v>100.67418445896207</v>
      </c>
      <c r="V283" s="50">
        <f t="shared" si="1306"/>
        <v>86.696586433699778</v>
      </c>
      <c r="W283" s="50">
        <f t="shared" si="1306"/>
        <v>112.07661812309493</v>
      </c>
      <c r="X283" s="50">
        <f t="shared" si="1306"/>
        <v>105.00300745646084</v>
      </c>
      <c r="Y283" s="50">
        <f t="shared" si="1306"/>
        <v>110.15950120969453</v>
      </c>
      <c r="Z283" s="50">
        <f t="shared" si="1306"/>
        <v>103.76607207520038</v>
      </c>
      <c r="AA283" s="50">
        <f t="shared" si="1306"/>
        <v>97.807445109525702</v>
      </c>
      <c r="AB283" s="50">
        <f t="shared" si="1306"/>
        <v>96.42239361767578</v>
      </c>
      <c r="AC283" s="50">
        <f t="shared" si="1306"/>
        <v>109.3946640184793</v>
      </c>
      <c r="AD283" s="50">
        <f t="shared" si="1306"/>
        <v>105.78281099433175</v>
      </c>
      <c r="AE283" s="50">
        <f t="shared" si="1306"/>
        <v>102.63129626789626</v>
      </c>
      <c r="AF283" s="50">
        <f t="shared" si="1306"/>
        <v>83.242565040223994</v>
      </c>
      <c r="AG283" s="50">
        <f t="shared" si="1306"/>
        <v>97.080110439876961</v>
      </c>
      <c r="AH283" s="50">
        <f t="shared" si="1306"/>
        <v>101.82022048955798</v>
      </c>
      <c r="AI283" s="50">
        <f t="shared" si="1306"/>
        <v>111.00279051010801</v>
      </c>
      <c r="AJ283" s="50">
        <f t="shared" si="1306"/>
        <v>98.680469446757712</v>
      </c>
      <c r="AK283" s="50">
        <f t="shared" si="1306"/>
        <v>91.896770938005062</v>
      </c>
      <c r="AL283" s="50">
        <f t="shared" si="1306"/>
        <v>97.772547984525119</v>
      </c>
      <c r="AM283" s="50">
        <f t="shared" si="1306"/>
        <v>101.728955626469</v>
      </c>
      <c r="AN283" s="50">
        <f t="shared" si="1306"/>
        <v>112.87397754711506</v>
      </c>
      <c r="AO283" s="50">
        <f t="shared" si="1306"/>
        <v>101.43918423496727</v>
      </c>
      <c r="AP283" s="50">
        <f t="shared" si="1306"/>
        <v>97.132834993817056</v>
      </c>
      <c r="AQ283" s="50">
        <f t="shared" si="1306"/>
        <v>96.11519988915677</v>
      </c>
      <c r="AR283" s="50">
        <f t="shared" si="1306"/>
        <v>102.22857142698754</v>
      </c>
      <c r="AS283" s="50">
        <f t="shared" si="1306"/>
        <v>110.47199516254982</v>
      </c>
      <c r="AT283" s="50">
        <f t="shared" si="1306"/>
        <v>101.69001027575008</v>
      </c>
      <c r="AU283" s="50">
        <f t="shared" si="1306"/>
        <v>92.12928806150525</v>
      </c>
      <c r="AV283" s="50">
        <f t="shared" si="1306"/>
        <v>101.72514282534182</v>
      </c>
      <c r="AW283" s="50">
        <f t="shared" si="1306"/>
        <v>99.386396699141287</v>
      </c>
      <c r="AX283" s="50">
        <f t="shared" si="1306"/>
        <v>113.73880623001797</v>
      </c>
      <c r="AY283" s="50">
        <f t="shared" si="1306"/>
        <v>102.00481127288133</v>
      </c>
      <c r="AZ283" s="50">
        <f t="shared" si="1306"/>
        <v>88.28775733960596</v>
      </c>
      <c r="BA283" s="50">
        <f t="shared" si="1306"/>
        <v>95.00574824556945</v>
      </c>
      <c r="BB283" s="50">
        <f t="shared" si="1306"/>
        <v>99.784096018202831</v>
      </c>
      <c r="BC283" s="50">
        <f t="shared" si="1306"/>
        <v>105.81371056421698</v>
      </c>
      <c r="BD283" s="50">
        <f t="shared" si="1306"/>
        <v>97.466361853005409</v>
      </c>
      <c r="BE283" s="50">
        <f t="shared" si="1306"/>
        <v>82.41234930812135</v>
      </c>
      <c r="BF283" s="50">
        <f t="shared" si="1306"/>
        <v>91.149054282924112</v>
      </c>
      <c r="BG283" s="50">
        <f t="shared" si="1306"/>
        <v>103.9071722108545</v>
      </c>
      <c r="BH283" s="50">
        <f t="shared" si="1306"/>
        <v>117.8706377313671</v>
      </c>
      <c r="BI283" s="50">
        <f t="shared" si="1306"/>
        <v>99.237274243754243</v>
      </c>
      <c r="BJ283" s="50">
        <f t="shared" si="1306"/>
        <v>72.702150182811707</v>
      </c>
      <c r="BK283" s="50">
        <f t="shared" si="1306"/>
        <v>81.379285144357965</v>
      </c>
      <c r="BL283" s="50">
        <f t="shared" si="1306"/>
        <v>89.834607832254179</v>
      </c>
      <c r="BM283" s="50">
        <f t="shared" si="1306"/>
        <v>99.253876354654295</v>
      </c>
      <c r="BN283" s="50">
        <f t="shared" ref="BN283:CR283" si="1307">IFERROR(BN27/BN$29*100,"")</f>
        <v>85.81042700954184</v>
      </c>
      <c r="BO283" s="50">
        <f t="shared" si="1307"/>
        <v>69.405980176747974</v>
      </c>
      <c r="BP283" s="50">
        <f t="shared" si="1307"/>
        <v>87.926936890981551</v>
      </c>
      <c r="BQ283" s="50">
        <f t="shared" si="1307"/>
        <v>80.493342686155984</v>
      </c>
      <c r="BR283" s="50">
        <f t="shared" si="1307"/>
        <v>104.3416825702697</v>
      </c>
      <c r="BS283" s="50">
        <f t="shared" si="1307"/>
        <v>85.938716936963999</v>
      </c>
      <c r="BT283" s="50">
        <f t="shared" si="1307"/>
        <v>68.992771793968288</v>
      </c>
      <c r="BU283" s="50">
        <f t="shared" si="1307"/>
        <v>73.571858671578369</v>
      </c>
      <c r="BV283" s="50">
        <f t="shared" si="1307"/>
        <v>76.859227398485331</v>
      </c>
      <c r="BW283" s="50">
        <f t="shared" si="1307"/>
        <v>91.352760444828775</v>
      </c>
      <c r="BX283" s="50">
        <f t="shared" si="1307"/>
        <v>78.078782000756917</v>
      </c>
      <c r="BY283" s="50">
        <f t="shared" si="1307"/>
        <v>61.982724676449195</v>
      </c>
      <c r="BZ283" s="50">
        <f t="shared" si="1307"/>
        <v>69.24599492350788</v>
      </c>
      <c r="CA283" s="50">
        <f t="shared" si="1307"/>
        <v>70.013318631265491</v>
      </c>
      <c r="CB283" s="50">
        <f t="shared" si="1307"/>
        <v>83.95536287340839</v>
      </c>
      <c r="CC283" s="50">
        <f t="shared" si="1307"/>
        <v>71.536407900833069</v>
      </c>
      <c r="CD283" s="50">
        <f t="shared" si="1307"/>
        <v>62.181596173402284</v>
      </c>
      <c r="CE283" s="50">
        <f t="shared" si="1307"/>
        <v>68.608426773459669</v>
      </c>
      <c r="CF283" s="50">
        <f t="shared" si="1307"/>
        <v>67.531550824319353</v>
      </c>
      <c r="CG283" s="50">
        <f t="shared" si="1307"/>
        <v>80.127049106706536</v>
      </c>
      <c r="CH283" s="50">
        <f t="shared" si="1307"/>
        <v>69.801557350757108</v>
      </c>
      <c r="CI283" s="50">
        <f t="shared" si="1307"/>
        <v>59.871101223322242</v>
      </c>
      <c r="CJ283" s="50">
        <f t="shared" si="1307"/>
        <v>63.99271812107542</v>
      </c>
      <c r="CK283" s="50">
        <f t="shared" si="1307"/>
        <v>65.871722614521843</v>
      </c>
      <c r="CL283" s="50">
        <f t="shared" si="1307"/>
        <v>71.096421511729844</v>
      </c>
      <c r="CM283" s="50">
        <f t="shared" si="1307"/>
        <v>65.335694415119747</v>
      </c>
      <c r="CN283" s="50" t="str">
        <f t="shared" si="1307"/>
        <v/>
      </c>
      <c r="CO283" s="50" t="str">
        <f t="shared" si="1307"/>
        <v/>
      </c>
      <c r="CP283" s="50" t="str">
        <f t="shared" si="1307"/>
        <v/>
      </c>
      <c r="CQ283" s="50" t="str">
        <f t="shared" si="1307"/>
        <v/>
      </c>
      <c r="CR283" s="50" t="str">
        <f t="shared" si="1307"/>
        <v/>
      </c>
    </row>
    <row r="284" spans="1:96" s="9" customFormat="1" ht="15" x14ac:dyDescent="0.4">
      <c r="A284" s="25"/>
      <c r="B284" s="45"/>
      <c r="C284" s="45"/>
      <c r="D284" s="45"/>
      <c r="E284" s="45"/>
      <c r="F284" s="46"/>
      <c r="G284" s="45"/>
      <c r="H284" s="45"/>
      <c r="I284" s="45"/>
      <c r="J284" s="45"/>
      <c r="K284" s="46"/>
      <c r="L284" s="45"/>
      <c r="M284" s="45"/>
      <c r="N284" s="45"/>
      <c r="O284" s="45"/>
      <c r="P284" s="46"/>
      <c r="Q284" s="45"/>
      <c r="R284" s="45"/>
      <c r="S284" s="45"/>
      <c r="T284" s="45"/>
      <c r="U284" s="46"/>
      <c r="V284" s="45"/>
      <c r="W284" s="45"/>
      <c r="X284" s="45"/>
      <c r="Y284" s="45"/>
      <c r="Z284" s="46"/>
      <c r="AA284" s="45"/>
      <c r="AB284" s="45"/>
      <c r="AC284" s="45"/>
      <c r="AD284" s="45"/>
      <c r="AE284" s="46"/>
      <c r="AF284" s="45"/>
      <c r="AG284" s="45"/>
      <c r="AH284" s="45"/>
      <c r="AI284" s="45"/>
      <c r="AJ284" s="46"/>
      <c r="AK284" s="45"/>
      <c r="AL284" s="45"/>
      <c r="AM284" s="45"/>
      <c r="AN284" s="45"/>
      <c r="AO284" s="46"/>
      <c r="AP284" s="45"/>
      <c r="AQ284" s="45"/>
      <c r="AR284" s="45"/>
      <c r="AS284" s="45"/>
      <c r="AT284" s="46"/>
      <c r="AU284" s="45"/>
      <c r="AV284" s="45"/>
      <c r="AW284" s="45"/>
      <c r="AX284" s="45"/>
      <c r="AY284" s="46"/>
      <c r="AZ284" s="45"/>
      <c r="BA284" s="45"/>
      <c r="BB284" s="45"/>
      <c r="BC284" s="45"/>
      <c r="BD284" s="46"/>
      <c r="BE284" s="45"/>
      <c r="BF284" s="45"/>
      <c r="BG284" s="45"/>
      <c r="BH284" s="45"/>
      <c r="BI284" s="46"/>
      <c r="BJ284" s="45"/>
      <c r="BK284" s="45"/>
      <c r="BL284" s="45"/>
      <c r="BM284" s="45"/>
      <c r="BN284" s="46"/>
      <c r="BO284" s="45"/>
      <c r="BP284" s="45"/>
      <c r="BQ284" s="45"/>
      <c r="BR284" s="45"/>
      <c r="BS284" s="46"/>
      <c r="BT284" s="45"/>
      <c r="BU284" s="45"/>
      <c r="BV284" s="45"/>
      <c r="BW284" s="45"/>
      <c r="BX284" s="46"/>
      <c r="BY284" s="45"/>
      <c r="BZ284" s="45"/>
      <c r="CA284" s="45"/>
      <c r="CB284" s="45"/>
      <c r="CC284" s="46"/>
      <c r="CD284" s="45"/>
      <c r="CE284" s="45"/>
      <c r="CF284" s="45"/>
      <c r="CG284" s="45"/>
      <c r="CH284" s="46"/>
      <c r="CI284" s="45"/>
      <c r="CJ284" s="45"/>
      <c r="CK284" s="45"/>
      <c r="CL284" s="45"/>
      <c r="CM284" s="46"/>
      <c r="CN284" s="45"/>
      <c r="CO284" s="45"/>
      <c r="CP284" s="45"/>
      <c r="CQ284" s="45"/>
      <c r="CR284" s="46"/>
    </row>
    <row r="285" spans="1:96" s="9" customFormat="1" ht="23.25" customHeight="1" thickBot="1" x14ac:dyDescent="0.35">
      <c r="A285" s="26" t="s">
        <v>95</v>
      </c>
      <c r="B285" s="51">
        <f t="shared" ref="B285:BM285" si="1308">IFERROR(B29/B$29*100,"")</f>
        <v>100</v>
      </c>
      <c r="C285" s="51">
        <f t="shared" si="1308"/>
        <v>100</v>
      </c>
      <c r="D285" s="51">
        <f t="shared" si="1308"/>
        <v>100</v>
      </c>
      <c r="E285" s="51">
        <f t="shared" si="1308"/>
        <v>100</v>
      </c>
      <c r="F285" s="51">
        <f t="shared" si="1308"/>
        <v>100</v>
      </c>
      <c r="G285" s="51">
        <f t="shared" si="1308"/>
        <v>100</v>
      </c>
      <c r="H285" s="51">
        <f t="shared" si="1308"/>
        <v>100</v>
      </c>
      <c r="I285" s="51">
        <f t="shared" si="1308"/>
        <v>100</v>
      </c>
      <c r="J285" s="51">
        <f t="shared" si="1308"/>
        <v>100</v>
      </c>
      <c r="K285" s="51">
        <f t="shared" si="1308"/>
        <v>100</v>
      </c>
      <c r="L285" s="51">
        <f t="shared" si="1308"/>
        <v>100</v>
      </c>
      <c r="M285" s="51">
        <f t="shared" si="1308"/>
        <v>100</v>
      </c>
      <c r="N285" s="51">
        <f t="shared" si="1308"/>
        <v>100</v>
      </c>
      <c r="O285" s="51">
        <f t="shared" si="1308"/>
        <v>100</v>
      </c>
      <c r="P285" s="51">
        <f t="shared" si="1308"/>
        <v>100</v>
      </c>
      <c r="Q285" s="51">
        <f t="shared" si="1308"/>
        <v>100</v>
      </c>
      <c r="R285" s="51">
        <f t="shared" si="1308"/>
        <v>100</v>
      </c>
      <c r="S285" s="51">
        <f t="shared" si="1308"/>
        <v>100</v>
      </c>
      <c r="T285" s="51">
        <f t="shared" si="1308"/>
        <v>100</v>
      </c>
      <c r="U285" s="51">
        <f t="shared" si="1308"/>
        <v>100</v>
      </c>
      <c r="V285" s="51">
        <f t="shared" si="1308"/>
        <v>100</v>
      </c>
      <c r="W285" s="51">
        <f t="shared" si="1308"/>
        <v>100</v>
      </c>
      <c r="X285" s="51">
        <f t="shared" si="1308"/>
        <v>100</v>
      </c>
      <c r="Y285" s="51">
        <f t="shared" si="1308"/>
        <v>100</v>
      </c>
      <c r="Z285" s="51">
        <f t="shared" si="1308"/>
        <v>100</v>
      </c>
      <c r="AA285" s="51">
        <f t="shared" si="1308"/>
        <v>100</v>
      </c>
      <c r="AB285" s="51">
        <f t="shared" si="1308"/>
        <v>100</v>
      </c>
      <c r="AC285" s="51">
        <f t="shared" si="1308"/>
        <v>100</v>
      </c>
      <c r="AD285" s="51">
        <f t="shared" si="1308"/>
        <v>100</v>
      </c>
      <c r="AE285" s="51">
        <f t="shared" si="1308"/>
        <v>100</v>
      </c>
      <c r="AF285" s="51">
        <f t="shared" si="1308"/>
        <v>100</v>
      </c>
      <c r="AG285" s="51">
        <f t="shared" si="1308"/>
        <v>100</v>
      </c>
      <c r="AH285" s="51">
        <f t="shared" si="1308"/>
        <v>100</v>
      </c>
      <c r="AI285" s="51">
        <f t="shared" si="1308"/>
        <v>100</v>
      </c>
      <c r="AJ285" s="51">
        <f t="shared" si="1308"/>
        <v>100</v>
      </c>
      <c r="AK285" s="51">
        <f t="shared" si="1308"/>
        <v>100</v>
      </c>
      <c r="AL285" s="51">
        <f t="shared" si="1308"/>
        <v>100</v>
      </c>
      <c r="AM285" s="51">
        <f t="shared" si="1308"/>
        <v>100</v>
      </c>
      <c r="AN285" s="51">
        <f t="shared" si="1308"/>
        <v>100</v>
      </c>
      <c r="AO285" s="51">
        <f t="shared" si="1308"/>
        <v>100</v>
      </c>
      <c r="AP285" s="51">
        <f t="shared" si="1308"/>
        <v>100</v>
      </c>
      <c r="AQ285" s="51">
        <f t="shared" si="1308"/>
        <v>100</v>
      </c>
      <c r="AR285" s="51">
        <f t="shared" si="1308"/>
        <v>100</v>
      </c>
      <c r="AS285" s="51">
        <f t="shared" si="1308"/>
        <v>100</v>
      </c>
      <c r="AT285" s="51">
        <f t="shared" si="1308"/>
        <v>100</v>
      </c>
      <c r="AU285" s="51">
        <f t="shared" si="1308"/>
        <v>100</v>
      </c>
      <c r="AV285" s="51">
        <f t="shared" si="1308"/>
        <v>100</v>
      </c>
      <c r="AW285" s="51">
        <f t="shared" si="1308"/>
        <v>100</v>
      </c>
      <c r="AX285" s="51">
        <f t="shared" si="1308"/>
        <v>100</v>
      </c>
      <c r="AY285" s="51">
        <f t="shared" si="1308"/>
        <v>100</v>
      </c>
      <c r="AZ285" s="51">
        <f t="shared" si="1308"/>
        <v>100</v>
      </c>
      <c r="BA285" s="51">
        <f t="shared" si="1308"/>
        <v>100</v>
      </c>
      <c r="BB285" s="51">
        <f t="shared" si="1308"/>
        <v>100</v>
      </c>
      <c r="BC285" s="51">
        <f t="shared" si="1308"/>
        <v>100</v>
      </c>
      <c r="BD285" s="51">
        <f t="shared" si="1308"/>
        <v>100</v>
      </c>
      <c r="BE285" s="51">
        <f t="shared" si="1308"/>
        <v>100</v>
      </c>
      <c r="BF285" s="51">
        <f t="shared" si="1308"/>
        <v>100</v>
      </c>
      <c r="BG285" s="51">
        <f t="shared" si="1308"/>
        <v>100</v>
      </c>
      <c r="BH285" s="51">
        <f t="shared" si="1308"/>
        <v>100</v>
      </c>
      <c r="BI285" s="51">
        <f t="shared" si="1308"/>
        <v>100</v>
      </c>
      <c r="BJ285" s="51">
        <f t="shared" si="1308"/>
        <v>100</v>
      </c>
      <c r="BK285" s="51">
        <f t="shared" si="1308"/>
        <v>100</v>
      </c>
      <c r="BL285" s="51">
        <f t="shared" si="1308"/>
        <v>100</v>
      </c>
      <c r="BM285" s="51">
        <f t="shared" si="1308"/>
        <v>100</v>
      </c>
      <c r="BN285" s="51">
        <f t="shared" ref="BN285:CR285" si="1309">IFERROR(BN29/BN$29*100,"")</f>
        <v>100</v>
      </c>
      <c r="BO285" s="51">
        <f t="shared" si="1309"/>
        <v>100</v>
      </c>
      <c r="BP285" s="51">
        <f t="shared" si="1309"/>
        <v>100</v>
      </c>
      <c r="BQ285" s="51">
        <f t="shared" si="1309"/>
        <v>100</v>
      </c>
      <c r="BR285" s="51">
        <f t="shared" si="1309"/>
        <v>100</v>
      </c>
      <c r="BS285" s="51">
        <f t="shared" si="1309"/>
        <v>100</v>
      </c>
      <c r="BT285" s="51">
        <f t="shared" si="1309"/>
        <v>100</v>
      </c>
      <c r="BU285" s="51">
        <f t="shared" si="1309"/>
        <v>100</v>
      </c>
      <c r="BV285" s="51">
        <f t="shared" si="1309"/>
        <v>100</v>
      </c>
      <c r="BW285" s="51">
        <f t="shared" si="1309"/>
        <v>100</v>
      </c>
      <c r="BX285" s="51">
        <f t="shared" si="1309"/>
        <v>100</v>
      </c>
      <c r="BY285" s="51">
        <f t="shared" si="1309"/>
        <v>100</v>
      </c>
      <c r="BZ285" s="51">
        <f t="shared" si="1309"/>
        <v>100</v>
      </c>
      <c r="CA285" s="51">
        <f t="shared" si="1309"/>
        <v>100</v>
      </c>
      <c r="CB285" s="51">
        <f t="shared" si="1309"/>
        <v>100</v>
      </c>
      <c r="CC285" s="51">
        <f t="shared" si="1309"/>
        <v>100</v>
      </c>
      <c r="CD285" s="51">
        <f t="shared" si="1309"/>
        <v>100</v>
      </c>
      <c r="CE285" s="51">
        <f t="shared" si="1309"/>
        <v>100</v>
      </c>
      <c r="CF285" s="51">
        <f t="shared" si="1309"/>
        <v>100</v>
      </c>
      <c r="CG285" s="51">
        <f t="shared" si="1309"/>
        <v>100</v>
      </c>
      <c r="CH285" s="51">
        <f t="shared" si="1309"/>
        <v>100</v>
      </c>
      <c r="CI285" s="51">
        <f t="shared" si="1309"/>
        <v>100</v>
      </c>
      <c r="CJ285" s="51">
        <f t="shared" si="1309"/>
        <v>100</v>
      </c>
      <c r="CK285" s="51">
        <f t="shared" si="1309"/>
        <v>100</v>
      </c>
      <c r="CL285" s="51">
        <f t="shared" si="1309"/>
        <v>100</v>
      </c>
      <c r="CM285" s="51">
        <f t="shared" si="1309"/>
        <v>100</v>
      </c>
      <c r="CN285" s="51" t="str">
        <f t="shared" si="1309"/>
        <v/>
      </c>
      <c r="CO285" s="51" t="str">
        <f t="shared" si="1309"/>
        <v/>
      </c>
      <c r="CP285" s="51" t="str">
        <f t="shared" si="1309"/>
        <v/>
      </c>
      <c r="CQ285" s="51" t="str">
        <f t="shared" si="1309"/>
        <v/>
      </c>
      <c r="CR285" s="51" t="str">
        <f t="shared" si="1309"/>
        <v/>
      </c>
    </row>
    <row r="286" spans="1:96" s="9" customFormat="1" ht="15" x14ac:dyDescent="0.4">
      <c r="A286" s="28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  <c r="BA286" s="29"/>
      <c r="BB286" s="29"/>
      <c r="BC286" s="29"/>
      <c r="BD286" s="29"/>
      <c r="BE286" s="29"/>
      <c r="BF286" s="29"/>
      <c r="BG286" s="29"/>
      <c r="BH286" s="29"/>
      <c r="BI286" s="29"/>
      <c r="BJ286" s="29"/>
      <c r="BK286" s="29"/>
      <c r="BL286" s="29"/>
      <c r="BM286" s="29"/>
      <c r="BN286" s="29"/>
      <c r="BO286" s="29"/>
      <c r="BP286" s="29"/>
      <c r="BQ286" s="29"/>
      <c r="BR286" s="29"/>
      <c r="BS286" s="29"/>
      <c r="BT286" s="29"/>
      <c r="BU286" s="29"/>
      <c r="BV286" s="29"/>
      <c r="BW286" s="29"/>
      <c r="BX286" s="29"/>
      <c r="BY286" s="29"/>
      <c r="BZ286" s="29"/>
      <c r="CA286" s="29"/>
      <c r="CB286" s="29"/>
      <c r="CC286" s="29"/>
      <c r="CD286" s="29"/>
      <c r="CE286" s="29"/>
      <c r="CF286" s="29"/>
      <c r="CG286" s="29"/>
      <c r="CH286" s="29"/>
      <c r="CI286" s="29"/>
      <c r="CJ286" s="29"/>
      <c r="CK286" s="29"/>
      <c r="CL286" s="29"/>
      <c r="CM286" s="29"/>
      <c r="CN286" s="29"/>
      <c r="CO286" s="29"/>
      <c r="CP286" s="29"/>
      <c r="CQ286" s="29"/>
      <c r="CR286" s="29"/>
    </row>
    <row r="287" spans="1:96" s="31" customFormat="1" ht="15" x14ac:dyDescent="0.4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  <c r="BB287" s="30"/>
      <c r="BC287" s="30"/>
      <c r="BD287" s="30"/>
      <c r="BE287" s="30"/>
      <c r="BF287" s="30"/>
      <c r="BG287" s="30"/>
      <c r="BH287" s="30"/>
      <c r="BI287" s="30"/>
      <c r="BJ287" s="30"/>
      <c r="BK287" s="30"/>
      <c r="BL287" s="30"/>
      <c r="BM287" s="30"/>
      <c r="BN287" s="30"/>
      <c r="BO287" s="30"/>
      <c r="BP287" s="30"/>
      <c r="BQ287" s="30"/>
      <c r="BR287" s="30"/>
      <c r="BS287" s="30"/>
      <c r="BT287" s="30"/>
      <c r="BU287" s="30"/>
      <c r="BV287" s="30"/>
      <c r="BW287" s="30"/>
      <c r="BX287" s="30"/>
      <c r="BY287" s="30"/>
      <c r="BZ287" s="30"/>
      <c r="CA287" s="30"/>
      <c r="CB287" s="30"/>
      <c r="CC287" s="30"/>
      <c r="CD287" s="30"/>
      <c r="CE287" s="30"/>
      <c r="CF287" s="30"/>
      <c r="CG287" s="30"/>
      <c r="CH287" s="30"/>
      <c r="CI287" s="30"/>
      <c r="CJ287" s="30"/>
      <c r="CK287" s="30"/>
      <c r="CL287" s="30"/>
      <c r="CM287" s="30"/>
      <c r="CN287" s="30"/>
      <c r="CO287" s="30"/>
      <c r="CP287" s="30"/>
      <c r="CQ287" s="30"/>
      <c r="CR287" s="30"/>
    </row>
    <row r="288" spans="1:96" s="31" customFormat="1" ht="15" x14ac:dyDescent="0.4">
      <c r="A288" s="32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  <c r="AT288" s="33"/>
      <c r="AU288" s="33"/>
      <c r="AV288" s="33"/>
      <c r="AW288" s="33"/>
      <c r="AX288" s="33"/>
      <c r="AY288" s="33"/>
      <c r="AZ288" s="33"/>
      <c r="BA288" s="33"/>
      <c r="BB288" s="33"/>
      <c r="BC288" s="33"/>
      <c r="BD288" s="33"/>
      <c r="BE288" s="33"/>
      <c r="BF288" s="33"/>
      <c r="BG288" s="33"/>
      <c r="BH288" s="33"/>
      <c r="BI288" s="33"/>
      <c r="BJ288" s="33"/>
      <c r="BK288" s="33"/>
      <c r="BL288" s="33"/>
      <c r="BM288" s="33"/>
      <c r="BN288" s="33"/>
      <c r="BO288" s="33"/>
      <c r="BP288" s="33"/>
      <c r="BQ288" s="33"/>
      <c r="BR288" s="33"/>
      <c r="BS288" s="33"/>
      <c r="BT288" s="33"/>
      <c r="BU288" s="33"/>
      <c r="BV288" s="33"/>
      <c r="BW288" s="33"/>
      <c r="BX288" s="33"/>
      <c r="BY288" s="33"/>
      <c r="BZ288" s="33"/>
      <c r="CA288" s="33"/>
      <c r="CB288" s="33"/>
      <c r="CC288" s="33"/>
      <c r="CD288" s="33"/>
      <c r="CE288" s="33"/>
      <c r="CF288" s="33"/>
      <c r="CG288" s="33"/>
      <c r="CH288" s="33"/>
      <c r="CI288" s="33"/>
      <c r="CJ288" s="33"/>
      <c r="CK288" s="33"/>
      <c r="CL288" s="33"/>
      <c r="CM288" s="33"/>
      <c r="CN288" s="33"/>
      <c r="CO288" s="33"/>
      <c r="CP288" s="33"/>
      <c r="CQ288" s="33"/>
      <c r="CR288" s="33"/>
    </row>
    <row r="289" spans="1:96" ht="20" x14ac:dyDescent="0.4">
      <c r="A289" s="1" t="s">
        <v>104</v>
      </c>
    </row>
    <row r="290" spans="1:96" ht="20.5" thickBot="1" x14ac:dyDescent="0.45">
      <c r="A290" s="1" t="str">
        <f>A258</f>
        <v>Kabupaten/Kota :</v>
      </c>
      <c r="B290" s="34" t="str">
        <f>B258</f>
        <v>Kepuluauan Tanimbar</v>
      </c>
      <c r="L290" s="35"/>
      <c r="V290" s="35"/>
      <c r="AF290" s="35"/>
      <c r="AP290" s="35"/>
      <c r="AZ290" s="35"/>
      <c r="BJ290" s="35"/>
      <c r="BT290" s="35"/>
    </row>
    <row r="291" spans="1:96" s="9" customFormat="1" ht="24" customHeight="1" thickBot="1" x14ac:dyDescent="0.35">
      <c r="A291" s="5" t="s">
        <v>2</v>
      </c>
      <c r="B291" s="6" t="s">
        <v>3</v>
      </c>
      <c r="C291" s="6" t="s">
        <v>4</v>
      </c>
      <c r="D291" s="6" t="s">
        <v>5</v>
      </c>
      <c r="E291" s="6" t="s">
        <v>6</v>
      </c>
      <c r="F291" s="6">
        <v>2008</v>
      </c>
      <c r="G291" s="7" t="s">
        <v>7</v>
      </c>
      <c r="H291" s="7" t="s">
        <v>8</v>
      </c>
      <c r="I291" s="7" t="s">
        <v>9</v>
      </c>
      <c r="J291" s="7" t="s">
        <v>10</v>
      </c>
      <c r="K291" s="7">
        <v>2009</v>
      </c>
      <c r="L291" s="6" t="s">
        <v>11</v>
      </c>
      <c r="M291" s="6" t="s">
        <v>12</v>
      </c>
      <c r="N291" s="6" t="s">
        <v>13</v>
      </c>
      <c r="O291" s="6" t="s">
        <v>14</v>
      </c>
      <c r="P291" s="6">
        <v>2010</v>
      </c>
      <c r="Q291" s="7" t="s">
        <v>15</v>
      </c>
      <c r="R291" s="7" t="s">
        <v>16</v>
      </c>
      <c r="S291" s="7" t="s">
        <v>17</v>
      </c>
      <c r="T291" s="7" t="s">
        <v>18</v>
      </c>
      <c r="U291" s="7">
        <v>2011</v>
      </c>
      <c r="V291" s="6" t="s">
        <v>19</v>
      </c>
      <c r="W291" s="6" t="s">
        <v>20</v>
      </c>
      <c r="X291" s="6" t="s">
        <v>21</v>
      </c>
      <c r="Y291" s="6" t="s">
        <v>22</v>
      </c>
      <c r="Z291" s="6">
        <v>2012</v>
      </c>
      <c r="AA291" s="7" t="s">
        <v>23</v>
      </c>
      <c r="AB291" s="7" t="s">
        <v>24</v>
      </c>
      <c r="AC291" s="7" t="s">
        <v>25</v>
      </c>
      <c r="AD291" s="7" t="s">
        <v>26</v>
      </c>
      <c r="AE291" s="7">
        <v>2013</v>
      </c>
      <c r="AF291" s="6" t="s">
        <v>27</v>
      </c>
      <c r="AG291" s="6" t="s">
        <v>28</v>
      </c>
      <c r="AH291" s="6" t="s">
        <v>29</v>
      </c>
      <c r="AI291" s="6" t="s">
        <v>30</v>
      </c>
      <c r="AJ291" s="6">
        <v>2014</v>
      </c>
      <c r="AK291" s="7" t="s">
        <v>31</v>
      </c>
      <c r="AL291" s="7" t="s">
        <v>32</v>
      </c>
      <c r="AM291" s="7" t="s">
        <v>33</v>
      </c>
      <c r="AN291" s="7" t="s">
        <v>34</v>
      </c>
      <c r="AO291" s="7">
        <v>2015</v>
      </c>
      <c r="AP291" s="6" t="s">
        <v>35</v>
      </c>
      <c r="AQ291" s="6" t="s">
        <v>36</v>
      </c>
      <c r="AR291" s="6" t="s">
        <v>37</v>
      </c>
      <c r="AS291" s="6" t="s">
        <v>38</v>
      </c>
      <c r="AT291" s="6">
        <v>2016</v>
      </c>
      <c r="AU291" s="7" t="s">
        <v>39</v>
      </c>
      <c r="AV291" s="7" t="s">
        <v>40</v>
      </c>
      <c r="AW291" s="7" t="s">
        <v>41</v>
      </c>
      <c r="AX291" s="7" t="s">
        <v>42</v>
      </c>
      <c r="AY291" s="7">
        <v>2017</v>
      </c>
      <c r="AZ291" s="6" t="s">
        <v>43</v>
      </c>
      <c r="BA291" s="6" t="s">
        <v>44</v>
      </c>
      <c r="BB291" s="6" t="s">
        <v>45</v>
      </c>
      <c r="BC291" s="6" t="s">
        <v>46</v>
      </c>
      <c r="BD291" s="6">
        <v>2018</v>
      </c>
      <c r="BE291" s="7" t="s">
        <v>47</v>
      </c>
      <c r="BF291" s="7" t="s">
        <v>48</v>
      </c>
      <c r="BG291" s="7" t="s">
        <v>49</v>
      </c>
      <c r="BH291" s="7" t="s">
        <v>50</v>
      </c>
      <c r="BI291" s="7">
        <v>2019</v>
      </c>
      <c r="BJ291" s="6" t="s">
        <v>51</v>
      </c>
      <c r="BK291" s="6" t="s">
        <v>52</v>
      </c>
      <c r="BL291" s="6" t="s">
        <v>53</v>
      </c>
      <c r="BM291" s="6" t="s">
        <v>54</v>
      </c>
      <c r="BN291" s="6">
        <v>2020</v>
      </c>
      <c r="BO291" s="7" t="s">
        <v>55</v>
      </c>
      <c r="BP291" s="7" t="s">
        <v>56</v>
      </c>
      <c r="BQ291" s="7" t="s">
        <v>57</v>
      </c>
      <c r="BR291" s="7" t="s">
        <v>58</v>
      </c>
      <c r="BS291" s="7">
        <v>2021</v>
      </c>
      <c r="BT291" s="6" t="s">
        <v>59</v>
      </c>
      <c r="BU291" s="6" t="s">
        <v>60</v>
      </c>
      <c r="BV291" s="6" t="s">
        <v>61</v>
      </c>
      <c r="BW291" s="6" t="s">
        <v>62</v>
      </c>
      <c r="BX291" s="6">
        <v>2022</v>
      </c>
      <c r="BY291" s="7" t="s">
        <v>63</v>
      </c>
      <c r="BZ291" s="7" t="s">
        <v>64</v>
      </c>
      <c r="CA291" s="7" t="s">
        <v>65</v>
      </c>
      <c r="CB291" s="7" t="s">
        <v>66</v>
      </c>
      <c r="CC291" s="7">
        <v>2023</v>
      </c>
      <c r="CD291" s="8" t="s">
        <v>67</v>
      </c>
      <c r="CE291" s="8" t="s">
        <v>68</v>
      </c>
      <c r="CF291" s="8" t="s">
        <v>69</v>
      </c>
      <c r="CG291" s="8" t="s">
        <v>70</v>
      </c>
      <c r="CH291" s="8">
        <v>2024</v>
      </c>
      <c r="CI291" s="7" t="s">
        <v>71</v>
      </c>
      <c r="CJ291" s="7" t="s">
        <v>72</v>
      </c>
      <c r="CK291" s="7" t="s">
        <v>73</v>
      </c>
      <c r="CL291" s="7" t="s">
        <v>74</v>
      </c>
      <c r="CM291" s="7">
        <v>2025</v>
      </c>
      <c r="CN291" s="8" t="s">
        <v>75</v>
      </c>
      <c r="CO291" s="8" t="s">
        <v>76</v>
      </c>
      <c r="CP291" s="8" t="s">
        <v>77</v>
      </c>
      <c r="CQ291" s="8" t="s">
        <v>78</v>
      </c>
      <c r="CR291" s="8">
        <v>2026</v>
      </c>
    </row>
    <row r="292" spans="1:96" s="9" customFormat="1" ht="13.5" thickBot="1" x14ac:dyDescent="0.35">
      <c r="A292" s="10">
        <v>-1</v>
      </c>
      <c r="B292" s="11">
        <f>Table3361019181014171838485868788898108118128[[#This Row],[Komponen Pengeluaran]]-1</f>
        <v>-2</v>
      </c>
      <c r="C292" s="11">
        <f>B292-1</f>
        <v>-3</v>
      </c>
      <c r="D292" s="11">
        <f t="shared" ref="D292:BO292" si="1310">C292-1</f>
        <v>-4</v>
      </c>
      <c r="E292" s="11">
        <f t="shared" si="1310"/>
        <v>-5</v>
      </c>
      <c r="F292" s="11">
        <f t="shared" si="1310"/>
        <v>-6</v>
      </c>
      <c r="G292" s="11">
        <f t="shared" si="1310"/>
        <v>-7</v>
      </c>
      <c r="H292" s="11">
        <f t="shared" si="1310"/>
        <v>-8</v>
      </c>
      <c r="I292" s="11">
        <f t="shared" si="1310"/>
        <v>-9</v>
      </c>
      <c r="J292" s="11">
        <f t="shared" si="1310"/>
        <v>-10</v>
      </c>
      <c r="K292" s="11">
        <f t="shared" si="1310"/>
        <v>-11</v>
      </c>
      <c r="L292" s="11">
        <f t="shared" si="1310"/>
        <v>-12</v>
      </c>
      <c r="M292" s="11">
        <f t="shared" si="1310"/>
        <v>-13</v>
      </c>
      <c r="N292" s="11">
        <f t="shared" si="1310"/>
        <v>-14</v>
      </c>
      <c r="O292" s="11">
        <f t="shared" si="1310"/>
        <v>-15</v>
      </c>
      <c r="P292" s="11">
        <f t="shared" si="1310"/>
        <v>-16</v>
      </c>
      <c r="Q292" s="11">
        <f t="shared" si="1310"/>
        <v>-17</v>
      </c>
      <c r="R292" s="11">
        <f t="shared" si="1310"/>
        <v>-18</v>
      </c>
      <c r="S292" s="11">
        <f t="shared" si="1310"/>
        <v>-19</v>
      </c>
      <c r="T292" s="11">
        <f t="shared" si="1310"/>
        <v>-20</v>
      </c>
      <c r="U292" s="11">
        <f t="shared" si="1310"/>
        <v>-21</v>
      </c>
      <c r="V292" s="11">
        <f t="shared" si="1310"/>
        <v>-22</v>
      </c>
      <c r="W292" s="11">
        <f t="shared" si="1310"/>
        <v>-23</v>
      </c>
      <c r="X292" s="11">
        <f t="shared" si="1310"/>
        <v>-24</v>
      </c>
      <c r="Y292" s="11">
        <f t="shared" si="1310"/>
        <v>-25</v>
      </c>
      <c r="Z292" s="11">
        <f t="shared" si="1310"/>
        <v>-26</v>
      </c>
      <c r="AA292" s="11">
        <f t="shared" si="1310"/>
        <v>-27</v>
      </c>
      <c r="AB292" s="11">
        <f t="shared" si="1310"/>
        <v>-28</v>
      </c>
      <c r="AC292" s="11">
        <f t="shared" si="1310"/>
        <v>-29</v>
      </c>
      <c r="AD292" s="11">
        <f t="shared" si="1310"/>
        <v>-30</v>
      </c>
      <c r="AE292" s="11">
        <f t="shared" si="1310"/>
        <v>-31</v>
      </c>
      <c r="AF292" s="11">
        <f t="shared" si="1310"/>
        <v>-32</v>
      </c>
      <c r="AG292" s="11">
        <f t="shared" si="1310"/>
        <v>-33</v>
      </c>
      <c r="AH292" s="11">
        <f t="shared" si="1310"/>
        <v>-34</v>
      </c>
      <c r="AI292" s="11">
        <f t="shared" si="1310"/>
        <v>-35</v>
      </c>
      <c r="AJ292" s="11">
        <f t="shared" si="1310"/>
        <v>-36</v>
      </c>
      <c r="AK292" s="11">
        <f t="shared" si="1310"/>
        <v>-37</v>
      </c>
      <c r="AL292" s="11">
        <f t="shared" si="1310"/>
        <v>-38</v>
      </c>
      <c r="AM292" s="11">
        <f t="shared" si="1310"/>
        <v>-39</v>
      </c>
      <c r="AN292" s="11">
        <f t="shared" si="1310"/>
        <v>-40</v>
      </c>
      <c r="AO292" s="11">
        <f t="shared" si="1310"/>
        <v>-41</v>
      </c>
      <c r="AP292" s="11">
        <f t="shared" si="1310"/>
        <v>-42</v>
      </c>
      <c r="AQ292" s="11">
        <f t="shared" si="1310"/>
        <v>-43</v>
      </c>
      <c r="AR292" s="11">
        <f t="shared" si="1310"/>
        <v>-44</v>
      </c>
      <c r="AS292" s="11">
        <f t="shared" si="1310"/>
        <v>-45</v>
      </c>
      <c r="AT292" s="11">
        <f t="shared" si="1310"/>
        <v>-46</v>
      </c>
      <c r="AU292" s="11">
        <f t="shared" si="1310"/>
        <v>-47</v>
      </c>
      <c r="AV292" s="11">
        <f t="shared" si="1310"/>
        <v>-48</v>
      </c>
      <c r="AW292" s="11">
        <f t="shared" si="1310"/>
        <v>-49</v>
      </c>
      <c r="AX292" s="11">
        <f t="shared" si="1310"/>
        <v>-50</v>
      </c>
      <c r="AY292" s="11">
        <f t="shared" si="1310"/>
        <v>-51</v>
      </c>
      <c r="AZ292" s="11">
        <f t="shared" si="1310"/>
        <v>-52</v>
      </c>
      <c r="BA292" s="11">
        <f t="shared" si="1310"/>
        <v>-53</v>
      </c>
      <c r="BB292" s="11">
        <f t="shared" si="1310"/>
        <v>-54</v>
      </c>
      <c r="BC292" s="11">
        <f t="shared" si="1310"/>
        <v>-55</v>
      </c>
      <c r="BD292" s="11">
        <f t="shared" si="1310"/>
        <v>-56</v>
      </c>
      <c r="BE292" s="11">
        <f t="shared" si="1310"/>
        <v>-57</v>
      </c>
      <c r="BF292" s="11">
        <f t="shared" si="1310"/>
        <v>-58</v>
      </c>
      <c r="BG292" s="11">
        <f t="shared" si="1310"/>
        <v>-59</v>
      </c>
      <c r="BH292" s="11">
        <f t="shared" si="1310"/>
        <v>-60</v>
      </c>
      <c r="BI292" s="11">
        <f t="shared" si="1310"/>
        <v>-61</v>
      </c>
      <c r="BJ292" s="11">
        <f t="shared" si="1310"/>
        <v>-62</v>
      </c>
      <c r="BK292" s="11">
        <f t="shared" si="1310"/>
        <v>-63</v>
      </c>
      <c r="BL292" s="11">
        <f t="shared" si="1310"/>
        <v>-64</v>
      </c>
      <c r="BM292" s="11">
        <f t="shared" si="1310"/>
        <v>-65</v>
      </c>
      <c r="BN292" s="11">
        <f t="shared" si="1310"/>
        <v>-66</v>
      </c>
      <c r="BO292" s="11">
        <f t="shared" si="1310"/>
        <v>-67</v>
      </c>
      <c r="BP292" s="11">
        <f t="shared" ref="BP292:CR292" si="1311">BO292-1</f>
        <v>-68</v>
      </c>
      <c r="BQ292" s="11">
        <f t="shared" si="1311"/>
        <v>-69</v>
      </c>
      <c r="BR292" s="11">
        <f t="shared" si="1311"/>
        <v>-70</v>
      </c>
      <c r="BS292" s="11">
        <f t="shared" si="1311"/>
        <v>-71</v>
      </c>
      <c r="BT292" s="11">
        <f t="shared" si="1311"/>
        <v>-72</v>
      </c>
      <c r="BU292" s="11">
        <f t="shared" si="1311"/>
        <v>-73</v>
      </c>
      <c r="BV292" s="11">
        <f t="shared" si="1311"/>
        <v>-74</v>
      </c>
      <c r="BW292" s="11">
        <f t="shared" si="1311"/>
        <v>-75</v>
      </c>
      <c r="BX292" s="11">
        <f t="shared" si="1311"/>
        <v>-76</v>
      </c>
      <c r="BY292" s="11">
        <f t="shared" si="1311"/>
        <v>-77</v>
      </c>
      <c r="BZ292" s="11">
        <f t="shared" si="1311"/>
        <v>-78</v>
      </c>
      <c r="CA292" s="11">
        <f t="shared" si="1311"/>
        <v>-79</v>
      </c>
      <c r="CB292" s="11">
        <f t="shared" si="1311"/>
        <v>-80</v>
      </c>
      <c r="CC292" s="11">
        <f t="shared" si="1311"/>
        <v>-81</v>
      </c>
      <c r="CD292" s="11">
        <f t="shared" si="1311"/>
        <v>-82</v>
      </c>
      <c r="CE292" s="11">
        <f t="shared" si="1311"/>
        <v>-83</v>
      </c>
      <c r="CF292" s="11">
        <f t="shared" si="1311"/>
        <v>-84</v>
      </c>
      <c r="CG292" s="11">
        <f t="shared" si="1311"/>
        <v>-85</v>
      </c>
      <c r="CH292" s="11">
        <f t="shared" si="1311"/>
        <v>-86</v>
      </c>
      <c r="CI292" s="11">
        <f t="shared" si="1311"/>
        <v>-87</v>
      </c>
      <c r="CJ292" s="11">
        <f t="shared" si="1311"/>
        <v>-88</v>
      </c>
      <c r="CK292" s="11">
        <f t="shared" si="1311"/>
        <v>-89</v>
      </c>
      <c r="CL292" s="11">
        <f t="shared" si="1311"/>
        <v>-90</v>
      </c>
      <c r="CM292" s="11">
        <f t="shared" si="1311"/>
        <v>-91</v>
      </c>
      <c r="CN292" s="11">
        <f t="shared" si="1311"/>
        <v>-92</v>
      </c>
      <c r="CO292" s="11">
        <f t="shared" si="1311"/>
        <v>-93</v>
      </c>
      <c r="CP292" s="11">
        <f t="shared" si="1311"/>
        <v>-94</v>
      </c>
      <c r="CQ292" s="11">
        <f t="shared" si="1311"/>
        <v>-95</v>
      </c>
      <c r="CR292" s="11">
        <f t="shared" si="1311"/>
        <v>-96</v>
      </c>
    </row>
    <row r="293" spans="1:96" s="9" customFormat="1" ht="16.5" thickTop="1" x14ac:dyDescent="0.4">
      <c r="A293" s="12"/>
      <c r="B293" s="13"/>
      <c r="C293" s="13"/>
      <c r="D293" s="13"/>
      <c r="E293" s="13"/>
      <c r="F293" s="14"/>
      <c r="G293" s="13"/>
      <c r="H293" s="13"/>
      <c r="I293" s="13"/>
      <c r="J293" s="13"/>
      <c r="K293" s="14"/>
      <c r="L293" s="13"/>
      <c r="M293" s="13"/>
      <c r="N293" s="13"/>
      <c r="O293" s="13"/>
      <c r="P293" s="14"/>
      <c r="Q293" s="13"/>
      <c r="R293" s="13"/>
      <c r="S293" s="13"/>
      <c r="T293" s="13"/>
      <c r="U293" s="14"/>
      <c r="V293" s="13"/>
      <c r="W293" s="13"/>
      <c r="X293" s="13"/>
      <c r="Y293" s="13"/>
      <c r="Z293" s="14"/>
      <c r="AA293" s="13"/>
      <c r="AB293" s="13"/>
      <c r="AC293" s="13"/>
      <c r="AD293" s="13"/>
      <c r="AE293" s="14"/>
      <c r="AF293" s="13"/>
      <c r="AG293" s="13"/>
      <c r="AH293" s="13"/>
      <c r="AI293" s="13"/>
      <c r="AJ293" s="14"/>
      <c r="AK293" s="13"/>
      <c r="AL293" s="13"/>
      <c r="AM293" s="13"/>
      <c r="AN293" s="13"/>
      <c r="AO293" s="14"/>
      <c r="AP293" s="13"/>
      <c r="AQ293" s="13"/>
      <c r="AR293" s="13"/>
      <c r="AS293" s="13"/>
      <c r="AT293" s="14"/>
      <c r="AU293" s="13"/>
      <c r="AV293" s="13"/>
      <c r="AW293" s="13"/>
      <c r="AX293" s="13"/>
      <c r="AY293" s="14"/>
      <c r="AZ293" s="13"/>
      <c r="BA293" s="13"/>
      <c r="BB293" s="13"/>
      <c r="BC293" s="13"/>
      <c r="BD293" s="14"/>
      <c r="BE293" s="13"/>
      <c r="BF293" s="13"/>
      <c r="BG293" s="13"/>
      <c r="BH293" s="13"/>
      <c r="BI293" s="14"/>
      <c r="BJ293" s="13"/>
      <c r="BK293" s="13"/>
      <c r="BL293" s="13"/>
      <c r="BM293" s="13"/>
      <c r="BN293" s="14"/>
      <c r="BO293" s="13"/>
      <c r="BP293" s="13"/>
      <c r="BQ293" s="13"/>
      <c r="BR293" s="13"/>
      <c r="BS293" s="14"/>
      <c r="BT293" s="13"/>
      <c r="BU293" s="13"/>
      <c r="BV293" s="13"/>
      <c r="BW293" s="13"/>
      <c r="BX293" s="14"/>
      <c r="BY293" s="13"/>
      <c r="BZ293" s="13"/>
      <c r="CA293" s="13"/>
      <c r="CB293" s="13"/>
      <c r="CC293" s="14"/>
      <c r="CD293" s="13"/>
      <c r="CE293" s="13"/>
      <c r="CF293" s="13"/>
      <c r="CG293" s="13"/>
      <c r="CH293" s="14"/>
      <c r="CI293" s="13"/>
      <c r="CJ293" s="13"/>
      <c r="CK293" s="13"/>
      <c r="CL293" s="13"/>
      <c r="CM293" s="14"/>
      <c r="CN293" s="13"/>
      <c r="CO293" s="13"/>
      <c r="CP293" s="13"/>
      <c r="CQ293" s="13"/>
      <c r="CR293" s="14"/>
    </row>
    <row r="294" spans="1:96" s="17" customFormat="1" ht="15" x14ac:dyDescent="0.4">
      <c r="A294" s="15" t="s">
        <v>79</v>
      </c>
      <c r="B294" s="50">
        <f t="shared" ref="B294:BM297" si="1312">IFERROR(B38/B$61*100,"")</f>
        <v>79.638828055060401</v>
      </c>
      <c r="C294" s="50">
        <f t="shared" si="1312"/>
        <v>78.63566640606011</v>
      </c>
      <c r="D294" s="50">
        <f t="shared" si="1312"/>
        <v>80.311752328948117</v>
      </c>
      <c r="E294" s="50">
        <f t="shared" si="1312"/>
        <v>80.198043228007293</v>
      </c>
      <c r="F294" s="50">
        <f t="shared" si="1312"/>
        <v>79.705317281126625</v>
      </c>
      <c r="G294" s="50">
        <f t="shared" si="1312"/>
        <v>78.375942835381025</v>
      </c>
      <c r="H294" s="50">
        <f t="shared" si="1312"/>
        <v>78.876717641252398</v>
      </c>
      <c r="I294" s="50">
        <f t="shared" si="1312"/>
        <v>81.399120498414817</v>
      </c>
      <c r="J294" s="50">
        <f t="shared" si="1312"/>
        <v>81.500785101283924</v>
      </c>
      <c r="K294" s="50">
        <f t="shared" si="1312"/>
        <v>80.074758494568982</v>
      </c>
      <c r="L294" s="50">
        <f t="shared" si="1312"/>
        <v>78.37344300165627</v>
      </c>
      <c r="M294" s="50">
        <f t="shared" si="1312"/>
        <v>77.159445441532782</v>
      </c>
      <c r="N294" s="50">
        <f t="shared" si="1312"/>
        <v>79.357086203085743</v>
      </c>
      <c r="O294" s="50">
        <f t="shared" si="1312"/>
        <v>81.755236600064777</v>
      </c>
      <c r="P294" s="50">
        <f t="shared" si="1312"/>
        <v>79.196040108821819</v>
      </c>
      <c r="Q294" s="50">
        <f t="shared" si="1312"/>
        <v>75.778542382673493</v>
      </c>
      <c r="R294" s="50" t="str">
        <f t="shared" si="1312"/>
        <v/>
      </c>
      <c r="S294" s="50">
        <f t="shared" si="1312"/>
        <v>78.745957084720814</v>
      </c>
      <c r="T294" s="50">
        <f t="shared" si="1312"/>
        <v>76.612417008024053</v>
      </c>
      <c r="U294" s="50" t="str">
        <f t="shared" si="1312"/>
        <v/>
      </c>
      <c r="V294" s="50">
        <f t="shared" si="1312"/>
        <v>72.199865741508475</v>
      </c>
      <c r="W294" s="50">
        <f t="shared" si="1312"/>
        <v>73.291867785680623</v>
      </c>
      <c r="X294" s="50">
        <f t="shared" si="1312"/>
        <v>77.560691127418906</v>
      </c>
      <c r="Y294" s="50">
        <f t="shared" si="1312"/>
        <v>78.295344007785346</v>
      </c>
      <c r="Z294" s="50">
        <f t="shared" si="1312"/>
        <v>75.378239008261431</v>
      </c>
      <c r="AA294" s="50">
        <f t="shared" si="1312"/>
        <v>74.39057697523937</v>
      </c>
      <c r="AB294" s="50">
        <f t="shared" si="1312"/>
        <v>75.075157270935264</v>
      </c>
      <c r="AC294" s="50">
        <f t="shared" si="1312"/>
        <v>76.965251566615621</v>
      </c>
      <c r="AD294" s="50">
        <f t="shared" si="1312"/>
        <v>76.434637907294558</v>
      </c>
      <c r="AE294" s="50">
        <f t="shared" si="1312"/>
        <v>75.752076468915661</v>
      </c>
      <c r="AF294" s="50">
        <f t="shared" si="1312"/>
        <v>73.29447921929976</v>
      </c>
      <c r="AG294" s="50">
        <f t="shared" si="1312"/>
        <v>74.815633243223658</v>
      </c>
      <c r="AH294" s="50">
        <f t="shared" si="1312"/>
        <v>76.900800187926365</v>
      </c>
      <c r="AI294" s="50">
        <f t="shared" si="1312"/>
        <v>79.818105282798285</v>
      </c>
      <c r="AJ294" s="50">
        <f t="shared" si="1312"/>
        <v>76.266281538077038</v>
      </c>
      <c r="AK294" s="50">
        <f t="shared" si="1312"/>
        <v>76.46510166127176</v>
      </c>
      <c r="AL294" s="50">
        <f t="shared" si="1312"/>
        <v>77.110490959420446</v>
      </c>
      <c r="AM294" s="50">
        <f t="shared" si="1312"/>
        <v>78.282716142278147</v>
      </c>
      <c r="AN294" s="50">
        <f t="shared" si="1312"/>
        <v>80.973577013034586</v>
      </c>
      <c r="AO294" s="50">
        <f t="shared" si="1312"/>
        <v>78.266641226942781</v>
      </c>
      <c r="AP294" s="50">
        <f t="shared" si="1312"/>
        <v>78.29021889954258</v>
      </c>
      <c r="AQ294" s="50">
        <f t="shared" si="1312"/>
        <v>77.807919071551083</v>
      </c>
      <c r="AR294" s="50">
        <f t="shared" si="1312"/>
        <v>77.714272414896286</v>
      </c>
      <c r="AS294" s="50">
        <f t="shared" si="1312"/>
        <v>78.314939792580461</v>
      </c>
      <c r="AT294" s="50">
        <f t="shared" si="1312"/>
        <v>78.031584908191846</v>
      </c>
      <c r="AU294" s="50">
        <f t="shared" si="1312"/>
        <v>76.33588742297502</v>
      </c>
      <c r="AV294" s="50">
        <f t="shared" si="1312"/>
        <v>77.184081171902804</v>
      </c>
      <c r="AW294" s="50">
        <f t="shared" si="1312"/>
        <v>78.372421002397033</v>
      </c>
      <c r="AX294" s="50">
        <f t="shared" si="1312"/>
        <v>79.671709543171602</v>
      </c>
      <c r="AY294" s="50">
        <f t="shared" si="1312"/>
        <v>77.92710060157421</v>
      </c>
      <c r="AZ294" s="50">
        <f t="shared" si="1312"/>
        <v>75.654773765165956</v>
      </c>
      <c r="BA294" s="50">
        <f t="shared" si="1312"/>
        <v>76.65887211431982</v>
      </c>
      <c r="BB294" s="50">
        <f t="shared" si="1312"/>
        <v>77.19539274393982</v>
      </c>
      <c r="BC294" s="50">
        <f t="shared" si="1312"/>
        <v>80.094598878809236</v>
      </c>
      <c r="BD294" s="50">
        <f t="shared" si="1312"/>
        <v>77.449570737092017</v>
      </c>
      <c r="BE294" s="50">
        <f t="shared" si="1312"/>
        <v>76.482253482547364</v>
      </c>
      <c r="BF294" s="50">
        <f t="shared" si="1312"/>
        <v>77.599462367064149</v>
      </c>
      <c r="BG294" s="50">
        <f t="shared" si="1312"/>
        <v>78.751515620352293</v>
      </c>
      <c r="BH294" s="50">
        <f t="shared" si="1312"/>
        <v>78.240301408044971</v>
      </c>
      <c r="BI294" s="50">
        <f t="shared" si="1312"/>
        <v>77.788716126586436</v>
      </c>
      <c r="BJ294" s="50">
        <f t="shared" si="1312"/>
        <v>78.196726530447705</v>
      </c>
      <c r="BK294" s="50">
        <f t="shared" si="1312"/>
        <v>78.257678142485361</v>
      </c>
      <c r="BL294" s="50">
        <f t="shared" si="1312"/>
        <v>78.085330020539729</v>
      </c>
      <c r="BM294" s="50">
        <f t="shared" si="1312"/>
        <v>78.748212496703886</v>
      </c>
      <c r="BN294" s="50">
        <f t="shared" ref="BN294:CR301" si="1313">IFERROR(BN38/BN$61*100,"")</f>
        <v>78.322309311218035</v>
      </c>
      <c r="BO294" s="50">
        <f t="shared" si="1313"/>
        <v>77.919143495956462</v>
      </c>
      <c r="BP294" s="50">
        <f t="shared" si="1313"/>
        <v>75.026561847312934</v>
      </c>
      <c r="BQ294" s="50">
        <f t="shared" si="1313"/>
        <v>75.224677021618845</v>
      </c>
      <c r="BR294" s="50">
        <f t="shared" si="1313"/>
        <v>76.219222421362659</v>
      </c>
      <c r="BS294" s="50">
        <f t="shared" si="1313"/>
        <v>76.078439779055273</v>
      </c>
      <c r="BT294" s="50">
        <f t="shared" si="1313"/>
        <v>78.056366798472169</v>
      </c>
      <c r="BU294" s="50">
        <f t="shared" si="1313"/>
        <v>75.012051686912457</v>
      </c>
      <c r="BV294" s="50">
        <f t="shared" si="1313"/>
        <v>75.107391807814807</v>
      </c>
      <c r="BW294" s="50">
        <f t="shared" si="1313"/>
        <v>74.108384551677148</v>
      </c>
      <c r="BX294" s="50">
        <f t="shared" si="1313"/>
        <v>75.518605812011998</v>
      </c>
      <c r="BY294" s="50">
        <f t="shared" si="1313"/>
        <v>76.119254445303326</v>
      </c>
      <c r="BZ294" s="50">
        <f t="shared" si="1313"/>
        <v>72.972131293594344</v>
      </c>
      <c r="CA294" s="50">
        <f t="shared" si="1313"/>
        <v>73.579852535544489</v>
      </c>
      <c r="CB294" s="50">
        <f t="shared" si="1313"/>
        <v>73.894930868607503</v>
      </c>
      <c r="CC294" s="50">
        <f t="shared" si="1313"/>
        <v>74.113442191268447</v>
      </c>
      <c r="CD294" s="50">
        <f t="shared" si="1313"/>
        <v>75.802453916000019</v>
      </c>
      <c r="CE294" s="50">
        <f t="shared" si="1313"/>
        <v>73.072067761244057</v>
      </c>
      <c r="CF294" s="50">
        <f t="shared" si="1313"/>
        <v>72.154116768489402</v>
      </c>
      <c r="CG294" s="50">
        <f t="shared" si="1313"/>
        <v>73.23664282523292</v>
      </c>
      <c r="CH294" s="50">
        <f t="shared" si="1313"/>
        <v>73.536501106450331</v>
      </c>
      <c r="CI294" s="50">
        <f t="shared" si="1313"/>
        <v>74.687752932358279</v>
      </c>
      <c r="CJ294" s="50">
        <f t="shared" si="1313"/>
        <v>73.013674976593407</v>
      </c>
      <c r="CK294" s="50">
        <f t="shared" si="1313"/>
        <v>71.960121905801088</v>
      </c>
      <c r="CL294" s="50">
        <f t="shared" si="1313"/>
        <v>72.332147300007662</v>
      </c>
      <c r="CM294" s="50">
        <f t="shared" si="1313"/>
        <v>72.975213377098157</v>
      </c>
      <c r="CN294" s="50" t="str">
        <f t="shared" si="1313"/>
        <v/>
      </c>
      <c r="CO294" s="50" t="str">
        <f t="shared" si="1313"/>
        <v/>
      </c>
      <c r="CP294" s="50" t="str">
        <f t="shared" si="1313"/>
        <v/>
      </c>
      <c r="CQ294" s="50" t="str">
        <f t="shared" si="1313"/>
        <v/>
      </c>
      <c r="CR294" s="50" t="str">
        <f t="shared" si="1313"/>
        <v/>
      </c>
    </row>
    <row r="295" spans="1:96" s="9" customFormat="1" ht="15" x14ac:dyDescent="0.4">
      <c r="A295" s="18" t="s">
        <v>80</v>
      </c>
      <c r="B295" s="19">
        <f t="shared" si="1312"/>
        <v>54.436097862767419</v>
      </c>
      <c r="C295" s="19">
        <f t="shared" si="1312"/>
        <v>53.653487537643663</v>
      </c>
      <c r="D295" s="19">
        <f t="shared" si="1312"/>
        <v>54.307486943292957</v>
      </c>
      <c r="E295" s="19">
        <f t="shared" si="1312"/>
        <v>53.477868439266352</v>
      </c>
      <c r="F295" s="20">
        <f t="shared" si="1312"/>
        <v>53.96070262153885</v>
      </c>
      <c r="G295" s="19">
        <f t="shared" si="1312"/>
        <v>52.903770156412143</v>
      </c>
      <c r="H295" s="19">
        <f t="shared" si="1312"/>
        <v>53.501695065299927</v>
      </c>
      <c r="I295" s="19">
        <f t="shared" si="1312"/>
        <v>55.004406934435323</v>
      </c>
      <c r="J295" s="19">
        <f t="shared" si="1312"/>
        <v>54.904825250990605</v>
      </c>
      <c r="K295" s="20">
        <f t="shared" si="1312"/>
        <v>54.101100439769844</v>
      </c>
      <c r="L295" s="19">
        <f t="shared" si="1312"/>
        <v>52.650652059487115</v>
      </c>
      <c r="M295" s="19">
        <f t="shared" si="1312"/>
        <v>52.388115127903234</v>
      </c>
      <c r="N295" s="19">
        <f t="shared" si="1312"/>
        <v>53.985669637096258</v>
      </c>
      <c r="O295" s="19">
        <f t="shared" si="1312"/>
        <v>55.457932523738386</v>
      </c>
      <c r="P295" s="20">
        <f t="shared" si="1312"/>
        <v>53.649600779072735</v>
      </c>
      <c r="Q295" s="19">
        <f t="shared" si="1312"/>
        <v>51.338465673542999</v>
      </c>
      <c r="R295" s="19" t="str">
        <f t="shared" si="1312"/>
        <v/>
      </c>
      <c r="S295" s="19">
        <f t="shared" si="1312"/>
        <v>54.030484720844996</v>
      </c>
      <c r="T295" s="19">
        <f t="shared" si="1312"/>
        <v>51.655536305209836</v>
      </c>
      <c r="U295" s="20" t="str">
        <f t="shared" si="1312"/>
        <v/>
      </c>
      <c r="V295" s="19">
        <f t="shared" si="1312"/>
        <v>48.853597130395983</v>
      </c>
      <c r="W295" s="19">
        <f t="shared" si="1312"/>
        <v>49.975133339732928</v>
      </c>
      <c r="X295" s="19">
        <f t="shared" si="1312"/>
        <v>52.559444133328256</v>
      </c>
      <c r="Y295" s="19">
        <f t="shared" si="1312"/>
        <v>52.382882331834359</v>
      </c>
      <c r="Z295" s="20">
        <f t="shared" si="1312"/>
        <v>50.967393504501423</v>
      </c>
      <c r="AA295" s="19">
        <f t="shared" si="1312"/>
        <v>50.170598133032449</v>
      </c>
      <c r="AB295" s="19">
        <f t="shared" si="1312"/>
        <v>51.198430447444366</v>
      </c>
      <c r="AC295" s="19">
        <f t="shared" si="1312"/>
        <v>52.39828094576302</v>
      </c>
      <c r="AD295" s="19">
        <f t="shared" si="1312"/>
        <v>51.676422151639457</v>
      </c>
      <c r="AE295" s="20">
        <f t="shared" si="1312"/>
        <v>51.384819222342223</v>
      </c>
      <c r="AF295" s="19">
        <f t="shared" si="1312"/>
        <v>49.937903959564565</v>
      </c>
      <c r="AG295" s="19">
        <f t="shared" si="1312"/>
        <v>51.235819927509084</v>
      </c>
      <c r="AH295" s="19">
        <f t="shared" si="1312"/>
        <v>52.495064003698211</v>
      </c>
      <c r="AI295" s="19">
        <f t="shared" si="1312"/>
        <v>54.387385494758632</v>
      </c>
      <c r="AJ295" s="20">
        <f t="shared" si="1312"/>
        <v>52.05357676636104</v>
      </c>
      <c r="AK295" s="19">
        <f t="shared" si="1312"/>
        <v>52.390378836227313</v>
      </c>
      <c r="AL295" s="19">
        <f t="shared" si="1312"/>
        <v>53.068992405656921</v>
      </c>
      <c r="AM295" s="19">
        <f t="shared" si="1312"/>
        <v>53.86718664061636</v>
      </c>
      <c r="AN295" s="19">
        <f t="shared" si="1312"/>
        <v>55.985022027609709</v>
      </c>
      <c r="AO295" s="20">
        <f t="shared" si="1312"/>
        <v>53.874084988696005</v>
      </c>
      <c r="AP295" s="19">
        <f t="shared" si="1312"/>
        <v>53.955338347542067</v>
      </c>
      <c r="AQ295" s="19">
        <f t="shared" si="1312"/>
        <v>53.916844835417685</v>
      </c>
      <c r="AR295" s="19">
        <f t="shared" si="1312"/>
        <v>53.734535492933148</v>
      </c>
      <c r="AS295" s="19">
        <f t="shared" si="1312"/>
        <v>53.819388388774613</v>
      </c>
      <c r="AT295" s="20">
        <f t="shared" si="1312"/>
        <v>53.854581869255071</v>
      </c>
      <c r="AU295" s="19">
        <f t="shared" si="1312"/>
        <v>52.316680867680709</v>
      </c>
      <c r="AV295" s="19">
        <f t="shared" si="1312"/>
        <v>53.10196088274818</v>
      </c>
      <c r="AW295" s="19">
        <f t="shared" si="1312"/>
        <v>54.385529170719963</v>
      </c>
      <c r="AX295" s="19">
        <f t="shared" si="1312"/>
        <v>55.718152811892644</v>
      </c>
      <c r="AY295" s="20">
        <f t="shared" si="1312"/>
        <v>53.917591370562171</v>
      </c>
      <c r="AZ295" s="19">
        <f t="shared" si="1312"/>
        <v>52.403630948708802</v>
      </c>
      <c r="BA295" s="19">
        <f t="shared" si="1312"/>
        <v>53.22889018599993</v>
      </c>
      <c r="BB295" s="19">
        <f t="shared" si="1312"/>
        <v>53.919770806253084</v>
      </c>
      <c r="BC295" s="19">
        <f t="shared" si="1312"/>
        <v>56.413123062358991</v>
      </c>
      <c r="BD295" s="20">
        <f t="shared" si="1312"/>
        <v>54.036243141561933</v>
      </c>
      <c r="BE295" s="19">
        <f t="shared" si="1312"/>
        <v>53.318629389438755</v>
      </c>
      <c r="BF295" s="19">
        <f t="shared" si="1312"/>
        <v>54.116842896796683</v>
      </c>
      <c r="BG295" s="19">
        <f t="shared" si="1312"/>
        <v>55.094987098293423</v>
      </c>
      <c r="BH295" s="19">
        <f t="shared" si="1312"/>
        <v>54.363878551841005</v>
      </c>
      <c r="BI295" s="20">
        <f t="shared" si="1312"/>
        <v>54.236957482877287</v>
      </c>
      <c r="BJ295" s="19">
        <f t="shared" si="1312"/>
        <v>54.924482062807336</v>
      </c>
      <c r="BK295" s="19">
        <f t="shared" si="1312"/>
        <v>55.85210999162409</v>
      </c>
      <c r="BL295" s="19">
        <f t="shared" si="1312"/>
        <v>55.768420268492733</v>
      </c>
      <c r="BM295" s="19">
        <f t="shared" si="1312"/>
        <v>55.868088281873099</v>
      </c>
      <c r="BN295" s="20">
        <f t="shared" si="1313"/>
        <v>55.602338954745875</v>
      </c>
      <c r="BO295" s="19">
        <f t="shared" si="1313"/>
        <v>55.679071684955538</v>
      </c>
      <c r="BP295" s="19">
        <f t="shared" si="1313"/>
        <v>52.828743055062269</v>
      </c>
      <c r="BQ295" s="19">
        <f t="shared" si="1313"/>
        <v>52.829874082172459</v>
      </c>
      <c r="BR295" s="19">
        <f t="shared" si="1313"/>
        <v>54.250000029011993</v>
      </c>
      <c r="BS295" s="20">
        <f t="shared" si="1313"/>
        <v>53.88020473999601</v>
      </c>
      <c r="BT295" s="19">
        <f t="shared" si="1313"/>
        <v>55.755597733719952</v>
      </c>
      <c r="BU295" s="19">
        <f t="shared" si="1313"/>
        <v>53.133721202361031</v>
      </c>
      <c r="BV295" s="19">
        <f t="shared" si="1313"/>
        <v>52.832811342303998</v>
      </c>
      <c r="BW295" s="19">
        <f t="shared" si="1313"/>
        <v>52.321017169287678</v>
      </c>
      <c r="BX295" s="20">
        <f t="shared" si="1313"/>
        <v>53.464274348524889</v>
      </c>
      <c r="BY295" s="19">
        <f t="shared" si="1313"/>
        <v>53.850237160986026</v>
      </c>
      <c r="BZ295" s="19">
        <f t="shared" si="1313"/>
        <v>51.728909793769226</v>
      </c>
      <c r="CA295" s="19">
        <f t="shared" si="1313"/>
        <v>51.967125947547665</v>
      </c>
      <c r="CB295" s="19">
        <f t="shared" si="1313"/>
        <v>52.376686600188627</v>
      </c>
      <c r="CC295" s="20">
        <f t="shared" si="1313"/>
        <v>52.461643018245674</v>
      </c>
      <c r="CD295" s="19">
        <f t="shared" si="1313"/>
        <v>53.820565502128282</v>
      </c>
      <c r="CE295" s="19">
        <f t="shared" si="1313"/>
        <v>51.901854481442186</v>
      </c>
      <c r="CF295" s="19">
        <f t="shared" si="1313"/>
        <v>51.199690809004018</v>
      </c>
      <c r="CG295" s="19">
        <f t="shared" si="1313"/>
        <v>52.239689114414375</v>
      </c>
      <c r="CH295" s="20">
        <f t="shared" si="1313"/>
        <v>52.271100127655515</v>
      </c>
      <c r="CI295" s="19">
        <f t="shared" si="1313"/>
        <v>53.468117452992949</v>
      </c>
      <c r="CJ295" s="19">
        <f t="shared" si="1313"/>
        <v>52.05284278625647</v>
      </c>
      <c r="CK295" s="19">
        <f t="shared" si="1313"/>
        <v>51.309118541835893</v>
      </c>
      <c r="CL295" s="19">
        <f t="shared" si="1313"/>
        <v>51.81051117417568</v>
      </c>
      <c r="CM295" s="20">
        <f t="shared" si="1313"/>
        <v>52.144010510097473</v>
      </c>
      <c r="CN295" s="19" t="str">
        <f t="shared" si="1313"/>
        <v/>
      </c>
      <c r="CO295" s="19" t="str">
        <f t="shared" si="1313"/>
        <v/>
      </c>
      <c r="CP295" s="19" t="str">
        <f t="shared" si="1313"/>
        <v/>
      </c>
      <c r="CQ295" s="19" t="str">
        <f t="shared" si="1313"/>
        <v/>
      </c>
      <c r="CR295" s="20" t="str">
        <f t="shared" si="1313"/>
        <v/>
      </c>
    </row>
    <row r="296" spans="1:96" s="9" customFormat="1" ht="15" x14ac:dyDescent="0.4">
      <c r="A296" s="18" t="s">
        <v>81</v>
      </c>
      <c r="B296" s="19">
        <f t="shared" si="1312"/>
        <v>2.0533293161913484</v>
      </c>
      <c r="C296" s="19">
        <f t="shared" si="1312"/>
        <v>2.1709510583831926</v>
      </c>
      <c r="D296" s="19">
        <f t="shared" si="1312"/>
        <v>2.4118304730802413</v>
      </c>
      <c r="E296" s="19">
        <f t="shared" si="1312"/>
        <v>2.7674272682360539</v>
      </c>
      <c r="F296" s="20">
        <f t="shared" si="1312"/>
        <v>2.3584036218146935</v>
      </c>
      <c r="G296" s="19">
        <f t="shared" si="1312"/>
        <v>2.98099971205782</v>
      </c>
      <c r="H296" s="19">
        <f t="shared" si="1312"/>
        <v>3.2964665477690795</v>
      </c>
      <c r="I296" s="19">
        <f t="shared" si="1312"/>
        <v>3.6785873448138053</v>
      </c>
      <c r="J296" s="19">
        <f t="shared" si="1312"/>
        <v>3.9446787138226704</v>
      </c>
      <c r="K296" s="20">
        <f t="shared" si="1312"/>
        <v>3.4854818007783428</v>
      </c>
      <c r="L296" s="19">
        <f t="shared" si="1312"/>
        <v>3.5071389006896152</v>
      </c>
      <c r="M296" s="19">
        <f t="shared" si="1312"/>
        <v>3.2893259037865255</v>
      </c>
      <c r="N296" s="19">
        <f t="shared" si="1312"/>
        <v>3.2622843518179927</v>
      </c>
      <c r="O296" s="19">
        <f t="shared" si="1312"/>
        <v>3.3667375736056209</v>
      </c>
      <c r="P296" s="20">
        <f t="shared" si="1312"/>
        <v>3.3548166646763793</v>
      </c>
      <c r="Q296" s="19">
        <f t="shared" si="1312"/>
        <v>3.0964464952684607</v>
      </c>
      <c r="R296" s="19" t="str">
        <f t="shared" si="1312"/>
        <v/>
      </c>
      <c r="S296" s="19">
        <f t="shared" si="1312"/>
        <v>3.2462936476934323</v>
      </c>
      <c r="T296" s="19">
        <f t="shared" si="1312"/>
        <v>3.4030359697052668</v>
      </c>
      <c r="U296" s="20" t="str">
        <f t="shared" si="1312"/>
        <v/>
      </c>
      <c r="V296" s="19">
        <f t="shared" si="1312"/>
        <v>3.0548355552141726</v>
      </c>
      <c r="W296" s="19">
        <f t="shared" si="1312"/>
        <v>3.1177444861122194</v>
      </c>
      <c r="X296" s="19">
        <f t="shared" si="1312"/>
        <v>3.3821267894221032</v>
      </c>
      <c r="Y296" s="19">
        <f t="shared" si="1312"/>
        <v>3.6326894464024262</v>
      </c>
      <c r="Z296" s="20">
        <f t="shared" si="1312"/>
        <v>3.3005249547939028</v>
      </c>
      <c r="AA296" s="19">
        <f t="shared" si="1312"/>
        <v>3.2281060373394594</v>
      </c>
      <c r="AB296" s="19">
        <f t="shared" si="1312"/>
        <v>3.220189538133325</v>
      </c>
      <c r="AC296" s="19">
        <f t="shared" si="1312"/>
        <v>3.2643807235561431</v>
      </c>
      <c r="AD296" s="19">
        <f t="shared" si="1312"/>
        <v>3.33746963611926</v>
      </c>
      <c r="AE296" s="20">
        <f t="shared" si="1312"/>
        <v>3.2644609224540053</v>
      </c>
      <c r="AF296" s="19">
        <f t="shared" si="1312"/>
        <v>3.0417737224552628</v>
      </c>
      <c r="AG296" s="19">
        <f t="shared" si="1312"/>
        <v>3.1481852356234277</v>
      </c>
      <c r="AH296" s="19">
        <f t="shared" si="1312"/>
        <v>3.2601618601601072</v>
      </c>
      <c r="AI296" s="19">
        <f t="shared" si="1312"/>
        <v>3.4711311477946434</v>
      </c>
      <c r="AJ296" s="20">
        <f t="shared" si="1312"/>
        <v>3.234131223639559</v>
      </c>
      <c r="AK296" s="19">
        <f t="shared" si="1312"/>
        <v>3.0610892378593824</v>
      </c>
      <c r="AL296" s="19">
        <f t="shared" si="1312"/>
        <v>3.1467902490268482</v>
      </c>
      <c r="AM296" s="19">
        <f t="shared" si="1312"/>
        <v>3.2623348103809153</v>
      </c>
      <c r="AN296" s="19">
        <f t="shared" si="1312"/>
        <v>3.4409339647277499</v>
      </c>
      <c r="AO296" s="20">
        <f t="shared" si="1312"/>
        <v>3.2327566488413528</v>
      </c>
      <c r="AP296" s="19">
        <f t="shared" si="1312"/>
        <v>3.2159399055252123</v>
      </c>
      <c r="AQ296" s="19">
        <f t="shared" si="1312"/>
        <v>3.1733904755290516</v>
      </c>
      <c r="AR296" s="19">
        <f t="shared" si="1312"/>
        <v>3.2239213284902966</v>
      </c>
      <c r="AS296" s="19">
        <f t="shared" si="1312"/>
        <v>3.3791281676159626</v>
      </c>
      <c r="AT296" s="20">
        <f t="shared" si="1312"/>
        <v>3.2499252339086682</v>
      </c>
      <c r="AU296" s="19">
        <f t="shared" si="1312"/>
        <v>3.1328206030931138</v>
      </c>
      <c r="AV296" s="19">
        <f t="shared" si="1312"/>
        <v>3.1395141383990457</v>
      </c>
      <c r="AW296" s="19">
        <f t="shared" si="1312"/>
        <v>3.1516691863564414</v>
      </c>
      <c r="AX296" s="19">
        <f t="shared" si="1312"/>
        <v>3.249962487382565</v>
      </c>
      <c r="AY296" s="20">
        <f t="shared" si="1312"/>
        <v>3.1696764549433052</v>
      </c>
      <c r="AZ296" s="19">
        <f t="shared" si="1312"/>
        <v>3.1322569054296387</v>
      </c>
      <c r="BA296" s="19">
        <f t="shared" si="1312"/>
        <v>3.1583144643758443</v>
      </c>
      <c r="BB296" s="19">
        <f t="shared" si="1312"/>
        <v>3.1158431697457378</v>
      </c>
      <c r="BC296" s="19">
        <f t="shared" si="1312"/>
        <v>3.2737255049679059</v>
      </c>
      <c r="BD296" s="20">
        <f t="shared" si="1312"/>
        <v>3.171295847006645</v>
      </c>
      <c r="BE296" s="19">
        <f t="shared" si="1312"/>
        <v>3.1107207988001706</v>
      </c>
      <c r="BF296" s="19">
        <f t="shared" si="1312"/>
        <v>3.2450813733347892</v>
      </c>
      <c r="BG296" s="19">
        <f t="shared" si="1312"/>
        <v>3.1686447249919003</v>
      </c>
      <c r="BH296" s="19">
        <f t="shared" si="1312"/>
        <v>3.2996857494527965</v>
      </c>
      <c r="BI296" s="20">
        <f t="shared" si="1312"/>
        <v>3.2074993633037563</v>
      </c>
      <c r="BJ296" s="19">
        <f t="shared" si="1312"/>
        <v>3.0807159184522153</v>
      </c>
      <c r="BK296" s="19">
        <f t="shared" si="1312"/>
        <v>2.5825492370938434</v>
      </c>
      <c r="BL296" s="19">
        <f t="shared" si="1312"/>
        <v>2.3299349940327354</v>
      </c>
      <c r="BM296" s="19">
        <f t="shared" si="1312"/>
        <v>2.3517142994292812</v>
      </c>
      <c r="BN296" s="20">
        <f t="shared" si="1313"/>
        <v>2.5863658777210681</v>
      </c>
      <c r="BO296" s="19">
        <f t="shared" si="1313"/>
        <v>2.2090066744931849</v>
      </c>
      <c r="BP296" s="19">
        <f t="shared" si="1313"/>
        <v>2.3016519315968096</v>
      </c>
      <c r="BQ296" s="19">
        <f t="shared" si="1313"/>
        <v>2.2376623848272397</v>
      </c>
      <c r="BR296" s="19">
        <f t="shared" si="1313"/>
        <v>2.2365006321337004</v>
      </c>
      <c r="BS296" s="20">
        <f t="shared" si="1313"/>
        <v>2.2465334851227854</v>
      </c>
      <c r="BT296" s="19">
        <f t="shared" si="1313"/>
        <v>2.1423359548801644</v>
      </c>
      <c r="BU296" s="19">
        <f t="shared" si="1313"/>
        <v>2.2122539980873306</v>
      </c>
      <c r="BV296" s="19">
        <f t="shared" si="1313"/>
        <v>2.2033880229821325</v>
      </c>
      <c r="BW296" s="19">
        <f t="shared" si="1313"/>
        <v>2.2013433191629539</v>
      </c>
      <c r="BX296" s="20">
        <f t="shared" si="1313"/>
        <v>2.1906621139752662</v>
      </c>
      <c r="BY296" s="19">
        <f t="shared" si="1313"/>
        <v>2.2121518326870206</v>
      </c>
      <c r="BZ296" s="19">
        <f t="shared" si="1313"/>
        <v>2.121503012724915</v>
      </c>
      <c r="CA296" s="19">
        <f t="shared" si="1313"/>
        <v>2.128308891025624</v>
      </c>
      <c r="CB296" s="19">
        <f t="shared" si="1313"/>
        <v>2.1511364225942691</v>
      </c>
      <c r="CC296" s="20">
        <f t="shared" si="1313"/>
        <v>2.1524659212134925</v>
      </c>
      <c r="CD296" s="19">
        <f t="shared" si="1313"/>
        <v>2.2101972958457896</v>
      </c>
      <c r="CE296" s="19">
        <f t="shared" si="1313"/>
        <v>2.1279529279102198</v>
      </c>
      <c r="CF296" s="19">
        <f t="shared" si="1313"/>
        <v>2.0891540445375174</v>
      </c>
      <c r="CG296" s="19">
        <f t="shared" si="1313"/>
        <v>2.1386314458594189</v>
      </c>
      <c r="CH296" s="20">
        <f t="shared" si="1313"/>
        <v>2.1405983960823991</v>
      </c>
      <c r="CI296" s="19">
        <f t="shared" si="1313"/>
        <v>2.1714184465292679</v>
      </c>
      <c r="CJ296" s="19">
        <f t="shared" si="1313"/>
        <v>2.1199719460016917</v>
      </c>
      <c r="CK296" s="19">
        <f t="shared" si="1313"/>
        <v>2.0647630991769952</v>
      </c>
      <c r="CL296" s="19">
        <f t="shared" si="1313"/>
        <v>2.1419562175657512</v>
      </c>
      <c r="CM296" s="20">
        <f t="shared" si="1313"/>
        <v>2.1241968555870736</v>
      </c>
      <c r="CN296" s="19" t="str">
        <f t="shared" si="1313"/>
        <v/>
      </c>
      <c r="CO296" s="19" t="str">
        <f t="shared" si="1313"/>
        <v/>
      </c>
      <c r="CP296" s="19" t="str">
        <f t="shared" si="1313"/>
        <v/>
      </c>
      <c r="CQ296" s="19" t="str">
        <f t="shared" si="1313"/>
        <v/>
      </c>
      <c r="CR296" s="20" t="str">
        <f t="shared" si="1313"/>
        <v/>
      </c>
    </row>
    <row r="297" spans="1:96" s="9" customFormat="1" ht="15" x14ac:dyDescent="0.4">
      <c r="A297" s="18" t="s">
        <v>82</v>
      </c>
      <c r="B297" s="19">
        <f t="shared" si="1312"/>
        <v>6.2744569714090979</v>
      </c>
      <c r="C297" s="19">
        <f t="shared" si="1312"/>
        <v>6.4433370245219974</v>
      </c>
      <c r="D297" s="19">
        <f t="shared" si="1312"/>
        <v>6.672752612970438</v>
      </c>
      <c r="E297" s="19">
        <f t="shared" si="1312"/>
        <v>6.9567578933819565</v>
      </c>
      <c r="F297" s="20">
        <f t="shared" si="1312"/>
        <v>6.593921348224578</v>
      </c>
      <c r="G297" s="19">
        <f t="shared" si="1312"/>
        <v>6.335633248867663</v>
      </c>
      <c r="H297" s="19">
        <f t="shared" si="1312"/>
        <v>6.3145692648609293</v>
      </c>
      <c r="I297" s="19">
        <f t="shared" si="1312"/>
        <v>6.4832985260473475</v>
      </c>
      <c r="J297" s="19">
        <f t="shared" si="1312"/>
        <v>6.1940451806838794</v>
      </c>
      <c r="K297" s="20">
        <f t="shared" si="1312"/>
        <v>6.3305647838097459</v>
      </c>
      <c r="L297" s="19">
        <f t="shared" si="1312"/>
        <v>5.9098333457425412</v>
      </c>
      <c r="M297" s="19">
        <f t="shared" si="1312"/>
        <v>5.6768279840871116</v>
      </c>
      <c r="N297" s="19">
        <f t="shared" si="1312"/>
        <v>5.8771925041926529</v>
      </c>
      <c r="O297" s="19">
        <f t="shared" si="1312"/>
        <v>6.1204267177431344</v>
      </c>
      <c r="P297" s="20">
        <f t="shared" si="1312"/>
        <v>5.8982424383804197</v>
      </c>
      <c r="Q297" s="19">
        <f t="shared" si="1312"/>
        <v>5.5745913536436831</v>
      </c>
      <c r="R297" s="19" t="str">
        <f t="shared" si="1312"/>
        <v/>
      </c>
      <c r="S297" s="19">
        <f t="shared" si="1312"/>
        <v>5.8232777144492429</v>
      </c>
      <c r="T297" s="19">
        <f t="shared" si="1312"/>
        <v>5.9866603080722731</v>
      </c>
      <c r="U297" s="20" t="str">
        <f t="shared" si="1312"/>
        <v/>
      </c>
      <c r="V297" s="19">
        <f t="shared" si="1312"/>
        <v>5.5130215816299835</v>
      </c>
      <c r="W297" s="19">
        <f t="shared" si="1312"/>
        <v>5.3907501778095934</v>
      </c>
      <c r="X297" s="19">
        <f t="shared" si="1312"/>
        <v>5.6935923690522694</v>
      </c>
      <c r="Y297" s="19">
        <f t="shared" si="1312"/>
        <v>5.958281404420017</v>
      </c>
      <c r="Z297" s="20">
        <f t="shared" si="1312"/>
        <v>5.6416828042561544</v>
      </c>
      <c r="AA297" s="19">
        <f t="shared" si="1312"/>
        <v>5.6639664239409404</v>
      </c>
      <c r="AB297" s="19">
        <f t="shared" si="1312"/>
        <v>5.685092403650378</v>
      </c>
      <c r="AC297" s="19">
        <f t="shared" si="1312"/>
        <v>5.736961089818565</v>
      </c>
      <c r="AD297" s="19">
        <f t="shared" si="1312"/>
        <v>5.6994350608375379</v>
      </c>
      <c r="AE297" s="20">
        <f t="shared" si="1312"/>
        <v>5.6969979392058425</v>
      </c>
      <c r="AF297" s="19">
        <f t="shared" si="1312"/>
        <v>5.3456396431393332</v>
      </c>
      <c r="AG297" s="19">
        <f t="shared" si="1312"/>
        <v>5.4802082561142758</v>
      </c>
      <c r="AH297" s="19">
        <f t="shared" si="1312"/>
        <v>5.7089286282038447</v>
      </c>
      <c r="AI297" s="19">
        <f t="shared" si="1312"/>
        <v>5.9232745614908326</v>
      </c>
      <c r="AJ297" s="20">
        <f t="shared" si="1312"/>
        <v>5.6198410627028119</v>
      </c>
      <c r="AK297" s="19">
        <f t="shared" si="1312"/>
        <v>5.6176275352953544</v>
      </c>
      <c r="AL297" s="19">
        <f t="shared" si="1312"/>
        <v>5.6696419643564404</v>
      </c>
      <c r="AM297" s="19">
        <f t="shared" si="1312"/>
        <v>5.6758735592124285</v>
      </c>
      <c r="AN297" s="19">
        <f t="shared" si="1312"/>
        <v>5.7810624946156741</v>
      </c>
      <c r="AO297" s="20">
        <f t="shared" si="1312"/>
        <v>5.6880352548946203</v>
      </c>
      <c r="AP297" s="19">
        <f t="shared" si="1312"/>
        <v>5.6360151079265002</v>
      </c>
      <c r="AQ297" s="19">
        <f t="shared" si="1312"/>
        <v>5.5441547980841781</v>
      </c>
      <c r="AR297" s="19">
        <f t="shared" si="1312"/>
        <v>5.5355614512571396</v>
      </c>
      <c r="AS297" s="19">
        <f t="shared" si="1312"/>
        <v>5.6490481319336938</v>
      </c>
      <c r="AT297" s="20">
        <f t="shared" si="1312"/>
        <v>5.591259371314715</v>
      </c>
      <c r="AU297" s="19">
        <f t="shared" si="1312"/>
        <v>5.4755805677948706</v>
      </c>
      <c r="AV297" s="19">
        <f t="shared" si="1312"/>
        <v>5.4313302354548991</v>
      </c>
      <c r="AW297" s="19">
        <f t="shared" si="1312"/>
        <v>5.3963088331242677</v>
      </c>
      <c r="AX297" s="19">
        <f t="shared" si="1312"/>
        <v>5.4096203880794889</v>
      </c>
      <c r="AY297" s="20">
        <f t="shared" si="1312"/>
        <v>5.4274681834324898</v>
      </c>
      <c r="AZ297" s="19">
        <f t="shared" si="1312"/>
        <v>5.1693131340511913</v>
      </c>
      <c r="BA297" s="19">
        <f t="shared" si="1312"/>
        <v>5.1662374233306609</v>
      </c>
      <c r="BB297" s="19">
        <f t="shared" si="1312"/>
        <v>5.0532044806355234</v>
      </c>
      <c r="BC297" s="19">
        <f t="shared" si="1312"/>
        <v>5.1260145625659028</v>
      </c>
      <c r="BD297" s="20">
        <f t="shared" si="1312"/>
        <v>5.1277036742037501</v>
      </c>
      <c r="BE297" s="19">
        <f t="shared" si="1312"/>
        <v>5.0075327402898671</v>
      </c>
      <c r="BF297" s="19">
        <f t="shared" si="1312"/>
        <v>5.0372366652723546</v>
      </c>
      <c r="BG297" s="19">
        <f t="shared" si="1312"/>
        <v>5.0249759644510696</v>
      </c>
      <c r="BH297" s="19">
        <f t="shared" si="1312"/>
        <v>5.0437106098467943</v>
      </c>
      <c r="BI297" s="20">
        <f t="shared" si="1312"/>
        <v>5.0286594164477458</v>
      </c>
      <c r="BJ297" s="19">
        <f t="shared" si="1312"/>
        <v>5.0189878751231216</v>
      </c>
      <c r="BK297" s="19">
        <f t="shared" si="1312"/>
        <v>5.0040541845807116</v>
      </c>
      <c r="BL297" s="19">
        <f t="shared" si="1312"/>
        <v>4.9022140993472823</v>
      </c>
      <c r="BM297" s="19">
        <f t="shared" ref="BM297" si="1314">IFERROR(BM41/BM$61*100,"")</f>
        <v>5.159576787134152</v>
      </c>
      <c r="BN297" s="20">
        <f t="shared" si="1313"/>
        <v>5.0213198825436995</v>
      </c>
      <c r="BO297" s="19">
        <f t="shared" si="1313"/>
        <v>5.1914267879326976</v>
      </c>
      <c r="BP297" s="19">
        <f t="shared" si="1313"/>
        <v>5.0163588447168186</v>
      </c>
      <c r="BQ297" s="19">
        <f t="shared" si="1313"/>
        <v>5.0003709920251511</v>
      </c>
      <c r="BR297" s="19">
        <f t="shared" si="1313"/>
        <v>4.8901572006813758</v>
      </c>
      <c r="BS297" s="20">
        <f t="shared" si="1313"/>
        <v>5.0216956930393097</v>
      </c>
      <c r="BT297" s="19">
        <f t="shared" si="1313"/>
        <v>4.9271798580639059</v>
      </c>
      <c r="BU297" s="19">
        <f t="shared" si="1313"/>
        <v>4.8128971960980014</v>
      </c>
      <c r="BV297" s="19">
        <f t="shared" si="1313"/>
        <v>4.9698411513996792</v>
      </c>
      <c r="BW297" s="19">
        <f t="shared" si="1313"/>
        <v>4.894080048438493</v>
      </c>
      <c r="BX297" s="20">
        <f t="shared" si="1313"/>
        <v>4.9007089848151928</v>
      </c>
      <c r="BY297" s="19">
        <f t="shared" si="1313"/>
        <v>4.9549648096717585</v>
      </c>
      <c r="BZ297" s="19">
        <f t="shared" si="1313"/>
        <v>4.7040647525980779</v>
      </c>
      <c r="CA297" s="19">
        <f t="shared" si="1313"/>
        <v>4.7810692506340846</v>
      </c>
      <c r="CB297" s="19">
        <f t="shared" si="1313"/>
        <v>4.7771187779770381</v>
      </c>
      <c r="CC297" s="20">
        <f t="shared" si="1313"/>
        <v>4.8021162485756701</v>
      </c>
      <c r="CD297" s="19">
        <f t="shared" si="1313"/>
        <v>4.8485949401499537</v>
      </c>
      <c r="CE297" s="19">
        <f t="shared" si="1313"/>
        <v>4.6187286594217287</v>
      </c>
      <c r="CF297" s="19">
        <f t="shared" si="1313"/>
        <v>4.5525594753760421</v>
      </c>
      <c r="CG297" s="19">
        <f t="shared" si="1313"/>
        <v>4.5493866862735306</v>
      </c>
      <c r="CH297" s="20">
        <f t="shared" si="1313"/>
        <v>4.6391756766192103</v>
      </c>
      <c r="CI297" s="19">
        <f t="shared" si="1313"/>
        <v>4.5579281536845064</v>
      </c>
      <c r="CJ297" s="19">
        <f t="shared" si="1313"/>
        <v>4.4658255252246146</v>
      </c>
      <c r="CK297" s="19">
        <f t="shared" si="1313"/>
        <v>4.4618960945648389</v>
      </c>
      <c r="CL297" s="19">
        <f t="shared" si="1313"/>
        <v>4.4063432530594309</v>
      </c>
      <c r="CM297" s="20">
        <f t="shared" si="1313"/>
        <v>4.4715916973026726</v>
      </c>
      <c r="CN297" s="19" t="str">
        <f t="shared" si="1313"/>
        <v/>
      </c>
      <c r="CO297" s="19" t="str">
        <f t="shared" si="1313"/>
        <v/>
      </c>
      <c r="CP297" s="19" t="str">
        <f t="shared" si="1313"/>
        <v/>
      </c>
      <c r="CQ297" s="19" t="str">
        <f t="shared" si="1313"/>
        <v/>
      </c>
      <c r="CR297" s="20" t="str">
        <f t="shared" si="1313"/>
        <v/>
      </c>
    </row>
    <row r="298" spans="1:96" s="9" customFormat="1" ht="15" x14ac:dyDescent="0.4">
      <c r="A298" s="18" t="s">
        <v>83</v>
      </c>
      <c r="B298" s="19">
        <f t="shared" ref="B298:BM301" si="1315">IFERROR(B42/B$61*100,"")</f>
        <v>5.5806896971205981</v>
      </c>
      <c r="C298" s="19">
        <f t="shared" si="1315"/>
        <v>5.6714843996386728</v>
      </c>
      <c r="D298" s="19">
        <f t="shared" si="1315"/>
        <v>6.0933389103682547</v>
      </c>
      <c r="E298" s="19">
        <f t="shared" si="1315"/>
        <v>5.9115669028988673</v>
      </c>
      <c r="F298" s="20">
        <f t="shared" si="1315"/>
        <v>5.8180405044021128</v>
      </c>
      <c r="G298" s="19">
        <f t="shared" si="1315"/>
        <v>5.4204107489478233</v>
      </c>
      <c r="H298" s="19">
        <f t="shared" si="1315"/>
        <v>5.550788508831948</v>
      </c>
      <c r="I298" s="19">
        <f t="shared" si="1315"/>
        <v>5.8367403495874468</v>
      </c>
      <c r="J298" s="19">
        <f t="shared" si="1315"/>
        <v>5.7360660059582163</v>
      </c>
      <c r="K298" s="20">
        <f t="shared" si="1315"/>
        <v>5.6394829447678818</v>
      </c>
      <c r="L298" s="19">
        <f t="shared" si="1315"/>
        <v>5.5328134555630459</v>
      </c>
      <c r="M298" s="19">
        <f t="shared" si="1315"/>
        <v>5.160061265670512</v>
      </c>
      <c r="N298" s="19">
        <f t="shared" si="1315"/>
        <v>5.3673977284974095</v>
      </c>
      <c r="O298" s="19">
        <f t="shared" si="1315"/>
        <v>5.4810628981483287</v>
      </c>
      <c r="P298" s="20">
        <f t="shared" si="1315"/>
        <v>5.3850671478618226</v>
      </c>
      <c r="Q298" s="19">
        <f t="shared" si="1315"/>
        <v>5.1782651052874042</v>
      </c>
      <c r="R298" s="19" t="str">
        <f t="shared" si="1315"/>
        <v/>
      </c>
      <c r="S298" s="19">
        <f t="shared" si="1315"/>
        <v>5.5796840463679453</v>
      </c>
      <c r="T298" s="19">
        <f t="shared" si="1315"/>
        <v>5.2541092948641639</v>
      </c>
      <c r="U298" s="20" t="str">
        <f t="shared" si="1315"/>
        <v/>
      </c>
      <c r="V298" s="19">
        <f t="shared" si="1315"/>
        <v>4.9308532204049325</v>
      </c>
      <c r="W298" s="19">
        <f t="shared" si="1315"/>
        <v>5.1965555707165327</v>
      </c>
      <c r="X298" s="19">
        <f t="shared" si="1315"/>
        <v>5.5971367469140985</v>
      </c>
      <c r="Y298" s="19">
        <f t="shared" si="1315"/>
        <v>5.6075491457022508</v>
      </c>
      <c r="Z298" s="20">
        <f t="shared" si="1315"/>
        <v>5.3376743458336939</v>
      </c>
      <c r="AA298" s="19">
        <f t="shared" si="1315"/>
        <v>5.2296541442652877</v>
      </c>
      <c r="AB298" s="19">
        <f t="shared" si="1315"/>
        <v>5.2435835586380968</v>
      </c>
      <c r="AC298" s="19">
        <f t="shared" si="1315"/>
        <v>5.4338760545853679</v>
      </c>
      <c r="AD298" s="19">
        <f t="shared" si="1315"/>
        <v>5.3193964559928872</v>
      </c>
      <c r="AE298" s="20">
        <f t="shared" si="1315"/>
        <v>5.3085266081531213</v>
      </c>
      <c r="AF298" s="19">
        <f t="shared" si="1315"/>
        <v>5.2252770098192167</v>
      </c>
      <c r="AG298" s="19">
        <f t="shared" si="1315"/>
        <v>5.2721693168828647</v>
      </c>
      <c r="AH298" s="19">
        <f t="shared" si="1315"/>
        <v>5.3608814088545014</v>
      </c>
      <c r="AI298" s="19">
        <f t="shared" si="1315"/>
        <v>5.4863839518357542</v>
      </c>
      <c r="AJ298" s="20">
        <f t="shared" si="1315"/>
        <v>5.3385714288805817</v>
      </c>
      <c r="AK298" s="19">
        <f t="shared" si="1315"/>
        <v>5.3769444346270578</v>
      </c>
      <c r="AL298" s="19">
        <f t="shared" si="1315"/>
        <v>5.4507466820955939</v>
      </c>
      <c r="AM298" s="19">
        <f t="shared" si="1315"/>
        <v>5.5202697120444677</v>
      </c>
      <c r="AN298" s="19">
        <f t="shared" si="1315"/>
        <v>5.566312333735465</v>
      </c>
      <c r="AO298" s="20">
        <f t="shared" si="1315"/>
        <v>5.4810568653048328</v>
      </c>
      <c r="AP298" s="19">
        <f t="shared" si="1315"/>
        <v>5.4606018135453187</v>
      </c>
      <c r="AQ298" s="19">
        <f t="shared" si="1315"/>
        <v>5.3626344626126272</v>
      </c>
      <c r="AR298" s="19">
        <f t="shared" si="1315"/>
        <v>5.3626414374247116</v>
      </c>
      <c r="AS298" s="19">
        <f t="shared" si="1315"/>
        <v>5.3785427564162145</v>
      </c>
      <c r="AT298" s="20">
        <f t="shared" si="1315"/>
        <v>5.3901897839325859</v>
      </c>
      <c r="AU298" s="19">
        <f t="shared" si="1315"/>
        <v>5.3343691560227402</v>
      </c>
      <c r="AV298" s="19">
        <f t="shared" si="1315"/>
        <v>5.4675375267928317</v>
      </c>
      <c r="AW298" s="19">
        <f t="shared" si="1315"/>
        <v>5.4398807216266025</v>
      </c>
      <c r="AX298" s="19">
        <f t="shared" si="1315"/>
        <v>5.3494447033043704</v>
      </c>
      <c r="AY298" s="20">
        <f t="shared" si="1315"/>
        <v>5.3978503978309584</v>
      </c>
      <c r="AZ298" s="19">
        <f t="shared" si="1315"/>
        <v>5.1495767384682933</v>
      </c>
      <c r="BA298" s="19">
        <f t="shared" si="1315"/>
        <v>5.2573907985411621</v>
      </c>
      <c r="BB298" s="19">
        <f t="shared" si="1315"/>
        <v>5.2686111859232527</v>
      </c>
      <c r="BC298" s="19">
        <f t="shared" si="1315"/>
        <v>5.3386967997737376</v>
      </c>
      <c r="BD298" s="20">
        <f t="shared" si="1315"/>
        <v>5.2556233791410554</v>
      </c>
      <c r="BE298" s="19">
        <f t="shared" si="1315"/>
        <v>5.1478769705932121</v>
      </c>
      <c r="BF298" s="19">
        <f t="shared" si="1315"/>
        <v>5.3268542193254333</v>
      </c>
      <c r="BG298" s="19">
        <f t="shared" si="1315"/>
        <v>5.4709085418199068</v>
      </c>
      <c r="BH298" s="19">
        <f t="shared" si="1315"/>
        <v>5.5218010116438281</v>
      </c>
      <c r="BI298" s="20">
        <f t="shared" si="1315"/>
        <v>5.3707239555084918</v>
      </c>
      <c r="BJ298" s="19">
        <f t="shared" si="1315"/>
        <v>5.4063224668297698</v>
      </c>
      <c r="BK298" s="19">
        <f t="shared" si="1315"/>
        <v>5.6670413880672204</v>
      </c>
      <c r="BL298" s="19">
        <f t="shared" si="1315"/>
        <v>5.8919727625408171</v>
      </c>
      <c r="BM298" s="19">
        <f t="shared" si="1315"/>
        <v>6.0394795972163262</v>
      </c>
      <c r="BN298" s="20">
        <f t="shared" si="1313"/>
        <v>5.7514210190012465</v>
      </c>
      <c r="BO298" s="19">
        <f t="shared" si="1313"/>
        <v>5.428063092300266</v>
      </c>
      <c r="BP298" s="19">
        <f t="shared" si="1313"/>
        <v>5.3867892279998664</v>
      </c>
      <c r="BQ298" s="19">
        <f t="shared" si="1313"/>
        <v>5.8803812408615839</v>
      </c>
      <c r="BR298" s="19">
        <f t="shared" si="1313"/>
        <v>5.6327158939883262</v>
      </c>
      <c r="BS298" s="20">
        <f t="shared" si="1313"/>
        <v>5.5840892912162197</v>
      </c>
      <c r="BT298" s="19">
        <f t="shared" si="1313"/>
        <v>5.7062351374814604</v>
      </c>
      <c r="BU298" s="19">
        <f t="shared" si="1313"/>
        <v>5.447162296616181</v>
      </c>
      <c r="BV298" s="19">
        <f t="shared" si="1313"/>
        <v>5.7024966664475709</v>
      </c>
      <c r="BW298" s="19">
        <f t="shared" si="1313"/>
        <v>5.5250341915205521</v>
      </c>
      <c r="BX298" s="20">
        <f t="shared" si="1313"/>
        <v>5.5931283209037526</v>
      </c>
      <c r="BY298" s="19">
        <f t="shared" si="1313"/>
        <v>5.5781056362056374</v>
      </c>
      <c r="BZ298" s="19">
        <f t="shared" si="1313"/>
        <v>5.3217222397965971</v>
      </c>
      <c r="CA298" s="19">
        <f t="shared" si="1313"/>
        <v>5.4931135071248178</v>
      </c>
      <c r="CB298" s="19">
        <f t="shared" si="1313"/>
        <v>5.4412888807923565</v>
      </c>
      <c r="CC298" s="20">
        <f t="shared" si="1313"/>
        <v>5.4568129672508618</v>
      </c>
      <c r="CD298" s="19">
        <f t="shared" si="1313"/>
        <v>5.5818312040286218</v>
      </c>
      <c r="CE298" s="19">
        <f t="shared" si="1313"/>
        <v>5.3953126484161666</v>
      </c>
      <c r="CF298" s="19">
        <f t="shared" si="1313"/>
        <v>5.346321027913052</v>
      </c>
      <c r="CG298" s="19">
        <f t="shared" si="1313"/>
        <v>5.3491208697573667</v>
      </c>
      <c r="CH298" s="20">
        <f t="shared" si="1313"/>
        <v>5.4156914785065453</v>
      </c>
      <c r="CI298" s="19">
        <f t="shared" si="1313"/>
        <v>5.4335954351424585</v>
      </c>
      <c r="CJ298" s="19">
        <f t="shared" si="1313"/>
        <v>5.4459382575572031</v>
      </c>
      <c r="CK298" s="19">
        <f t="shared" si="1313"/>
        <v>5.3191062500570814</v>
      </c>
      <c r="CL298" s="19">
        <f t="shared" si="1313"/>
        <v>5.2342762371538907</v>
      </c>
      <c r="CM298" s="20">
        <f t="shared" si="1313"/>
        <v>5.3560761574864628</v>
      </c>
      <c r="CN298" s="19" t="str">
        <f t="shared" si="1313"/>
        <v/>
      </c>
      <c r="CO298" s="19" t="str">
        <f t="shared" si="1313"/>
        <v/>
      </c>
      <c r="CP298" s="19" t="str">
        <f t="shared" si="1313"/>
        <v/>
      </c>
      <c r="CQ298" s="19" t="str">
        <f t="shared" si="1313"/>
        <v/>
      </c>
      <c r="CR298" s="20" t="str">
        <f t="shared" si="1313"/>
        <v/>
      </c>
    </row>
    <row r="299" spans="1:96" s="9" customFormat="1" ht="15" x14ac:dyDescent="0.4">
      <c r="A299" s="18" t="s">
        <v>84</v>
      </c>
      <c r="B299" s="19">
        <f t="shared" si="1315"/>
        <v>4.3536618962963711</v>
      </c>
      <c r="C299" s="19">
        <f t="shared" si="1315"/>
        <v>3.8339243856310747</v>
      </c>
      <c r="D299" s="19">
        <f t="shared" si="1315"/>
        <v>3.9491593041161801</v>
      </c>
      <c r="E299" s="19">
        <f t="shared" si="1315"/>
        <v>4.1361291237422142</v>
      </c>
      <c r="F299" s="20">
        <f t="shared" si="1315"/>
        <v>4.0668927126646572</v>
      </c>
      <c r="G299" s="19">
        <f t="shared" si="1315"/>
        <v>4.1587733157343907</v>
      </c>
      <c r="H299" s="19">
        <f t="shared" si="1315"/>
        <v>3.7323486085978685</v>
      </c>
      <c r="I299" s="19">
        <f t="shared" si="1315"/>
        <v>3.8154314604200481</v>
      </c>
      <c r="J299" s="19">
        <f t="shared" si="1315"/>
        <v>4.0271110171023503</v>
      </c>
      <c r="K299" s="20">
        <f t="shared" si="1315"/>
        <v>3.9333979151630962</v>
      </c>
      <c r="L299" s="19">
        <f t="shared" si="1315"/>
        <v>4.3705661710055761</v>
      </c>
      <c r="M299" s="19">
        <f t="shared" si="1315"/>
        <v>4.4590448795888955</v>
      </c>
      <c r="N299" s="19">
        <f t="shared" si="1315"/>
        <v>4.6648994490675024</v>
      </c>
      <c r="O299" s="19">
        <f t="shared" si="1315"/>
        <v>4.9758560885349397</v>
      </c>
      <c r="P299" s="20">
        <f t="shared" si="1315"/>
        <v>4.6236044315087153</v>
      </c>
      <c r="Q299" s="19">
        <f t="shared" si="1315"/>
        <v>4.452107110920811</v>
      </c>
      <c r="R299" s="19" t="str">
        <f t="shared" si="1315"/>
        <v/>
      </c>
      <c r="S299" s="19">
        <f t="shared" si="1315"/>
        <v>3.609752175960816</v>
      </c>
      <c r="T299" s="19">
        <f t="shared" si="1315"/>
        <v>3.6813486754623455</v>
      </c>
      <c r="U299" s="20" t="str">
        <f t="shared" si="1315"/>
        <v/>
      </c>
      <c r="V299" s="19">
        <f t="shared" si="1315"/>
        <v>3.6736399970889693</v>
      </c>
      <c r="W299" s="19">
        <f t="shared" si="1315"/>
        <v>3.4947933481772488</v>
      </c>
      <c r="X299" s="19">
        <f t="shared" si="1315"/>
        <v>3.8721290400496877</v>
      </c>
      <c r="Y299" s="19">
        <f t="shared" si="1315"/>
        <v>4.2387857553968926</v>
      </c>
      <c r="Z299" s="20">
        <f t="shared" si="1315"/>
        <v>3.8233177370337179</v>
      </c>
      <c r="AA299" s="19">
        <f t="shared" si="1315"/>
        <v>3.8154623775481316</v>
      </c>
      <c r="AB299" s="19">
        <f t="shared" si="1315"/>
        <v>3.6459294195664875</v>
      </c>
      <c r="AC299" s="19">
        <f t="shared" si="1315"/>
        <v>3.7619529007450998</v>
      </c>
      <c r="AD299" s="19">
        <f t="shared" si="1315"/>
        <v>3.9655159366891262</v>
      </c>
      <c r="AE299" s="20">
        <f t="shared" si="1315"/>
        <v>3.8005728669121108</v>
      </c>
      <c r="AF299" s="19">
        <f t="shared" si="1315"/>
        <v>3.7212141814380324</v>
      </c>
      <c r="AG299" s="19">
        <f t="shared" si="1315"/>
        <v>3.7083041914787973</v>
      </c>
      <c r="AH299" s="19">
        <f t="shared" si="1315"/>
        <v>3.8188550152198006</v>
      </c>
      <c r="AI299" s="19">
        <f t="shared" si="1315"/>
        <v>4.0597267346678976</v>
      </c>
      <c r="AJ299" s="20">
        <f t="shared" si="1315"/>
        <v>3.8302171534090372</v>
      </c>
      <c r="AK299" s="19">
        <f t="shared" si="1315"/>
        <v>3.9238117173357594</v>
      </c>
      <c r="AL299" s="19">
        <f t="shared" si="1315"/>
        <v>3.7855672527838169</v>
      </c>
      <c r="AM299" s="19">
        <f t="shared" si="1315"/>
        <v>3.8452492374614788</v>
      </c>
      <c r="AN299" s="19">
        <f t="shared" si="1315"/>
        <v>3.9719676405314384</v>
      </c>
      <c r="AO299" s="20">
        <f t="shared" si="1315"/>
        <v>3.8825573707594834</v>
      </c>
      <c r="AP299" s="19">
        <f t="shared" si="1315"/>
        <v>3.8690109966538975</v>
      </c>
      <c r="AQ299" s="19">
        <f t="shared" si="1315"/>
        <v>3.7866821423375772</v>
      </c>
      <c r="AR299" s="19">
        <f t="shared" si="1315"/>
        <v>3.8375399429239234</v>
      </c>
      <c r="AS299" s="19">
        <f t="shared" si="1315"/>
        <v>3.9502174513468544</v>
      </c>
      <c r="AT299" s="20">
        <f t="shared" si="1315"/>
        <v>3.8618104251766918</v>
      </c>
      <c r="AU299" s="19">
        <f t="shared" si="1315"/>
        <v>3.8793030849743526</v>
      </c>
      <c r="AV299" s="19">
        <f t="shared" si="1315"/>
        <v>3.8639329830887457</v>
      </c>
      <c r="AW299" s="19">
        <f t="shared" si="1315"/>
        <v>3.8527311083194058</v>
      </c>
      <c r="AX299" s="19">
        <f t="shared" si="1315"/>
        <v>3.887948396494127</v>
      </c>
      <c r="AY299" s="20">
        <f t="shared" si="1315"/>
        <v>3.8710339958783111</v>
      </c>
      <c r="AZ299" s="19">
        <f t="shared" si="1315"/>
        <v>3.8174869692521316</v>
      </c>
      <c r="BA299" s="19">
        <f t="shared" si="1315"/>
        <v>3.8240899987684589</v>
      </c>
      <c r="BB299" s="19">
        <f t="shared" si="1315"/>
        <v>3.7766278961229847</v>
      </c>
      <c r="BC299" s="19">
        <f t="shared" si="1315"/>
        <v>3.8520478799088238</v>
      </c>
      <c r="BD299" s="20">
        <f t="shared" si="1315"/>
        <v>3.817693123724649</v>
      </c>
      <c r="BE299" s="19">
        <f t="shared" si="1315"/>
        <v>3.845207210557259</v>
      </c>
      <c r="BF299" s="19">
        <f t="shared" si="1315"/>
        <v>3.8862170194486936</v>
      </c>
      <c r="BG299" s="19">
        <f t="shared" si="1315"/>
        <v>3.9302701650127405</v>
      </c>
      <c r="BH299" s="19">
        <f t="shared" si="1315"/>
        <v>3.9881057903257204</v>
      </c>
      <c r="BI299" s="20">
        <f t="shared" si="1315"/>
        <v>3.913845099853615</v>
      </c>
      <c r="BJ299" s="19">
        <f t="shared" si="1315"/>
        <v>3.9165037326402521</v>
      </c>
      <c r="BK299" s="19">
        <f t="shared" si="1315"/>
        <v>3.5120472363903721</v>
      </c>
      <c r="BL299" s="19">
        <f t="shared" si="1315"/>
        <v>3.7103033034704427</v>
      </c>
      <c r="BM299" s="19">
        <f t="shared" si="1315"/>
        <v>3.7617788059655854</v>
      </c>
      <c r="BN299" s="20">
        <f t="shared" si="1313"/>
        <v>3.7258954763729868</v>
      </c>
      <c r="BO299" s="19">
        <f t="shared" si="1313"/>
        <v>3.7976533026138508</v>
      </c>
      <c r="BP299" s="19">
        <f t="shared" si="1313"/>
        <v>3.7375616696646894</v>
      </c>
      <c r="BQ299" s="19">
        <f t="shared" si="1313"/>
        <v>3.7353529356957806</v>
      </c>
      <c r="BR299" s="19">
        <f t="shared" si="1313"/>
        <v>3.7937062634825933</v>
      </c>
      <c r="BS299" s="20">
        <f t="shared" si="1313"/>
        <v>3.7659403045663469</v>
      </c>
      <c r="BT299" s="19">
        <f t="shared" si="1313"/>
        <v>3.8849961432564042</v>
      </c>
      <c r="BU299" s="19">
        <f t="shared" si="1313"/>
        <v>3.7992854734291792</v>
      </c>
      <c r="BV299" s="19">
        <f t="shared" si="1313"/>
        <v>3.8135645657773019</v>
      </c>
      <c r="BW299" s="19">
        <f t="shared" si="1313"/>
        <v>3.7204893462393489</v>
      </c>
      <c r="BX299" s="20">
        <f t="shared" si="1313"/>
        <v>3.8025367243029149</v>
      </c>
      <c r="BY299" s="19">
        <f t="shared" si="1313"/>
        <v>3.8315791712572911</v>
      </c>
      <c r="BZ299" s="19">
        <f t="shared" si="1313"/>
        <v>3.6445549243211248</v>
      </c>
      <c r="CA299" s="19">
        <f t="shared" si="1313"/>
        <v>3.6750827923960698</v>
      </c>
      <c r="CB299" s="19">
        <f t="shared" si="1313"/>
        <v>3.650977616702189</v>
      </c>
      <c r="CC299" s="20">
        <f t="shared" si="1313"/>
        <v>3.6985329272587193</v>
      </c>
      <c r="CD299" s="19">
        <f t="shared" si="1313"/>
        <v>3.7362555408754292</v>
      </c>
      <c r="CE299" s="19">
        <f t="shared" si="1313"/>
        <v>3.6198444994268941</v>
      </c>
      <c r="CF299" s="19">
        <f t="shared" si="1313"/>
        <v>3.5800577864000855</v>
      </c>
      <c r="CG299" s="19">
        <f t="shared" si="1313"/>
        <v>3.5908019814155203</v>
      </c>
      <c r="CH299" s="20">
        <f t="shared" si="1313"/>
        <v>3.6301787878325587</v>
      </c>
      <c r="CI299" s="19">
        <f t="shared" si="1313"/>
        <v>3.5914971222936574</v>
      </c>
      <c r="CJ299" s="19">
        <f t="shared" si="1313"/>
        <v>3.5565157569608292</v>
      </c>
      <c r="CK299" s="19">
        <f t="shared" si="1313"/>
        <v>3.5073339239154939</v>
      </c>
      <c r="CL299" s="19">
        <f t="shared" si="1313"/>
        <v>3.5126883586906037</v>
      </c>
      <c r="CM299" s="20">
        <f t="shared" si="1313"/>
        <v>3.5411926633940389</v>
      </c>
      <c r="CN299" s="19" t="str">
        <f t="shared" si="1313"/>
        <v/>
      </c>
      <c r="CO299" s="19" t="str">
        <f t="shared" si="1313"/>
        <v/>
      </c>
      <c r="CP299" s="19" t="str">
        <f t="shared" si="1313"/>
        <v/>
      </c>
      <c r="CQ299" s="19" t="str">
        <f t="shared" si="1313"/>
        <v/>
      </c>
      <c r="CR299" s="20" t="str">
        <f t="shared" si="1313"/>
        <v/>
      </c>
    </row>
    <row r="300" spans="1:96" s="9" customFormat="1" ht="15" x14ac:dyDescent="0.4">
      <c r="A300" s="18" t="s">
        <v>85</v>
      </c>
      <c r="B300" s="19">
        <f t="shared" si="1315"/>
        <v>4.5849054743655309</v>
      </c>
      <c r="C300" s="19">
        <f t="shared" si="1315"/>
        <v>4.6490881905451387</v>
      </c>
      <c r="D300" s="19">
        <f t="shared" si="1315"/>
        <v>4.6268396054046441</v>
      </c>
      <c r="E300" s="19">
        <f t="shared" si="1315"/>
        <v>4.7588769279134002</v>
      </c>
      <c r="F300" s="20">
        <f t="shared" si="1315"/>
        <v>4.6566143449899382</v>
      </c>
      <c r="G300" s="19">
        <f t="shared" si="1315"/>
        <v>4.3698985560001828</v>
      </c>
      <c r="H300" s="19">
        <f t="shared" si="1315"/>
        <v>4.3563401399047876</v>
      </c>
      <c r="I300" s="19">
        <f t="shared" si="1315"/>
        <v>4.3926484330799171</v>
      </c>
      <c r="J300" s="19">
        <f t="shared" si="1315"/>
        <v>4.5689950572491433</v>
      </c>
      <c r="K300" s="20">
        <f t="shared" si="1315"/>
        <v>4.4242982969313962</v>
      </c>
      <c r="L300" s="19">
        <f t="shared" si="1315"/>
        <v>4.2609781129119213</v>
      </c>
      <c r="M300" s="19">
        <f t="shared" si="1315"/>
        <v>4.1755133157694653</v>
      </c>
      <c r="N300" s="19">
        <f t="shared" si="1315"/>
        <v>4.1647163484243777</v>
      </c>
      <c r="O300" s="19">
        <f t="shared" si="1315"/>
        <v>4.2704101531263809</v>
      </c>
      <c r="P300" s="20">
        <f t="shared" si="1315"/>
        <v>4.2178601969233904</v>
      </c>
      <c r="Q300" s="19">
        <f t="shared" si="1315"/>
        <v>3.9357008224260062</v>
      </c>
      <c r="R300" s="19" t="str">
        <f t="shared" si="1315"/>
        <v/>
      </c>
      <c r="S300" s="19">
        <f t="shared" si="1315"/>
        <v>4.1595892246909454</v>
      </c>
      <c r="T300" s="19">
        <f t="shared" si="1315"/>
        <v>4.2492811526387602</v>
      </c>
      <c r="U300" s="20" t="str">
        <f t="shared" si="1315"/>
        <v/>
      </c>
      <c r="V300" s="19">
        <f t="shared" si="1315"/>
        <v>3.9746863374441754</v>
      </c>
      <c r="W300" s="19">
        <f t="shared" si="1315"/>
        <v>4.0218632855309693</v>
      </c>
      <c r="X300" s="19">
        <f t="shared" si="1315"/>
        <v>4.1823658793384055</v>
      </c>
      <c r="Y300" s="19">
        <f t="shared" si="1315"/>
        <v>4.1911145610531086</v>
      </c>
      <c r="Z300" s="20">
        <f t="shared" si="1315"/>
        <v>4.0939957435252916</v>
      </c>
      <c r="AA300" s="19">
        <f t="shared" si="1315"/>
        <v>4.0541592077660056</v>
      </c>
      <c r="AB300" s="19">
        <f t="shared" si="1315"/>
        <v>4.0001530359233888</v>
      </c>
      <c r="AC300" s="19">
        <f t="shared" si="1315"/>
        <v>4.2363551908085348</v>
      </c>
      <c r="AD300" s="19">
        <f t="shared" si="1315"/>
        <v>4.2841666456885319</v>
      </c>
      <c r="AE300" s="20">
        <f t="shared" si="1315"/>
        <v>4.1482578415990137</v>
      </c>
      <c r="AF300" s="19">
        <f t="shared" si="1315"/>
        <v>3.904664840425053</v>
      </c>
      <c r="AG300" s="19">
        <f t="shared" si="1315"/>
        <v>3.9442542320141576</v>
      </c>
      <c r="AH300" s="19">
        <f t="shared" si="1315"/>
        <v>4.214225171225185</v>
      </c>
      <c r="AI300" s="19">
        <f t="shared" si="1315"/>
        <v>4.3459638345225784</v>
      </c>
      <c r="AJ300" s="20">
        <f t="shared" si="1315"/>
        <v>4.106652300888463</v>
      </c>
      <c r="AK300" s="19">
        <f t="shared" si="1315"/>
        <v>4.0301865293934398</v>
      </c>
      <c r="AL300" s="19">
        <f t="shared" si="1315"/>
        <v>3.9383863381921276</v>
      </c>
      <c r="AM300" s="19">
        <f t="shared" si="1315"/>
        <v>4.0626295842451654</v>
      </c>
      <c r="AN300" s="19">
        <f t="shared" si="1315"/>
        <v>4.1382344949211287</v>
      </c>
      <c r="AO300" s="20">
        <f t="shared" si="1315"/>
        <v>4.0441721896625937</v>
      </c>
      <c r="AP300" s="19">
        <f t="shared" si="1315"/>
        <v>4.0642875561131238</v>
      </c>
      <c r="AQ300" s="19">
        <f t="shared" si="1315"/>
        <v>3.9694204082961071</v>
      </c>
      <c r="AR300" s="19">
        <f t="shared" si="1315"/>
        <v>3.9529281615255694</v>
      </c>
      <c r="AS300" s="19">
        <f t="shared" si="1315"/>
        <v>4.0625935199895933</v>
      </c>
      <c r="AT300" s="20">
        <f t="shared" si="1315"/>
        <v>4.0121940073971594</v>
      </c>
      <c r="AU300" s="19">
        <f t="shared" si="1315"/>
        <v>4.1185022755838574</v>
      </c>
      <c r="AV300" s="19">
        <f t="shared" si="1315"/>
        <v>4.0854833285977374</v>
      </c>
      <c r="AW300" s="19">
        <f t="shared" si="1315"/>
        <v>4.0616726547610371</v>
      </c>
      <c r="AX300" s="19">
        <f t="shared" si="1315"/>
        <v>3.9719408758736323</v>
      </c>
      <c r="AY300" s="20">
        <f t="shared" si="1315"/>
        <v>4.0578968739501589</v>
      </c>
      <c r="AZ300" s="19">
        <f t="shared" si="1315"/>
        <v>3.9570771662965134</v>
      </c>
      <c r="BA300" s="19">
        <f t="shared" si="1315"/>
        <v>3.9929624080282826</v>
      </c>
      <c r="BB300" s="19">
        <f t="shared" si="1315"/>
        <v>4.0585163084497218</v>
      </c>
      <c r="BC300" s="19">
        <f t="shared" si="1315"/>
        <v>4.0889397093702824</v>
      </c>
      <c r="BD300" s="20">
        <f t="shared" si="1315"/>
        <v>4.0260610951871953</v>
      </c>
      <c r="BE300" s="19">
        <f t="shared" si="1315"/>
        <v>4.0690644818764241</v>
      </c>
      <c r="BF300" s="19">
        <f t="shared" si="1315"/>
        <v>4.04291967152973</v>
      </c>
      <c r="BG300" s="19">
        <f t="shared" si="1315"/>
        <v>4.1423152151326148</v>
      </c>
      <c r="BH300" s="19">
        <f t="shared" si="1315"/>
        <v>4.1082951681279036</v>
      </c>
      <c r="BI300" s="20">
        <f t="shared" si="1315"/>
        <v>4.091298680780123</v>
      </c>
      <c r="BJ300" s="19">
        <f t="shared" si="1315"/>
        <v>3.9418062443385073</v>
      </c>
      <c r="BK300" s="19">
        <f t="shared" si="1315"/>
        <v>3.7758473677137596</v>
      </c>
      <c r="BL300" s="19">
        <f t="shared" si="1315"/>
        <v>3.61137398847031</v>
      </c>
      <c r="BM300" s="19">
        <f t="shared" si="1315"/>
        <v>3.6600215780331227</v>
      </c>
      <c r="BN300" s="20">
        <f t="shared" si="1313"/>
        <v>3.747229569385703</v>
      </c>
      <c r="BO300" s="19">
        <f t="shared" si="1313"/>
        <v>3.6870227116775887</v>
      </c>
      <c r="BP300" s="19">
        <f t="shared" si="1313"/>
        <v>3.8738202517908147</v>
      </c>
      <c r="BQ300" s="19">
        <f t="shared" si="1313"/>
        <v>3.6926971555103467</v>
      </c>
      <c r="BR300" s="19">
        <f t="shared" si="1313"/>
        <v>3.6072622382475257</v>
      </c>
      <c r="BS300" s="20">
        <f t="shared" si="1313"/>
        <v>3.714652920734554</v>
      </c>
      <c r="BT300" s="19">
        <f t="shared" si="1313"/>
        <v>3.777154068925904</v>
      </c>
      <c r="BU300" s="19">
        <f t="shared" si="1313"/>
        <v>3.7513871997301251</v>
      </c>
      <c r="BV300" s="19">
        <f t="shared" si="1313"/>
        <v>3.7325416244941114</v>
      </c>
      <c r="BW300" s="19">
        <f t="shared" si="1313"/>
        <v>3.6471741818513981</v>
      </c>
      <c r="BX300" s="20">
        <f t="shared" si="1313"/>
        <v>3.7254857380509856</v>
      </c>
      <c r="BY300" s="19">
        <f t="shared" si="1313"/>
        <v>3.8047702069137457</v>
      </c>
      <c r="BZ300" s="19">
        <f t="shared" si="1313"/>
        <v>3.6383103046908878</v>
      </c>
      <c r="CA300" s="19">
        <f t="shared" si="1313"/>
        <v>3.7036178244400801</v>
      </c>
      <c r="CB300" s="19">
        <f t="shared" si="1313"/>
        <v>3.6877874570898688</v>
      </c>
      <c r="CC300" s="20">
        <f t="shared" si="1313"/>
        <v>3.7072044132451381</v>
      </c>
      <c r="CD300" s="19">
        <f t="shared" si="1313"/>
        <v>3.7464836759885038</v>
      </c>
      <c r="CE300" s="19">
        <f t="shared" si="1313"/>
        <v>3.6155201557060508</v>
      </c>
      <c r="CF300" s="19">
        <f t="shared" si="1313"/>
        <v>3.6031219419009068</v>
      </c>
      <c r="CG300" s="19">
        <f t="shared" si="1313"/>
        <v>3.5763578562268883</v>
      </c>
      <c r="CH300" s="20">
        <f t="shared" si="1313"/>
        <v>3.6336585640466974</v>
      </c>
      <c r="CI300" s="19">
        <f t="shared" si="1313"/>
        <v>3.6404951783034303</v>
      </c>
      <c r="CJ300" s="19">
        <f t="shared" si="1313"/>
        <v>3.5642232783444237</v>
      </c>
      <c r="CK300" s="19">
        <f t="shared" si="1313"/>
        <v>3.52256553189252</v>
      </c>
      <c r="CL300" s="19">
        <f t="shared" si="1313"/>
        <v>3.4561405938578362</v>
      </c>
      <c r="CM300" s="20">
        <f t="shared" si="1313"/>
        <v>3.5440575174059159</v>
      </c>
      <c r="CN300" s="19" t="str">
        <f t="shared" si="1313"/>
        <v/>
      </c>
      <c r="CO300" s="19" t="str">
        <f t="shared" si="1313"/>
        <v/>
      </c>
      <c r="CP300" s="19" t="str">
        <f t="shared" si="1313"/>
        <v/>
      </c>
      <c r="CQ300" s="19" t="str">
        <f t="shared" si="1313"/>
        <v/>
      </c>
      <c r="CR300" s="20" t="str">
        <f t="shared" si="1313"/>
        <v/>
      </c>
    </row>
    <row r="301" spans="1:96" s="9" customFormat="1" ht="15" x14ac:dyDescent="0.4">
      <c r="A301" s="18" t="s">
        <v>86</v>
      </c>
      <c r="B301" s="19">
        <f t="shared" si="1315"/>
        <v>2.3556868369100283</v>
      </c>
      <c r="C301" s="19">
        <f t="shared" si="1315"/>
        <v>2.2133938096963774</v>
      </c>
      <c r="D301" s="19">
        <f t="shared" si="1315"/>
        <v>2.2503444797154089</v>
      </c>
      <c r="E301" s="19">
        <f t="shared" si="1315"/>
        <v>2.1894166725684538</v>
      </c>
      <c r="F301" s="20">
        <f t="shared" si="1315"/>
        <v>2.2507421274917827</v>
      </c>
      <c r="G301" s="19">
        <f t="shared" si="1315"/>
        <v>2.2064570973609881</v>
      </c>
      <c r="H301" s="19">
        <f t="shared" si="1315"/>
        <v>2.1245095059878523</v>
      </c>
      <c r="I301" s="19">
        <f t="shared" si="1315"/>
        <v>2.1880074500309501</v>
      </c>
      <c r="J301" s="19">
        <f t="shared" si="1315"/>
        <v>2.1250638754770459</v>
      </c>
      <c r="K301" s="20">
        <f t="shared" si="1315"/>
        <v>2.1604323133486525</v>
      </c>
      <c r="L301" s="19">
        <f t="shared" si="1315"/>
        <v>2.1414609562564491</v>
      </c>
      <c r="M301" s="19">
        <f t="shared" si="1315"/>
        <v>2.0105569647270434</v>
      </c>
      <c r="N301" s="19">
        <f t="shared" si="1315"/>
        <v>2.0349261839895512</v>
      </c>
      <c r="O301" s="19">
        <f t="shared" si="1315"/>
        <v>2.0828106451679762</v>
      </c>
      <c r="P301" s="20">
        <f t="shared" si="1315"/>
        <v>2.0668484503983424</v>
      </c>
      <c r="Q301" s="19">
        <f t="shared" si="1315"/>
        <v>2.2029658215841303</v>
      </c>
      <c r="R301" s="19" t="str">
        <f t="shared" si="1315"/>
        <v/>
      </c>
      <c r="S301" s="19">
        <f t="shared" si="1315"/>
        <v>2.2968755547134068</v>
      </c>
      <c r="T301" s="19">
        <f t="shared" si="1315"/>
        <v>2.3824453020714143</v>
      </c>
      <c r="U301" s="20" t="str">
        <f t="shared" si="1315"/>
        <v/>
      </c>
      <c r="V301" s="19">
        <f t="shared" si="1315"/>
        <v>2.1992319193302565</v>
      </c>
      <c r="W301" s="19">
        <f t="shared" si="1315"/>
        <v>2.0950275776011331</v>
      </c>
      <c r="X301" s="19">
        <f t="shared" si="1315"/>
        <v>2.2738961693140776</v>
      </c>
      <c r="Y301" s="19">
        <f t="shared" si="1315"/>
        <v>2.2840413629762848</v>
      </c>
      <c r="Z301" s="20">
        <f t="shared" si="1315"/>
        <v>2.2136499183172615</v>
      </c>
      <c r="AA301" s="19">
        <f t="shared" si="1315"/>
        <v>2.2286306513470802</v>
      </c>
      <c r="AB301" s="19">
        <f t="shared" si="1315"/>
        <v>2.0817788675792417</v>
      </c>
      <c r="AC301" s="19">
        <f t="shared" si="1315"/>
        <v>2.1334446613388867</v>
      </c>
      <c r="AD301" s="19">
        <f t="shared" si="1315"/>
        <v>2.1522320203277623</v>
      </c>
      <c r="AE301" s="20">
        <f t="shared" si="1315"/>
        <v>2.1484410682493484</v>
      </c>
      <c r="AF301" s="19">
        <f t="shared" si="1315"/>
        <v>2.1180058624582885</v>
      </c>
      <c r="AG301" s="19">
        <f t="shared" si="1315"/>
        <v>2.0266920836010427</v>
      </c>
      <c r="AH301" s="19">
        <f t="shared" si="1315"/>
        <v>2.0426841005647089</v>
      </c>
      <c r="AI301" s="19">
        <f t="shared" si="1315"/>
        <v>2.1442395577279605</v>
      </c>
      <c r="AJ301" s="20">
        <f t="shared" si="1315"/>
        <v>2.0832916021955392</v>
      </c>
      <c r="AK301" s="19">
        <f t="shared" si="1315"/>
        <v>2.0650633705334607</v>
      </c>
      <c r="AL301" s="19">
        <f t="shared" si="1315"/>
        <v>2.0503660673086879</v>
      </c>
      <c r="AM301" s="19">
        <f t="shared" si="1315"/>
        <v>2.0491725983173361</v>
      </c>
      <c r="AN301" s="19">
        <f t="shared" si="1315"/>
        <v>2.0900440568934244</v>
      </c>
      <c r="AO301" s="20">
        <f t="shared" si="1315"/>
        <v>2.0639779087839085</v>
      </c>
      <c r="AP301" s="19">
        <f t="shared" si="1315"/>
        <v>2.0890251722364614</v>
      </c>
      <c r="AQ301" s="19">
        <f t="shared" si="1315"/>
        <v>2.0547919492738513</v>
      </c>
      <c r="AR301" s="19">
        <f t="shared" si="1315"/>
        <v>2.0671446003414955</v>
      </c>
      <c r="AS301" s="19">
        <f t="shared" si="1315"/>
        <v>2.0760213765035394</v>
      </c>
      <c r="AT301" s="20">
        <f t="shared" si="1315"/>
        <v>2.0716242172069586</v>
      </c>
      <c r="AU301" s="19">
        <f t="shared" si="1315"/>
        <v>2.0786308678253951</v>
      </c>
      <c r="AV301" s="19">
        <f t="shared" si="1315"/>
        <v>2.0943220768213742</v>
      </c>
      <c r="AW301" s="19">
        <f t="shared" si="1315"/>
        <v>2.0846293274893029</v>
      </c>
      <c r="AX301" s="19">
        <f t="shared" si="1315"/>
        <v>2.0846398801447936</v>
      </c>
      <c r="AY301" s="20">
        <f t="shared" si="1315"/>
        <v>2.0855833249768154</v>
      </c>
      <c r="AZ301" s="19">
        <f t="shared" si="1315"/>
        <v>2.0254319029593879</v>
      </c>
      <c r="BA301" s="19">
        <f t="shared" si="1315"/>
        <v>2.0309868352754989</v>
      </c>
      <c r="BB301" s="19">
        <f t="shared" si="1315"/>
        <v>2.0028188968095035</v>
      </c>
      <c r="BC301" s="19">
        <f t="shared" si="1315"/>
        <v>2.0020513598636027</v>
      </c>
      <c r="BD301" s="20">
        <f t="shared" si="1315"/>
        <v>2.0149504762668027</v>
      </c>
      <c r="BE301" s="19">
        <f t="shared" si="1315"/>
        <v>1.9832218909916735</v>
      </c>
      <c r="BF301" s="19">
        <f t="shared" si="1315"/>
        <v>1.9443105213564551</v>
      </c>
      <c r="BG301" s="19">
        <f t="shared" si="1315"/>
        <v>1.9194139106506396</v>
      </c>
      <c r="BH301" s="19">
        <f t="shared" si="1315"/>
        <v>1.9148245268069379</v>
      </c>
      <c r="BI301" s="20">
        <f t="shared" si="1315"/>
        <v>1.9397321278154074</v>
      </c>
      <c r="BJ301" s="19">
        <f t="shared" si="1315"/>
        <v>1.9079082302564907</v>
      </c>
      <c r="BK301" s="19">
        <f t="shared" si="1315"/>
        <v>1.8640287370153619</v>
      </c>
      <c r="BL301" s="19">
        <f t="shared" si="1315"/>
        <v>1.8711106041854015</v>
      </c>
      <c r="BM301" s="19">
        <f t="shared" ref="BM301" si="1316">IFERROR(BM45/BM$61*100,"")</f>
        <v>1.9075531470523333</v>
      </c>
      <c r="BN301" s="20">
        <f t="shared" si="1313"/>
        <v>1.8877385314474355</v>
      </c>
      <c r="BO301" s="19">
        <f t="shared" si="1313"/>
        <v>1.9268992419833215</v>
      </c>
      <c r="BP301" s="19">
        <f t="shared" si="1313"/>
        <v>1.8816368664816694</v>
      </c>
      <c r="BQ301" s="19">
        <f t="shared" si="1313"/>
        <v>1.8483382305262828</v>
      </c>
      <c r="BR301" s="19">
        <f t="shared" si="1313"/>
        <v>1.8088801638171423</v>
      </c>
      <c r="BS301" s="20">
        <f t="shared" si="1313"/>
        <v>1.8653233443800494</v>
      </c>
      <c r="BT301" s="19">
        <f t="shared" si="1313"/>
        <v>1.8628679021443706</v>
      </c>
      <c r="BU301" s="19">
        <f t="shared" si="1313"/>
        <v>1.8553443205906073</v>
      </c>
      <c r="BV301" s="19">
        <f t="shared" si="1313"/>
        <v>1.852748434410006</v>
      </c>
      <c r="BW301" s="19">
        <f t="shared" si="1313"/>
        <v>1.7992462951767147</v>
      </c>
      <c r="BX301" s="20">
        <f t="shared" si="1313"/>
        <v>1.8418095814390041</v>
      </c>
      <c r="BY301" s="19">
        <f t="shared" si="1313"/>
        <v>1.8874456275818283</v>
      </c>
      <c r="BZ301" s="19">
        <f t="shared" si="1313"/>
        <v>1.8130662656935095</v>
      </c>
      <c r="CA301" s="19">
        <f t="shared" si="1313"/>
        <v>1.8315343223761174</v>
      </c>
      <c r="CB301" s="19">
        <f t="shared" si="1313"/>
        <v>1.8099351132631538</v>
      </c>
      <c r="CC301" s="20">
        <f t="shared" si="1313"/>
        <v>1.8346666954788717</v>
      </c>
      <c r="CD301" s="19">
        <f t="shared" si="1313"/>
        <v>1.8585257569834499</v>
      </c>
      <c r="CE301" s="19">
        <f t="shared" si="1313"/>
        <v>1.7928543889208226</v>
      </c>
      <c r="CF301" s="19">
        <f t="shared" si="1313"/>
        <v>1.7832116833577734</v>
      </c>
      <c r="CG301" s="19">
        <f t="shared" si="1313"/>
        <v>1.7926548712858241</v>
      </c>
      <c r="CH301" s="20">
        <f t="shared" si="1313"/>
        <v>1.8060980757074221</v>
      </c>
      <c r="CI301" s="19">
        <f t="shared" si="1313"/>
        <v>1.824701143411996</v>
      </c>
      <c r="CJ301" s="19">
        <f t="shared" si="1313"/>
        <v>1.808357426248167</v>
      </c>
      <c r="CK301" s="19">
        <f t="shared" si="1313"/>
        <v>1.775338464358261</v>
      </c>
      <c r="CL301" s="19">
        <f t="shared" si="1313"/>
        <v>1.770231465504472</v>
      </c>
      <c r="CM301" s="20">
        <f t="shared" si="1313"/>
        <v>1.794087975824515</v>
      </c>
      <c r="CN301" s="19" t="str">
        <f t="shared" si="1313"/>
        <v/>
      </c>
      <c r="CO301" s="19" t="str">
        <f t="shared" si="1313"/>
        <v/>
      </c>
      <c r="CP301" s="19" t="str">
        <f t="shared" si="1313"/>
        <v/>
      </c>
      <c r="CQ301" s="19" t="str">
        <f t="shared" si="1313"/>
        <v/>
      </c>
      <c r="CR301" s="20" t="str">
        <f t="shared" si="1313"/>
        <v/>
      </c>
    </row>
    <row r="302" spans="1:96" s="9" customFormat="1" ht="15" x14ac:dyDescent="0.4">
      <c r="A302" s="18"/>
      <c r="B302" s="22"/>
      <c r="C302" s="22"/>
      <c r="D302" s="23"/>
      <c r="E302" s="22"/>
      <c r="F302" s="24"/>
      <c r="G302" s="22"/>
      <c r="H302" s="22"/>
      <c r="I302" s="23"/>
      <c r="J302" s="22"/>
      <c r="K302" s="24"/>
      <c r="L302" s="22"/>
      <c r="M302" s="22"/>
      <c r="N302" s="23"/>
      <c r="O302" s="22"/>
      <c r="P302" s="24"/>
      <c r="Q302" s="22"/>
      <c r="R302" s="22"/>
      <c r="S302" s="23"/>
      <c r="T302" s="22"/>
      <c r="U302" s="24"/>
      <c r="V302" s="22"/>
      <c r="W302" s="22"/>
      <c r="X302" s="23"/>
      <c r="Y302" s="22"/>
      <c r="Z302" s="24"/>
      <c r="AA302" s="22"/>
      <c r="AB302" s="22"/>
      <c r="AC302" s="23"/>
      <c r="AD302" s="22"/>
      <c r="AE302" s="24"/>
      <c r="AF302" s="22"/>
      <c r="AG302" s="22"/>
      <c r="AH302" s="23"/>
      <c r="AI302" s="22"/>
      <c r="AJ302" s="24"/>
      <c r="AK302" s="22"/>
      <c r="AL302" s="22"/>
      <c r="AM302" s="23"/>
      <c r="AN302" s="22"/>
      <c r="AO302" s="24"/>
      <c r="AP302" s="22"/>
      <c r="AQ302" s="22"/>
      <c r="AR302" s="23"/>
      <c r="AS302" s="22"/>
      <c r="AT302" s="24"/>
      <c r="AU302" s="22"/>
      <c r="AV302" s="22"/>
      <c r="AW302" s="23"/>
      <c r="AX302" s="22"/>
      <c r="AY302" s="24"/>
      <c r="AZ302" s="22"/>
      <c r="BA302" s="22"/>
      <c r="BB302" s="23"/>
      <c r="BC302" s="22"/>
      <c r="BD302" s="24"/>
      <c r="BE302" s="22"/>
      <c r="BF302" s="22"/>
      <c r="BG302" s="23"/>
      <c r="BH302" s="22"/>
      <c r="BI302" s="24"/>
      <c r="BJ302" s="22"/>
      <c r="BK302" s="22"/>
      <c r="BL302" s="23"/>
      <c r="BM302" s="22"/>
      <c r="BN302" s="24"/>
      <c r="BO302" s="22"/>
      <c r="BP302" s="22"/>
      <c r="BQ302" s="23"/>
      <c r="BR302" s="22"/>
      <c r="BS302" s="24"/>
      <c r="BT302" s="22"/>
      <c r="BU302" s="22"/>
      <c r="BV302" s="23"/>
      <c r="BW302" s="22"/>
      <c r="BX302" s="24"/>
      <c r="BY302" s="22"/>
      <c r="BZ302" s="22"/>
      <c r="CA302" s="23"/>
      <c r="CB302" s="22"/>
      <c r="CC302" s="24"/>
      <c r="CD302" s="22"/>
      <c r="CE302" s="22"/>
      <c r="CF302" s="23"/>
      <c r="CG302" s="22"/>
      <c r="CH302" s="24"/>
      <c r="CI302" s="22"/>
      <c r="CJ302" s="22"/>
      <c r="CK302" s="23"/>
      <c r="CL302" s="22"/>
      <c r="CM302" s="24"/>
      <c r="CN302" s="22"/>
      <c r="CO302" s="22"/>
      <c r="CP302" s="23"/>
      <c r="CQ302" s="22"/>
      <c r="CR302" s="24"/>
    </row>
    <row r="303" spans="1:96" s="17" customFormat="1" ht="15" x14ac:dyDescent="0.4">
      <c r="A303" s="15" t="s">
        <v>87</v>
      </c>
      <c r="B303" s="50">
        <f t="shared" ref="B303:BM303" si="1317">IFERROR(B47/B$61*100,"")</f>
        <v>4.51793603852526</v>
      </c>
      <c r="C303" s="50">
        <f t="shared" si="1317"/>
        <v>4.4827434178775647</v>
      </c>
      <c r="D303" s="50">
        <f t="shared" si="1317"/>
        <v>4.4760274987915381</v>
      </c>
      <c r="E303" s="50">
        <f t="shared" si="1317"/>
        <v>4.6019968053767553</v>
      </c>
      <c r="F303" s="50">
        <f t="shared" si="1317"/>
        <v>4.5205988541492745</v>
      </c>
      <c r="G303" s="50">
        <f t="shared" si="1317"/>
        <v>4.2170380670189687</v>
      </c>
      <c r="H303" s="50">
        <f t="shared" si="1317"/>
        <v>4.4014169569197659</v>
      </c>
      <c r="I303" s="50">
        <f t="shared" si="1317"/>
        <v>4.0154012546271272</v>
      </c>
      <c r="J303" s="50">
        <f t="shared" si="1317"/>
        <v>4.2409356706232293</v>
      </c>
      <c r="K303" s="50">
        <f t="shared" si="1317"/>
        <v>4.2179104064141022</v>
      </c>
      <c r="L303" s="50">
        <f t="shared" si="1317"/>
        <v>4.2670739996036637</v>
      </c>
      <c r="M303" s="50">
        <f t="shared" si="1317"/>
        <v>4.1708969730057044</v>
      </c>
      <c r="N303" s="50">
        <f t="shared" si="1317"/>
        <v>4.2152742483122623</v>
      </c>
      <c r="O303" s="50">
        <f t="shared" si="1317"/>
        <v>4.183943474554825</v>
      </c>
      <c r="P303" s="50">
        <f t="shared" si="1317"/>
        <v>4.2085892238360216</v>
      </c>
      <c r="Q303" s="50">
        <f t="shared" si="1317"/>
        <v>4.1335792106792546</v>
      </c>
      <c r="R303" s="50" t="str">
        <f t="shared" si="1317"/>
        <v/>
      </c>
      <c r="S303" s="50">
        <f t="shared" si="1317"/>
        <v>4.0850644259461424</v>
      </c>
      <c r="T303" s="50">
        <f t="shared" si="1317"/>
        <v>3.9365597032794373</v>
      </c>
      <c r="U303" s="50" t="str">
        <f t="shared" si="1317"/>
        <v/>
      </c>
      <c r="V303" s="50">
        <f t="shared" si="1317"/>
        <v>4.0668528681732523</v>
      </c>
      <c r="W303" s="50">
        <f t="shared" si="1317"/>
        <v>4.0269117908531991</v>
      </c>
      <c r="X303" s="50">
        <f t="shared" si="1317"/>
        <v>4.0319770801614911</v>
      </c>
      <c r="Y303" s="50">
        <f t="shared" si="1317"/>
        <v>4.000906718478185</v>
      </c>
      <c r="Z303" s="50">
        <f t="shared" si="1317"/>
        <v>4.0312531318714147</v>
      </c>
      <c r="AA303" s="50">
        <f t="shared" si="1317"/>
        <v>4.2196582643029705</v>
      </c>
      <c r="AB303" s="50">
        <f t="shared" si="1317"/>
        <v>4.1204584360829992</v>
      </c>
      <c r="AC303" s="50">
        <f t="shared" si="1317"/>
        <v>4.0713365949770406</v>
      </c>
      <c r="AD303" s="50">
        <f t="shared" si="1317"/>
        <v>3.9199493621516348</v>
      </c>
      <c r="AE303" s="50">
        <f t="shared" si="1317"/>
        <v>4.0781994442659029</v>
      </c>
      <c r="AF303" s="50">
        <f t="shared" si="1317"/>
        <v>4.4191976534899364</v>
      </c>
      <c r="AG303" s="50">
        <f t="shared" si="1317"/>
        <v>4.1062765819750604</v>
      </c>
      <c r="AH303" s="50">
        <f t="shared" si="1317"/>
        <v>3.9632762553967074</v>
      </c>
      <c r="AI303" s="50">
        <f t="shared" si="1317"/>
        <v>3.9703908371029994</v>
      </c>
      <c r="AJ303" s="50">
        <f t="shared" si="1317"/>
        <v>4.1110061720578175</v>
      </c>
      <c r="AK303" s="50">
        <f t="shared" si="1317"/>
        <v>3.9795134039301154</v>
      </c>
      <c r="AL303" s="50">
        <f t="shared" si="1317"/>
        <v>3.9528870927871087</v>
      </c>
      <c r="AM303" s="50">
        <f t="shared" si="1317"/>
        <v>3.9554112540824105</v>
      </c>
      <c r="AN303" s="50">
        <f t="shared" si="1317"/>
        <v>4.1221565539121778</v>
      </c>
      <c r="AO303" s="50">
        <f t="shared" si="1317"/>
        <v>4.0042780704422887</v>
      </c>
      <c r="AP303" s="50">
        <f t="shared" si="1317"/>
        <v>3.9237306614459109</v>
      </c>
      <c r="AQ303" s="50">
        <f t="shared" si="1317"/>
        <v>3.9079492445297426</v>
      </c>
      <c r="AR303" s="50">
        <f t="shared" si="1317"/>
        <v>4.0320574794158262</v>
      </c>
      <c r="AS303" s="50">
        <f t="shared" si="1317"/>
        <v>4.193130937989296</v>
      </c>
      <c r="AT303" s="50">
        <f t="shared" si="1317"/>
        <v>4.017378188262561</v>
      </c>
      <c r="AU303" s="50">
        <f t="shared" si="1317"/>
        <v>4.0546817815877425</v>
      </c>
      <c r="AV303" s="50">
        <f t="shared" si="1317"/>
        <v>4.0132147339778896</v>
      </c>
      <c r="AW303" s="50">
        <f t="shared" si="1317"/>
        <v>3.964687121118418</v>
      </c>
      <c r="AX303" s="50">
        <f t="shared" si="1317"/>
        <v>4.0170326389272137</v>
      </c>
      <c r="AY303" s="50">
        <f t="shared" si="1317"/>
        <v>4.0119003840370375</v>
      </c>
      <c r="AZ303" s="50">
        <f t="shared" si="1317"/>
        <v>4.0763150135638293</v>
      </c>
      <c r="BA303" s="50">
        <f t="shared" si="1317"/>
        <v>4.0598826612662151</v>
      </c>
      <c r="BB303" s="50">
        <f t="shared" si="1317"/>
        <v>3.9849512606356186</v>
      </c>
      <c r="BC303" s="50">
        <f t="shared" si="1317"/>
        <v>3.9738150666157357</v>
      </c>
      <c r="BD303" s="50">
        <f t="shared" si="1317"/>
        <v>4.022320915612954</v>
      </c>
      <c r="BE303" s="50">
        <f t="shared" si="1317"/>
        <v>4.1273521732220173</v>
      </c>
      <c r="BF303" s="50">
        <f t="shared" si="1317"/>
        <v>4.0723259650056303</v>
      </c>
      <c r="BG303" s="50">
        <f t="shared" si="1317"/>
        <v>4.0698021618354323</v>
      </c>
      <c r="BH303" s="50">
        <f t="shared" si="1317"/>
        <v>4.0963045122962507</v>
      </c>
      <c r="BI303" s="50">
        <f t="shared" si="1317"/>
        <v>4.0911003791954448</v>
      </c>
      <c r="BJ303" s="50">
        <f t="shared" si="1317"/>
        <v>4.2204698488259398</v>
      </c>
      <c r="BK303" s="50">
        <f t="shared" si="1317"/>
        <v>4.0400470790899696</v>
      </c>
      <c r="BL303" s="50">
        <f t="shared" si="1317"/>
        <v>4.0155728868688874</v>
      </c>
      <c r="BM303" s="50">
        <f t="shared" si="1317"/>
        <v>4.0539436896190351</v>
      </c>
      <c r="BN303" s="50">
        <f t="shared" ref="BN303:CR303" si="1318">IFERROR(BN47/BN$61*100,"")</f>
        <v>4.0826859097244261</v>
      </c>
      <c r="BO303" s="50">
        <f t="shared" si="1318"/>
        <v>4.0992980470615832</v>
      </c>
      <c r="BP303" s="50">
        <f t="shared" si="1318"/>
        <v>3.9634979320403043</v>
      </c>
      <c r="BQ303" s="50">
        <f t="shared" si="1318"/>
        <v>3.8846797359451299</v>
      </c>
      <c r="BR303" s="50">
        <f t="shared" si="1318"/>
        <v>3.9483827923786596</v>
      </c>
      <c r="BS303" s="50">
        <f t="shared" si="1318"/>
        <v>3.9723894121259193</v>
      </c>
      <c r="BT303" s="50">
        <f t="shared" si="1318"/>
        <v>4.1322045154998053</v>
      </c>
      <c r="BU303" s="50">
        <f t="shared" si="1318"/>
        <v>4.0102047814431332</v>
      </c>
      <c r="BV303" s="50">
        <f t="shared" si="1318"/>
        <v>3.9982598493926957</v>
      </c>
      <c r="BW303" s="50">
        <f t="shared" si="1318"/>
        <v>4.007414420372073</v>
      </c>
      <c r="BX303" s="50">
        <f t="shared" si="1318"/>
        <v>4.0352554531544076</v>
      </c>
      <c r="BY303" s="50">
        <f t="shared" si="1318"/>
        <v>4.1382627367229841</v>
      </c>
      <c r="BZ303" s="50">
        <f t="shared" si="1318"/>
        <v>4.0040642961350708</v>
      </c>
      <c r="CA303" s="50">
        <f t="shared" si="1318"/>
        <v>4.055995287143439</v>
      </c>
      <c r="CB303" s="50">
        <f t="shared" si="1318"/>
        <v>4.2210189789457608</v>
      </c>
      <c r="CC303" s="50">
        <f t="shared" si="1318"/>
        <v>4.1049163149096239</v>
      </c>
      <c r="CD303" s="50">
        <f t="shared" si="1318"/>
        <v>4.7467177537192589</v>
      </c>
      <c r="CE303" s="50">
        <f t="shared" si="1318"/>
        <v>4.2269335317078482</v>
      </c>
      <c r="CF303" s="50">
        <f t="shared" si="1318"/>
        <v>4.2890123696495275</v>
      </c>
      <c r="CG303" s="50">
        <f t="shared" si="1318"/>
        <v>4.5758786506315419</v>
      </c>
      <c r="CH303" s="50">
        <f t="shared" si="1318"/>
        <v>4.4571956418113494</v>
      </c>
      <c r="CI303" s="50">
        <f t="shared" si="1318"/>
        <v>4.7950952415117358</v>
      </c>
      <c r="CJ303" s="50">
        <f t="shared" si="1318"/>
        <v>4.4429017756814382</v>
      </c>
      <c r="CK303" s="50">
        <f t="shared" si="1318"/>
        <v>4.2241017469696684</v>
      </c>
      <c r="CL303" s="50">
        <f t="shared" si="1318"/>
        <v>4.2594417375823008</v>
      </c>
      <c r="CM303" s="50">
        <f t="shared" si="1318"/>
        <v>4.4251156819049484</v>
      </c>
      <c r="CN303" s="50" t="str">
        <f t="shared" si="1318"/>
        <v/>
      </c>
      <c r="CO303" s="50" t="str">
        <f t="shared" si="1318"/>
        <v/>
      </c>
      <c r="CP303" s="50" t="str">
        <f t="shared" si="1318"/>
        <v/>
      </c>
      <c r="CQ303" s="50" t="str">
        <f t="shared" si="1318"/>
        <v/>
      </c>
      <c r="CR303" s="50" t="str">
        <f t="shared" si="1318"/>
        <v/>
      </c>
    </row>
    <row r="304" spans="1:96" s="9" customFormat="1" ht="15" x14ac:dyDescent="0.4">
      <c r="A304" s="25"/>
      <c r="B304" s="22"/>
      <c r="C304" s="22"/>
      <c r="D304" s="22"/>
      <c r="E304" s="22"/>
      <c r="F304" s="24"/>
      <c r="G304" s="22"/>
      <c r="H304" s="22"/>
      <c r="I304" s="22"/>
      <c r="J304" s="22"/>
      <c r="K304" s="24"/>
      <c r="L304" s="22"/>
      <c r="M304" s="22"/>
      <c r="N304" s="22"/>
      <c r="O304" s="22"/>
      <c r="P304" s="24"/>
      <c r="Q304" s="22"/>
      <c r="R304" s="22"/>
      <c r="S304" s="22"/>
      <c r="T304" s="22"/>
      <c r="U304" s="24"/>
      <c r="V304" s="22"/>
      <c r="W304" s="22"/>
      <c r="X304" s="22"/>
      <c r="Y304" s="22"/>
      <c r="Z304" s="24"/>
      <c r="AA304" s="22"/>
      <c r="AB304" s="22"/>
      <c r="AC304" s="22"/>
      <c r="AD304" s="22"/>
      <c r="AE304" s="24"/>
      <c r="AF304" s="22"/>
      <c r="AG304" s="22"/>
      <c r="AH304" s="22"/>
      <c r="AI304" s="22"/>
      <c r="AJ304" s="24"/>
      <c r="AK304" s="22"/>
      <c r="AL304" s="22"/>
      <c r="AM304" s="22"/>
      <c r="AN304" s="22"/>
      <c r="AO304" s="24"/>
      <c r="AP304" s="22"/>
      <c r="AQ304" s="22"/>
      <c r="AR304" s="22"/>
      <c r="AS304" s="22"/>
      <c r="AT304" s="24"/>
      <c r="AU304" s="22"/>
      <c r="AV304" s="22"/>
      <c r="AW304" s="22"/>
      <c r="AX304" s="22"/>
      <c r="AY304" s="24"/>
      <c r="AZ304" s="22"/>
      <c r="BA304" s="22"/>
      <c r="BB304" s="22"/>
      <c r="BC304" s="22"/>
      <c r="BD304" s="24"/>
      <c r="BE304" s="22"/>
      <c r="BF304" s="22"/>
      <c r="BG304" s="22"/>
      <c r="BH304" s="22"/>
      <c r="BI304" s="24"/>
      <c r="BJ304" s="22"/>
      <c r="BK304" s="22"/>
      <c r="BL304" s="22"/>
      <c r="BM304" s="22"/>
      <c r="BN304" s="24"/>
      <c r="BO304" s="22"/>
      <c r="BP304" s="22"/>
      <c r="BQ304" s="22"/>
      <c r="BR304" s="22"/>
      <c r="BS304" s="24"/>
      <c r="BT304" s="22"/>
      <c r="BU304" s="22"/>
      <c r="BV304" s="22"/>
      <c r="BW304" s="22"/>
      <c r="BX304" s="24"/>
      <c r="BY304" s="22"/>
      <c r="BZ304" s="22"/>
      <c r="CA304" s="22"/>
      <c r="CB304" s="22"/>
      <c r="CC304" s="24"/>
      <c r="CD304" s="22"/>
      <c r="CE304" s="22"/>
      <c r="CF304" s="22"/>
      <c r="CG304" s="22"/>
      <c r="CH304" s="24"/>
      <c r="CI304" s="22"/>
      <c r="CJ304" s="22"/>
      <c r="CK304" s="22"/>
      <c r="CL304" s="22"/>
      <c r="CM304" s="24"/>
      <c r="CN304" s="22"/>
      <c r="CO304" s="22"/>
      <c r="CP304" s="22"/>
      <c r="CQ304" s="22"/>
      <c r="CR304" s="24"/>
    </row>
    <row r="305" spans="1:96" s="17" customFormat="1" ht="15" x14ac:dyDescent="0.4">
      <c r="A305" s="15" t="s">
        <v>88</v>
      </c>
      <c r="B305" s="50">
        <f t="shared" ref="B305:BM305" si="1319">IFERROR(B49/B$61*100,"")</f>
        <v>48.840316462343417</v>
      </c>
      <c r="C305" s="50">
        <f t="shared" si="1319"/>
        <v>57.621188535047374</v>
      </c>
      <c r="D305" s="50">
        <f t="shared" si="1319"/>
        <v>62.249807312854941</v>
      </c>
      <c r="E305" s="50">
        <f t="shared" si="1319"/>
        <v>61.668587810099694</v>
      </c>
      <c r="F305" s="50">
        <f t="shared" si="1319"/>
        <v>57.719968445656846</v>
      </c>
      <c r="G305" s="50">
        <f t="shared" si="1319"/>
        <v>53.832975463177426</v>
      </c>
      <c r="H305" s="50">
        <f t="shared" si="1319"/>
        <v>60.102868458781842</v>
      </c>
      <c r="I305" s="50">
        <f t="shared" si="1319"/>
        <v>60.091362982069754</v>
      </c>
      <c r="J305" s="50">
        <f t="shared" si="1319"/>
        <v>65.773683286314338</v>
      </c>
      <c r="K305" s="50">
        <f t="shared" si="1319"/>
        <v>60.064540775631059</v>
      </c>
      <c r="L305" s="50">
        <f t="shared" si="1319"/>
        <v>51.896738458240662</v>
      </c>
      <c r="M305" s="50">
        <f t="shared" si="1319"/>
        <v>55.518887090864091</v>
      </c>
      <c r="N305" s="50">
        <f t="shared" si="1319"/>
        <v>56.99403524392833</v>
      </c>
      <c r="O305" s="50">
        <f t="shared" si="1319"/>
        <v>65.864704676494938</v>
      </c>
      <c r="P305" s="50">
        <f t="shared" si="1319"/>
        <v>57.699562852465306</v>
      </c>
      <c r="Q305" s="50">
        <f t="shared" si="1319"/>
        <v>50.644494444147213</v>
      </c>
      <c r="R305" s="50" t="str">
        <f t="shared" si="1319"/>
        <v/>
      </c>
      <c r="S305" s="50">
        <f t="shared" si="1319"/>
        <v>61.845799663046904</v>
      </c>
      <c r="T305" s="50">
        <f t="shared" si="1319"/>
        <v>63.983569178097746</v>
      </c>
      <c r="U305" s="50" t="str">
        <f t="shared" si="1319"/>
        <v/>
      </c>
      <c r="V305" s="50">
        <f t="shared" si="1319"/>
        <v>50.039628791392452</v>
      </c>
      <c r="W305" s="50">
        <f t="shared" si="1319"/>
        <v>61.096009546680584</v>
      </c>
      <c r="X305" s="50">
        <f t="shared" si="1319"/>
        <v>63.133373428094252</v>
      </c>
      <c r="Y305" s="50">
        <f t="shared" si="1319"/>
        <v>66.428402238356313</v>
      </c>
      <c r="Z305" s="50">
        <f t="shared" si="1319"/>
        <v>60.281812488486544</v>
      </c>
      <c r="AA305" s="50">
        <f t="shared" si="1319"/>
        <v>55.099428971036879</v>
      </c>
      <c r="AB305" s="50">
        <f t="shared" si="1319"/>
        <v>63.746792169713395</v>
      </c>
      <c r="AC305" s="50">
        <f t="shared" si="1319"/>
        <v>64.812831906619678</v>
      </c>
      <c r="AD305" s="50">
        <f t="shared" si="1319"/>
        <v>65.845223155292516</v>
      </c>
      <c r="AE305" s="50">
        <f t="shared" si="1319"/>
        <v>62.522589849943287</v>
      </c>
      <c r="AF305" s="50">
        <f t="shared" si="1319"/>
        <v>53.993758935314517</v>
      </c>
      <c r="AG305" s="50">
        <f t="shared" si="1319"/>
        <v>60.017427600967309</v>
      </c>
      <c r="AH305" s="50">
        <f t="shared" si="1319"/>
        <v>63.552454213702994</v>
      </c>
      <c r="AI305" s="50">
        <f t="shared" si="1319"/>
        <v>68.39536359308704</v>
      </c>
      <c r="AJ305" s="50">
        <f t="shared" si="1319"/>
        <v>61.614006335043058</v>
      </c>
      <c r="AK305" s="50">
        <f t="shared" si="1319"/>
        <v>56.757840239251699</v>
      </c>
      <c r="AL305" s="50">
        <f t="shared" si="1319"/>
        <v>60.696286730586444</v>
      </c>
      <c r="AM305" s="50">
        <f t="shared" si="1319"/>
        <v>63.647679893504147</v>
      </c>
      <c r="AN305" s="50">
        <f t="shared" si="1319"/>
        <v>67.321961806833471</v>
      </c>
      <c r="AO305" s="50">
        <f t="shared" si="1319"/>
        <v>62.241924315495481</v>
      </c>
      <c r="AP305" s="50">
        <f t="shared" si="1319"/>
        <v>57.270575552156203</v>
      </c>
      <c r="AQ305" s="50">
        <f t="shared" si="1319"/>
        <v>58.446304318699745</v>
      </c>
      <c r="AR305" s="50">
        <f t="shared" si="1319"/>
        <v>60.803195539966801</v>
      </c>
      <c r="AS305" s="50">
        <f t="shared" si="1319"/>
        <v>64.867803026558363</v>
      </c>
      <c r="AT305" s="50">
        <f t="shared" si="1319"/>
        <v>60.433881055464987</v>
      </c>
      <c r="AU305" s="50">
        <f t="shared" si="1319"/>
        <v>55.007774247162331</v>
      </c>
      <c r="AV305" s="50">
        <f t="shared" si="1319"/>
        <v>56.35923854986666</v>
      </c>
      <c r="AW305" s="50">
        <f t="shared" si="1319"/>
        <v>59.920260132320792</v>
      </c>
      <c r="AX305" s="50">
        <f t="shared" si="1319"/>
        <v>62.532264435819982</v>
      </c>
      <c r="AY305" s="50">
        <f t="shared" si="1319"/>
        <v>58.538934883668716</v>
      </c>
      <c r="AZ305" s="50">
        <f t="shared" si="1319"/>
        <v>52.23173038067506</v>
      </c>
      <c r="BA305" s="50">
        <f t="shared" si="1319"/>
        <v>53.685701695415425</v>
      </c>
      <c r="BB305" s="50">
        <f t="shared" si="1319"/>
        <v>56.122025717502829</v>
      </c>
      <c r="BC305" s="50">
        <f t="shared" si="1319"/>
        <v>58.942556150329096</v>
      </c>
      <c r="BD305" s="50">
        <f t="shared" si="1319"/>
        <v>55.326829520537082</v>
      </c>
      <c r="BE305" s="50">
        <f t="shared" si="1319"/>
        <v>49.151388510390525</v>
      </c>
      <c r="BF305" s="50">
        <f t="shared" si="1319"/>
        <v>50.36758610314088</v>
      </c>
      <c r="BG305" s="50">
        <f t="shared" si="1319"/>
        <v>54.041201807687642</v>
      </c>
      <c r="BH305" s="50">
        <f t="shared" si="1319"/>
        <v>54.974837180932191</v>
      </c>
      <c r="BI305" s="50">
        <f t="shared" si="1319"/>
        <v>52.196872539527163</v>
      </c>
      <c r="BJ305" s="50">
        <f t="shared" si="1319"/>
        <v>30.351943238199077</v>
      </c>
      <c r="BK305" s="50">
        <f t="shared" si="1319"/>
        <v>36.961034364372978</v>
      </c>
      <c r="BL305" s="50">
        <f t="shared" si="1319"/>
        <v>38.806632098651569</v>
      </c>
      <c r="BM305" s="50">
        <f t="shared" si="1319"/>
        <v>49.045741030249964</v>
      </c>
      <c r="BN305" s="50">
        <f t="shared" ref="BN305:CR305" si="1320">IFERROR(BN49/BN$61*100,"")</f>
        <v>38.797398686194406</v>
      </c>
      <c r="BO305" s="50">
        <f t="shared" si="1320"/>
        <v>22.422711419866882</v>
      </c>
      <c r="BP305" s="50">
        <f t="shared" si="1320"/>
        <v>41.914739300477279</v>
      </c>
      <c r="BQ305" s="50">
        <f t="shared" si="1320"/>
        <v>33.880953148636756</v>
      </c>
      <c r="BR305" s="50">
        <f t="shared" si="1320"/>
        <v>54.140746153448404</v>
      </c>
      <c r="BS305" s="50">
        <f t="shared" si="1320"/>
        <v>38.387069771043819</v>
      </c>
      <c r="BT305" s="50">
        <f t="shared" si="1320"/>
        <v>22.172678135285445</v>
      </c>
      <c r="BU305" s="50">
        <f t="shared" si="1320"/>
        <v>29.30021682448195</v>
      </c>
      <c r="BV305" s="50">
        <f t="shared" si="1320"/>
        <v>35.813148636363863</v>
      </c>
      <c r="BW305" s="50">
        <f t="shared" si="1320"/>
        <v>49.27081460479846</v>
      </c>
      <c r="BX305" s="50">
        <f t="shared" si="1320"/>
        <v>34.479570122976348</v>
      </c>
      <c r="BY305" s="50">
        <f t="shared" si="1320"/>
        <v>21.461490391440687</v>
      </c>
      <c r="BZ305" s="50">
        <f t="shared" si="1320"/>
        <v>33.594708080177789</v>
      </c>
      <c r="CA305" s="50">
        <f t="shared" si="1320"/>
        <v>31.450042429506265</v>
      </c>
      <c r="CB305" s="50">
        <f t="shared" si="1320"/>
        <v>45.442251056654399</v>
      </c>
      <c r="CC305" s="50">
        <f t="shared" si="1320"/>
        <v>33.20240485584074</v>
      </c>
      <c r="CD305" s="50">
        <f t="shared" si="1320"/>
        <v>22.03586711305751</v>
      </c>
      <c r="CE305" s="50">
        <f t="shared" si="1320"/>
        <v>32.836078695512619</v>
      </c>
      <c r="CF305" s="50">
        <f t="shared" si="1320"/>
        <v>30.302030352945309</v>
      </c>
      <c r="CG305" s="50">
        <f t="shared" si="1320"/>
        <v>44.00554178442097</v>
      </c>
      <c r="CH305" s="50">
        <f t="shared" si="1320"/>
        <v>32.488954859922309</v>
      </c>
      <c r="CI305" s="50">
        <f t="shared" si="1320"/>
        <v>23.160538438416456</v>
      </c>
      <c r="CJ305" s="50">
        <f t="shared" si="1320"/>
        <v>27.516914251254555</v>
      </c>
      <c r="CK305" s="50">
        <f t="shared" si="1320"/>
        <v>27.262873762114992</v>
      </c>
      <c r="CL305" s="50">
        <f t="shared" si="1320"/>
        <v>32.950429960898013</v>
      </c>
      <c r="CM305" s="50">
        <f t="shared" si="1320"/>
        <v>27.814073961478115</v>
      </c>
      <c r="CN305" s="50" t="str">
        <f t="shared" si="1320"/>
        <v/>
      </c>
      <c r="CO305" s="50" t="str">
        <f t="shared" si="1320"/>
        <v/>
      </c>
      <c r="CP305" s="50" t="str">
        <f t="shared" si="1320"/>
        <v/>
      </c>
      <c r="CQ305" s="50" t="str">
        <f t="shared" si="1320"/>
        <v/>
      </c>
      <c r="CR305" s="50" t="str">
        <f t="shared" si="1320"/>
        <v/>
      </c>
    </row>
    <row r="306" spans="1:96" s="9" customFormat="1" ht="15" x14ac:dyDescent="0.4">
      <c r="A306" s="25"/>
      <c r="B306" s="22"/>
      <c r="C306" s="22"/>
      <c r="D306" s="22"/>
      <c r="E306" s="22"/>
      <c r="F306" s="24"/>
      <c r="G306" s="22"/>
      <c r="H306" s="22"/>
      <c r="I306" s="22"/>
      <c r="J306" s="22"/>
      <c r="K306" s="24"/>
      <c r="L306" s="22"/>
      <c r="M306" s="22"/>
      <c r="N306" s="22"/>
      <c r="O306" s="22"/>
      <c r="P306" s="24"/>
      <c r="Q306" s="22"/>
      <c r="R306" s="22"/>
      <c r="S306" s="22"/>
      <c r="T306" s="22"/>
      <c r="U306" s="24"/>
      <c r="V306" s="22"/>
      <c r="W306" s="22"/>
      <c r="X306" s="22"/>
      <c r="Y306" s="22"/>
      <c r="Z306" s="24"/>
      <c r="AA306" s="22"/>
      <c r="AB306" s="22"/>
      <c r="AC306" s="22"/>
      <c r="AD306" s="22"/>
      <c r="AE306" s="24"/>
      <c r="AF306" s="22"/>
      <c r="AG306" s="22"/>
      <c r="AH306" s="22"/>
      <c r="AI306" s="22"/>
      <c r="AJ306" s="24"/>
      <c r="AK306" s="22"/>
      <c r="AL306" s="22"/>
      <c r="AM306" s="22"/>
      <c r="AN306" s="22"/>
      <c r="AO306" s="24"/>
      <c r="AP306" s="22"/>
      <c r="AQ306" s="22"/>
      <c r="AR306" s="22"/>
      <c r="AS306" s="22"/>
      <c r="AT306" s="24"/>
      <c r="AU306" s="22"/>
      <c r="AV306" s="22"/>
      <c r="AW306" s="22"/>
      <c r="AX306" s="22"/>
      <c r="AY306" s="24"/>
      <c r="AZ306" s="22"/>
      <c r="BA306" s="22"/>
      <c r="BB306" s="22"/>
      <c r="BC306" s="22"/>
      <c r="BD306" s="24"/>
      <c r="BE306" s="22"/>
      <c r="BF306" s="22"/>
      <c r="BG306" s="22"/>
      <c r="BH306" s="22"/>
      <c r="BI306" s="24"/>
      <c r="BJ306" s="22"/>
      <c r="BK306" s="22"/>
      <c r="BL306" s="22"/>
      <c r="BM306" s="22"/>
      <c r="BN306" s="24"/>
      <c r="BO306" s="22"/>
      <c r="BP306" s="22"/>
      <c r="BQ306" s="22"/>
      <c r="BR306" s="22"/>
      <c r="BS306" s="24"/>
      <c r="BT306" s="22"/>
      <c r="BU306" s="22"/>
      <c r="BV306" s="22"/>
      <c r="BW306" s="22"/>
      <c r="BX306" s="24"/>
      <c r="BY306" s="22"/>
      <c r="BZ306" s="22"/>
      <c r="CA306" s="22"/>
      <c r="CB306" s="22"/>
      <c r="CC306" s="24"/>
      <c r="CD306" s="22"/>
      <c r="CE306" s="22"/>
      <c r="CF306" s="22"/>
      <c r="CG306" s="22"/>
      <c r="CH306" s="24"/>
      <c r="CI306" s="22"/>
      <c r="CJ306" s="22"/>
      <c r="CK306" s="22"/>
      <c r="CL306" s="22"/>
      <c r="CM306" s="24"/>
      <c r="CN306" s="22"/>
      <c r="CO306" s="22"/>
      <c r="CP306" s="22"/>
      <c r="CQ306" s="22"/>
      <c r="CR306" s="24"/>
    </row>
    <row r="307" spans="1:96" s="17" customFormat="1" ht="15" x14ac:dyDescent="0.4">
      <c r="A307" s="15" t="s">
        <v>89</v>
      </c>
      <c r="B307" s="50">
        <f t="shared" ref="B307:BM309" si="1321">IFERROR(B51/B$61*100,"")</f>
        <v>49.158123874672405</v>
      </c>
      <c r="C307" s="50">
        <f t="shared" si="1321"/>
        <v>48.502593983760775</v>
      </c>
      <c r="D307" s="50">
        <f t="shared" si="1321"/>
        <v>48.216621440407643</v>
      </c>
      <c r="E307" s="50">
        <f t="shared" si="1321"/>
        <v>48.193792449584976</v>
      </c>
      <c r="F307" s="50">
        <f t="shared" si="1321"/>
        <v>48.508448346182384</v>
      </c>
      <c r="G307" s="50">
        <f t="shared" si="1321"/>
        <v>41.080222539394889</v>
      </c>
      <c r="H307" s="50">
        <f t="shared" si="1321"/>
        <v>41.381551924043357</v>
      </c>
      <c r="I307" s="50">
        <f t="shared" si="1321"/>
        <v>41.725075965657119</v>
      </c>
      <c r="J307" s="50">
        <f t="shared" si="1321"/>
        <v>42.119497192023069</v>
      </c>
      <c r="K307" s="50">
        <f t="shared" si="1321"/>
        <v>41.587734786333939</v>
      </c>
      <c r="L307" s="50">
        <f t="shared" si="1321"/>
        <v>39.235816077306822</v>
      </c>
      <c r="M307" s="50">
        <f t="shared" si="1321"/>
        <v>43.727149006543726</v>
      </c>
      <c r="N307" s="50">
        <f t="shared" si="1321"/>
        <v>43.476589898915073</v>
      </c>
      <c r="O307" s="50">
        <f t="shared" si="1321"/>
        <v>42.860900279719125</v>
      </c>
      <c r="P307" s="50">
        <f t="shared" si="1321"/>
        <v>42.361230225500677</v>
      </c>
      <c r="Q307" s="50">
        <f t="shared" si="1321"/>
        <v>46.007985224756467</v>
      </c>
      <c r="R307" s="50" t="str">
        <f t="shared" si="1321"/>
        <v/>
      </c>
      <c r="S307" s="50">
        <f t="shared" si="1321"/>
        <v>47.325445635065307</v>
      </c>
      <c r="T307" s="50">
        <f t="shared" si="1321"/>
        <v>47.633964597250056</v>
      </c>
      <c r="U307" s="50" t="str">
        <f t="shared" si="1321"/>
        <v/>
      </c>
      <c r="V307" s="50">
        <f t="shared" si="1321"/>
        <v>52.291275474952869</v>
      </c>
      <c r="W307" s="50">
        <f t="shared" si="1321"/>
        <v>54.81080758332569</v>
      </c>
      <c r="X307" s="50">
        <f t="shared" si="1321"/>
        <v>55.394236831383836</v>
      </c>
      <c r="Y307" s="50">
        <f t="shared" si="1321"/>
        <v>54.883532123742121</v>
      </c>
      <c r="Z307" s="50">
        <f t="shared" si="1321"/>
        <v>54.363206403258765</v>
      </c>
      <c r="AA307" s="50">
        <f t="shared" si="1321"/>
        <v>60.836562525155522</v>
      </c>
      <c r="AB307" s="50">
        <f t="shared" si="1321"/>
        <v>51.014829336679547</v>
      </c>
      <c r="AC307" s="50">
        <f t="shared" si="1321"/>
        <v>53.237327519013292</v>
      </c>
      <c r="AD307" s="50">
        <f t="shared" si="1321"/>
        <v>54.646433595760143</v>
      </c>
      <c r="AE307" s="50">
        <f t="shared" si="1321"/>
        <v>54.874198889414195</v>
      </c>
      <c r="AF307" s="50">
        <f t="shared" si="1321"/>
        <v>57.729185116771774</v>
      </c>
      <c r="AG307" s="50">
        <f t="shared" si="1321"/>
        <v>52.771456110434009</v>
      </c>
      <c r="AH307" s="50">
        <f t="shared" si="1321"/>
        <v>53.7305167254395</v>
      </c>
      <c r="AI307" s="50">
        <f t="shared" si="1321"/>
        <v>55.899965696455091</v>
      </c>
      <c r="AJ307" s="50">
        <f t="shared" si="1321"/>
        <v>55.025892962798537</v>
      </c>
      <c r="AK307" s="50">
        <f t="shared" si="1321"/>
        <v>53.513356750302506</v>
      </c>
      <c r="AL307" s="50">
        <f t="shared" si="1321"/>
        <v>55.087660038324934</v>
      </c>
      <c r="AM307" s="50">
        <f t="shared" si="1321"/>
        <v>56.272491775262509</v>
      </c>
      <c r="AN307" s="50">
        <f t="shared" si="1321"/>
        <v>58.78463044464899</v>
      </c>
      <c r="AO307" s="50">
        <f t="shared" si="1321"/>
        <v>55.981801099618124</v>
      </c>
      <c r="AP307" s="50">
        <f t="shared" si="1321"/>
        <v>55.827243592133236</v>
      </c>
      <c r="AQ307" s="50">
        <f t="shared" si="1321"/>
        <v>55.431918105705911</v>
      </c>
      <c r="AR307" s="50">
        <f t="shared" si="1321"/>
        <v>56.882322709541278</v>
      </c>
      <c r="AS307" s="50">
        <f t="shared" si="1321"/>
        <v>59.001758761492887</v>
      </c>
      <c r="AT307" s="50">
        <f t="shared" si="1321"/>
        <v>56.822915269041765</v>
      </c>
      <c r="AU307" s="50">
        <f t="shared" si="1321"/>
        <v>56.012526209622848</v>
      </c>
      <c r="AV307" s="50">
        <f t="shared" si="1321"/>
        <v>56.497112028398263</v>
      </c>
      <c r="AW307" s="50">
        <f t="shared" si="1321"/>
        <v>57.153988088342345</v>
      </c>
      <c r="AX307" s="50">
        <f t="shared" si="1321"/>
        <v>58.800578434235042</v>
      </c>
      <c r="AY307" s="50">
        <f t="shared" si="1321"/>
        <v>57.145263375204699</v>
      </c>
      <c r="AZ307" s="50">
        <f t="shared" si="1321"/>
        <v>57.305252228802736</v>
      </c>
      <c r="BA307" s="50">
        <f t="shared" si="1321"/>
        <v>56.835160456522949</v>
      </c>
      <c r="BB307" s="50">
        <f t="shared" si="1321"/>
        <v>55.996691241167909</v>
      </c>
      <c r="BC307" s="50">
        <f t="shared" si="1321"/>
        <v>56.279755009075082</v>
      </c>
      <c r="BD307" s="50">
        <f t="shared" si="1321"/>
        <v>56.589403528625382</v>
      </c>
      <c r="BE307" s="50">
        <f t="shared" si="1321"/>
        <v>55.497148768678173</v>
      </c>
      <c r="BF307" s="50">
        <f t="shared" si="1321"/>
        <v>55.453246663229059</v>
      </c>
      <c r="BG307" s="50">
        <f t="shared" si="1321"/>
        <v>57.026692623428666</v>
      </c>
      <c r="BH307" s="50">
        <f t="shared" si="1321"/>
        <v>58.519019778349204</v>
      </c>
      <c r="BI307" s="50">
        <f t="shared" si="1321"/>
        <v>56.65454274072215</v>
      </c>
      <c r="BJ307" s="50">
        <f t="shared" si="1321"/>
        <v>54.264226661399498</v>
      </c>
      <c r="BK307" s="50">
        <f t="shared" si="1321"/>
        <v>56.074593040052889</v>
      </c>
      <c r="BL307" s="50">
        <f t="shared" si="1321"/>
        <v>58.326989875856604</v>
      </c>
      <c r="BM307" s="50">
        <f t="shared" si="1321"/>
        <v>59.008542743918078</v>
      </c>
      <c r="BN307" s="50">
        <f t="shared" ref="BN307:CR309" si="1322">IFERROR(BN51/BN$61*100,"")</f>
        <v>56.920781769522854</v>
      </c>
      <c r="BO307" s="50">
        <f t="shared" si="1322"/>
        <v>58.079020744363952</v>
      </c>
      <c r="BP307" s="50">
        <f t="shared" si="1322"/>
        <v>56.179155556295449</v>
      </c>
      <c r="BQ307" s="50">
        <f t="shared" si="1322"/>
        <v>59.653679421131265</v>
      </c>
      <c r="BR307" s="50">
        <f t="shared" si="1322"/>
        <v>58.53757312201747</v>
      </c>
      <c r="BS307" s="50">
        <f t="shared" si="1322"/>
        <v>58.11620157822761</v>
      </c>
      <c r="BT307" s="50">
        <f t="shared" si="1322"/>
        <v>54.545470471371274</v>
      </c>
      <c r="BU307" s="50">
        <f t="shared" si="1322"/>
        <v>55.925679612745213</v>
      </c>
      <c r="BV307" s="50">
        <f t="shared" si="1322"/>
        <v>55.396252753567865</v>
      </c>
      <c r="BW307" s="50">
        <f t="shared" si="1322"/>
        <v>57.514435323694158</v>
      </c>
      <c r="BX307" s="50">
        <f t="shared" si="1322"/>
        <v>55.881270439923384</v>
      </c>
      <c r="BY307" s="50">
        <f t="shared" si="1322"/>
        <v>53.726007366719372</v>
      </c>
      <c r="BZ307" s="50">
        <f t="shared" si="1322"/>
        <v>52.0097105015873</v>
      </c>
      <c r="CA307" s="50">
        <f t="shared" si="1322"/>
        <v>55.345987441519895</v>
      </c>
      <c r="CB307" s="50">
        <f t="shared" si="1322"/>
        <v>54.594804632095297</v>
      </c>
      <c r="CC307" s="50">
        <f t="shared" si="1322"/>
        <v>53.924059864661366</v>
      </c>
      <c r="CD307" s="50">
        <f t="shared" si="1322"/>
        <v>52.253265050919936</v>
      </c>
      <c r="CE307" s="50">
        <f t="shared" si="1322"/>
        <v>51.612844390109757</v>
      </c>
      <c r="CF307" s="50">
        <f t="shared" si="1322"/>
        <v>53.145345911035058</v>
      </c>
      <c r="CG307" s="50">
        <f t="shared" si="1322"/>
        <v>53.634227139072856</v>
      </c>
      <c r="CH307" s="50">
        <f t="shared" si="1322"/>
        <v>52.675429843301735</v>
      </c>
      <c r="CI307" s="50">
        <f t="shared" si="1322"/>
        <v>50.604247681663537</v>
      </c>
      <c r="CJ307" s="50">
        <f t="shared" si="1322"/>
        <v>50.190111836736129</v>
      </c>
      <c r="CK307" s="50">
        <f t="shared" si="1322"/>
        <v>51.462948534911945</v>
      </c>
      <c r="CL307" s="50">
        <f t="shared" si="1322"/>
        <v>51.248284546572762</v>
      </c>
      <c r="CM307" s="50">
        <f t="shared" si="1322"/>
        <v>50.885024422734347</v>
      </c>
      <c r="CN307" s="50" t="str">
        <f t="shared" si="1322"/>
        <v/>
      </c>
      <c r="CO307" s="50" t="str">
        <f t="shared" si="1322"/>
        <v/>
      </c>
      <c r="CP307" s="50" t="str">
        <f t="shared" si="1322"/>
        <v/>
      </c>
      <c r="CQ307" s="50" t="str">
        <f t="shared" si="1322"/>
        <v/>
      </c>
      <c r="CR307" s="50" t="str">
        <f t="shared" si="1322"/>
        <v/>
      </c>
    </row>
    <row r="308" spans="1:96" s="9" customFormat="1" ht="15" x14ac:dyDescent="0.4">
      <c r="A308" s="18" t="s">
        <v>90</v>
      </c>
      <c r="B308" s="19">
        <f t="shared" si="1321"/>
        <v>24.689424509685338</v>
      </c>
      <c r="C308" s="19">
        <f t="shared" si="1321"/>
        <v>24.611237300987455</v>
      </c>
      <c r="D308" s="19">
        <f t="shared" si="1321"/>
        <v>24.978200550051806</v>
      </c>
      <c r="E308" s="19">
        <f t="shared" si="1321"/>
        <v>25.304037218534258</v>
      </c>
      <c r="F308" s="20">
        <f t="shared" si="1321"/>
        <v>24.902653343397105</v>
      </c>
      <c r="G308" s="19">
        <f t="shared" si="1321"/>
        <v>22.107749054153956</v>
      </c>
      <c r="H308" s="19">
        <f t="shared" si="1321"/>
        <v>22.419209825994152</v>
      </c>
      <c r="I308" s="19">
        <f t="shared" si="1321"/>
        <v>23.192395475991923</v>
      </c>
      <c r="J308" s="19">
        <f t="shared" si="1321"/>
        <v>24.231024192779362</v>
      </c>
      <c r="K308" s="20">
        <f t="shared" si="1321"/>
        <v>23.011428649083292</v>
      </c>
      <c r="L308" s="19">
        <f t="shared" si="1321"/>
        <v>21.958629369839013</v>
      </c>
      <c r="M308" s="19">
        <f t="shared" si="1321"/>
        <v>22.037942101374103</v>
      </c>
      <c r="N308" s="19">
        <f t="shared" si="1321"/>
        <v>22.74597878411749</v>
      </c>
      <c r="O308" s="19">
        <f t="shared" si="1321"/>
        <v>24.096525128791843</v>
      </c>
      <c r="P308" s="20">
        <f t="shared" si="1321"/>
        <v>22.730689725896173</v>
      </c>
      <c r="Q308" s="19">
        <f t="shared" si="1321"/>
        <v>22.810019641758739</v>
      </c>
      <c r="R308" s="19" t="str">
        <f t="shared" si="1321"/>
        <v/>
      </c>
      <c r="S308" s="19">
        <f t="shared" si="1321"/>
        <v>23.301218866701262</v>
      </c>
      <c r="T308" s="19">
        <f t="shared" si="1321"/>
        <v>24.192711362767302</v>
      </c>
      <c r="U308" s="20" t="str">
        <f t="shared" si="1321"/>
        <v/>
      </c>
      <c r="V308" s="19">
        <f t="shared" si="1321"/>
        <v>26.134925837537352</v>
      </c>
      <c r="W308" s="19">
        <f t="shared" si="1321"/>
        <v>27.116980351725655</v>
      </c>
      <c r="X308" s="19">
        <f t="shared" si="1321"/>
        <v>27.171634679552977</v>
      </c>
      <c r="Y308" s="19">
        <f t="shared" si="1321"/>
        <v>27.422744505861179</v>
      </c>
      <c r="Z308" s="20">
        <f t="shared" si="1321"/>
        <v>26.970001465791061</v>
      </c>
      <c r="AA308" s="19">
        <f t="shared" si="1321"/>
        <v>29.385103898877755</v>
      </c>
      <c r="AB308" s="19">
        <f t="shared" si="1321"/>
        <v>27.457088604104413</v>
      </c>
      <c r="AC308" s="19">
        <f t="shared" si="1321"/>
        <v>27.57233613542936</v>
      </c>
      <c r="AD308" s="19">
        <f t="shared" si="1321"/>
        <v>27.441481232644655</v>
      </c>
      <c r="AE308" s="20">
        <f t="shared" si="1321"/>
        <v>27.939609009646116</v>
      </c>
      <c r="AF308" s="19">
        <f t="shared" si="1321"/>
        <v>27.998700416195994</v>
      </c>
      <c r="AG308" s="19">
        <f t="shared" si="1321"/>
        <v>28.811373479884665</v>
      </c>
      <c r="AH308" s="19">
        <f t="shared" si="1321"/>
        <v>28.767993081199894</v>
      </c>
      <c r="AI308" s="19">
        <f t="shared" si="1321"/>
        <v>28.750816719997246</v>
      </c>
      <c r="AJ308" s="20">
        <f t="shared" si="1321"/>
        <v>28.587513557244463</v>
      </c>
      <c r="AK308" s="19">
        <f t="shared" si="1321"/>
        <v>27.719154785719251</v>
      </c>
      <c r="AL308" s="19">
        <f t="shared" si="1321"/>
        <v>29.024743064458207</v>
      </c>
      <c r="AM308" s="19">
        <f t="shared" si="1321"/>
        <v>29.444181516343161</v>
      </c>
      <c r="AN308" s="19">
        <f t="shared" si="1321"/>
        <v>30.431753456499372</v>
      </c>
      <c r="AO308" s="20">
        <f t="shared" si="1321"/>
        <v>29.188516785924751</v>
      </c>
      <c r="AP308" s="19">
        <f t="shared" si="1321"/>
        <v>28.991187246138484</v>
      </c>
      <c r="AQ308" s="19">
        <f t="shared" si="1321"/>
        <v>28.917150518131159</v>
      </c>
      <c r="AR308" s="19">
        <f t="shared" si="1321"/>
        <v>29.710979974965579</v>
      </c>
      <c r="AS308" s="19">
        <f t="shared" si="1321"/>
        <v>30.410062628754687</v>
      </c>
      <c r="AT308" s="20">
        <f t="shared" si="1321"/>
        <v>29.524379264839745</v>
      </c>
      <c r="AU308" s="19">
        <f t="shared" si="1321"/>
        <v>29.078779233818512</v>
      </c>
      <c r="AV308" s="19">
        <f t="shared" si="1321"/>
        <v>29.282013759525832</v>
      </c>
      <c r="AW308" s="19">
        <f t="shared" si="1321"/>
        <v>29.770252615969589</v>
      </c>
      <c r="AX308" s="19">
        <f t="shared" si="1321"/>
        <v>31.523043256303541</v>
      </c>
      <c r="AY308" s="20">
        <f t="shared" si="1321"/>
        <v>29.938918055856188</v>
      </c>
      <c r="AZ308" s="19">
        <f t="shared" si="1321"/>
        <v>29.715641338204644</v>
      </c>
      <c r="BA308" s="19">
        <f t="shared" si="1321"/>
        <v>29.771812540550236</v>
      </c>
      <c r="BB308" s="19">
        <f t="shared" si="1321"/>
        <v>29.410543932919524</v>
      </c>
      <c r="BC308" s="19">
        <f t="shared" si="1321"/>
        <v>29.906035433334637</v>
      </c>
      <c r="BD308" s="20">
        <f t="shared" si="1321"/>
        <v>29.701255964082318</v>
      </c>
      <c r="BE308" s="19">
        <f t="shared" si="1321"/>
        <v>29.340205384270078</v>
      </c>
      <c r="BF308" s="19">
        <f t="shared" si="1321"/>
        <v>29.193995601405849</v>
      </c>
      <c r="BG308" s="19">
        <f t="shared" si="1321"/>
        <v>29.925080701480628</v>
      </c>
      <c r="BH308" s="19">
        <f t="shared" si="1321"/>
        <v>30.53805383144746</v>
      </c>
      <c r="BI308" s="20">
        <f t="shared" si="1321"/>
        <v>29.761635106796668</v>
      </c>
      <c r="BJ308" s="19">
        <f t="shared" si="1321"/>
        <v>28.045084856557565</v>
      </c>
      <c r="BK308" s="19">
        <f t="shared" si="1321"/>
        <v>29.865041827664811</v>
      </c>
      <c r="BL308" s="19">
        <f t="shared" si="1321"/>
        <v>31.003745113524893</v>
      </c>
      <c r="BM308" s="19">
        <f t="shared" si="1321"/>
        <v>30.416177338942386</v>
      </c>
      <c r="BN308" s="20">
        <f t="shared" si="1322"/>
        <v>29.831841091203533</v>
      </c>
      <c r="BO308" s="19">
        <f t="shared" si="1322"/>
        <v>29.245824596515241</v>
      </c>
      <c r="BP308" s="19">
        <f t="shared" si="1322"/>
        <v>29.235221145802797</v>
      </c>
      <c r="BQ308" s="19">
        <f t="shared" si="1322"/>
        <v>31.676242015144162</v>
      </c>
      <c r="BR308" s="19">
        <f t="shared" si="1322"/>
        <v>31.357310322565475</v>
      </c>
      <c r="BS308" s="20">
        <f t="shared" si="1322"/>
        <v>30.398832428399832</v>
      </c>
      <c r="BT308" s="19">
        <f t="shared" si="1322"/>
        <v>28.086484847807551</v>
      </c>
      <c r="BU308" s="19">
        <f t="shared" si="1322"/>
        <v>28.742946154174703</v>
      </c>
      <c r="BV308" s="19">
        <f t="shared" si="1322"/>
        <v>28.377316046884278</v>
      </c>
      <c r="BW308" s="19">
        <f t="shared" si="1322"/>
        <v>30.049330505398881</v>
      </c>
      <c r="BX308" s="20">
        <f t="shared" si="1322"/>
        <v>28.836957147495383</v>
      </c>
      <c r="BY308" s="19">
        <f t="shared" si="1322"/>
        <v>27.834547677743128</v>
      </c>
      <c r="BZ308" s="19">
        <f t="shared" si="1322"/>
        <v>25.54056018740124</v>
      </c>
      <c r="CA308" s="19">
        <f t="shared" si="1322"/>
        <v>27.941600399417439</v>
      </c>
      <c r="CB308" s="19">
        <f t="shared" si="1322"/>
        <v>27.630256633634875</v>
      </c>
      <c r="CC308" s="20">
        <f t="shared" si="1322"/>
        <v>27.229876867133246</v>
      </c>
      <c r="CD308" s="19">
        <f t="shared" si="1322"/>
        <v>26.520434345908601</v>
      </c>
      <c r="CE308" s="19">
        <f t="shared" si="1322"/>
        <v>25.954182680840475</v>
      </c>
      <c r="CF308" s="19">
        <f t="shared" si="1322"/>
        <v>26.616514166439977</v>
      </c>
      <c r="CG308" s="19">
        <f t="shared" si="1322"/>
        <v>26.820267971163219</v>
      </c>
      <c r="CH308" s="20">
        <f t="shared" si="1322"/>
        <v>26.480831670632419</v>
      </c>
      <c r="CI308" s="19">
        <f t="shared" si="1322"/>
        <v>25.408113117490817</v>
      </c>
      <c r="CJ308" s="19">
        <f t="shared" si="1322"/>
        <v>25.195645903796688</v>
      </c>
      <c r="CK308" s="19">
        <f t="shared" si="1322"/>
        <v>25.925452338536232</v>
      </c>
      <c r="CL308" s="19">
        <f t="shared" si="1322"/>
        <v>25.721003664985666</v>
      </c>
      <c r="CM308" s="20">
        <f t="shared" si="1322"/>
        <v>25.566929021225803</v>
      </c>
      <c r="CN308" s="19" t="str">
        <f t="shared" si="1322"/>
        <v/>
      </c>
      <c r="CO308" s="19" t="str">
        <f t="shared" si="1322"/>
        <v/>
      </c>
      <c r="CP308" s="19" t="str">
        <f t="shared" si="1322"/>
        <v/>
      </c>
      <c r="CQ308" s="19" t="str">
        <f t="shared" si="1322"/>
        <v/>
      </c>
      <c r="CR308" s="20" t="str">
        <f t="shared" si="1322"/>
        <v/>
      </c>
    </row>
    <row r="309" spans="1:96" s="9" customFormat="1" ht="15" x14ac:dyDescent="0.4">
      <c r="A309" s="18" t="s">
        <v>91</v>
      </c>
      <c r="B309" s="19">
        <f t="shared" si="1321"/>
        <v>24.468699364987067</v>
      </c>
      <c r="C309" s="19">
        <f t="shared" si="1321"/>
        <v>23.891356682773321</v>
      </c>
      <c r="D309" s="19">
        <f t="shared" si="1321"/>
        <v>23.23842089035584</v>
      </c>
      <c r="E309" s="19">
        <f t="shared" si="1321"/>
        <v>22.889755231050721</v>
      </c>
      <c r="F309" s="20">
        <f t="shared" si="1321"/>
        <v>23.605795002785282</v>
      </c>
      <c r="G309" s="19">
        <f t="shared" si="1321"/>
        <v>18.972473485240933</v>
      </c>
      <c r="H309" s="19">
        <f t="shared" si="1321"/>
        <v>18.962342098049206</v>
      </c>
      <c r="I309" s="19">
        <f t="shared" si="1321"/>
        <v>18.532680489665196</v>
      </c>
      <c r="J309" s="19">
        <f t="shared" si="1321"/>
        <v>17.888472999243703</v>
      </c>
      <c r="K309" s="20">
        <f t="shared" si="1321"/>
        <v>18.576306137250647</v>
      </c>
      <c r="L309" s="19">
        <f t="shared" si="1321"/>
        <v>17.277186707467806</v>
      </c>
      <c r="M309" s="19">
        <f t="shared" si="1321"/>
        <v>21.68920690516962</v>
      </c>
      <c r="N309" s="19">
        <f t="shared" si="1321"/>
        <v>20.73061111479759</v>
      </c>
      <c r="O309" s="19">
        <f t="shared" si="1321"/>
        <v>18.764375150927275</v>
      </c>
      <c r="P309" s="20">
        <f t="shared" si="1321"/>
        <v>19.6305404996045</v>
      </c>
      <c r="Q309" s="19">
        <f t="shared" si="1321"/>
        <v>23.197965582997732</v>
      </c>
      <c r="R309" s="19" t="str">
        <f t="shared" si="1321"/>
        <v/>
      </c>
      <c r="S309" s="19">
        <f t="shared" si="1321"/>
        <v>24.024226768364041</v>
      </c>
      <c r="T309" s="19">
        <f t="shared" si="1321"/>
        <v>23.441253234482755</v>
      </c>
      <c r="U309" s="20" t="str">
        <f t="shared" si="1321"/>
        <v/>
      </c>
      <c r="V309" s="19">
        <f t="shared" si="1321"/>
        <v>26.156349637415527</v>
      </c>
      <c r="W309" s="19">
        <f t="shared" si="1321"/>
        <v>27.693827231600039</v>
      </c>
      <c r="X309" s="19">
        <f t="shared" si="1321"/>
        <v>28.222602151830863</v>
      </c>
      <c r="Y309" s="19">
        <f t="shared" si="1321"/>
        <v>27.460787617880939</v>
      </c>
      <c r="Z309" s="20">
        <f t="shared" si="1321"/>
        <v>27.393204937467715</v>
      </c>
      <c r="AA309" s="19">
        <f t="shared" si="1321"/>
        <v>31.451458626277766</v>
      </c>
      <c r="AB309" s="19">
        <f t="shared" si="1321"/>
        <v>23.557740732575134</v>
      </c>
      <c r="AC309" s="19">
        <f t="shared" si="1321"/>
        <v>25.664991383583924</v>
      </c>
      <c r="AD309" s="19">
        <f t="shared" si="1321"/>
        <v>27.204952363115499</v>
      </c>
      <c r="AE309" s="20">
        <f t="shared" si="1321"/>
        <v>26.934589879768083</v>
      </c>
      <c r="AF309" s="19">
        <f t="shared" si="1321"/>
        <v>29.730484700575783</v>
      </c>
      <c r="AG309" s="19">
        <f t="shared" si="1321"/>
        <v>23.960082630549351</v>
      </c>
      <c r="AH309" s="19">
        <f t="shared" si="1321"/>
        <v>24.962523644239607</v>
      </c>
      <c r="AI309" s="19">
        <f t="shared" si="1321"/>
        <v>27.149148976457838</v>
      </c>
      <c r="AJ309" s="20">
        <f t="shared" si="1321"/>
        <v>26.438379405554073</v>
      </c>
      <c r="AK309" s="19">
        <f t="shared" si="1321"/>
        <v>25.794201964583259</v>
      </c>
      <c r="AL309" s="19">
        <f t="shared" si="1321"/>
        <v>26.062916973866734</v>
      </c>
      <c r="AM309" s="19">
        <f t="shared" si="1321"/>
        <v>26.828310258919359</v>
      </c>
      <c r="AN309" s="19">
        <f t="shared" si="1321"/>
        <v>28.352876988149628</v>
      </c>
      <c r="AO309" s="20">
        <f t="shared" si="1321"/>
        <v>26.793284313693373</v>
      </c>
      <c r="AP309" s="19">
        <f t="shared" si="1321"/>
        <v>26.836056345994759</v>
      </c>
      <c r="AQ309" s="19">
        <f t="shared" si="1321"/>
        <v>26.514767587574749</v>
      </c>
      <c r="AR309" s="19">
        <f t="shared" si="1321"/>
        <v>27.171342734575699</v>
      </c>
      <c r="AS309" s="19">
        <f t="shared" si="1321"/>
        <v>28.591696132738203</v>
      </c>
      <c r="AT309" s="20">
        <f t="shared" si="1321"/>
        <v>27.298536004202017</v>
      </c>
      <c r="AU309" s="19">
        <f t="shared" si="1321"/>
        <v>26.933746975804336</v>
      </c>
      <c r="AV309" s="19">
        <f t="shared" si="1321"/>
        <v>27.215098268872435</v>
      </c>
      <c r="AW309" s="19">
        <f t="shared" si="1321"/>
        <v>27.383735472372749</v>
      </c>
      <c r="AX309" s="19">
        <f t="shared" si="1321"/>
        <v>27.277535177931494</v>
      </c>
      <c r="AY309" s="20">
        <f t="shared" si="1321"/>
        <v>27.2063453193485</v>
      </c>
      <c r="AZ309" s="19">
        <f t="shared" si="1321"/>
        <v>27.589610890598092</v>
      </c>
      <c r="BA309" s="19">
        <f t="shared" si="1321"/>
        <v>27.063347915972713</v>
      </c>
      <c r="BB309" s="19">
        <f t="shared" si="1321"/>
        <v>26.586147308248382</v>
      </c>
      <c r="BC309" s="19">
        <f t="shared" si="1321"/>
        <v>26.373719575740452</v>
      </c>
      <c r="BD309" s="20">
        <f t="shared" si="1321"/>
        <v>26.888147564543065</v>
      </c>
      <c r="BE309" s="19">
        <f t="shared" si="1321"/>
        <v>26.156943384408098</v>
      </c>
      <c r="BF309" s="19">
        <f t="shared" si="1321"/>
        <v>26.259251061823218</v>
      </c>
      <c r="BG309" s="19">
        <f t="shared" si="1321"/>
        <v>27.101611921948031</v>
      </c>
      <c r="BH309" s="19">
        <f t="shared" si="1321"/>
        <v>27.980965946901744</v>
      </c>
      <c r="BI309" s="20">
        <f t="shared" si="1321"/>
        <v>26.892907633925489</v>
      </c>
      <c r="BJ309" s="19">
        <f t="shared" si="1321"/>
        <v>26.219141804841929</v>
      </c>
      <c r="BK309" s="19">
        <f t="shared" si="1321"/>
        <v>26.209551212388078</v>
      </c>
      <c r="BL309" s="19">
        <f t="shared" si="1321"/>
        <v>27.323244762331711</v>
      </c>
      <c r="BM309" s="19">
        <f t="shared" si="1321"/>
        <v>28.592365404975695</v>
      </c>
      <c r="BN309" s="20">
        <f t="shared" si="1322"/>
        <v>27.088940678319322</v>
      </c>
      <c r="BO309" s="19">
        <f t="shared" si="1322"/>
        <v>28.833196147848717</v>
      </c>
      <c r="BP309" s="19">
        <f t="shared" si="1322"/>
        <v>26.943934410492659</v>
      </c>
      <c r="BQ309" s="19">
        <f t="shared" si="1322"/>
        <v>27.977437405987111</v>
      </c>
      <c r="BR309" s="19">
        <f t="shared" si="1322"/>
        <v>27.180262799451992</v>
      </c>
      <c r="BS309" s="20">
        <f t="shared" si="1322"/>
        <v>27.717369149827775</v>
      </c>
      <c r="BT309" s="19">
        <f t="shared" si="1322"/>
        <v>26.458985623563724</v>
      </c>
      <c r="BU309" s="19">
        <f t="shared" si="1322"/>
        <v>27.182733458570514</v>
      </c>
      <c r="BV309" s="19">
        <f t="shared" si="1322"/>
        <v>27.01893670668359</v>
      </c>
      <c r="BW309" s="19">
        <f t="shared" si="1322"/>
        <v>27.465104818295284</v>
      </c>
      <c r="BX309" s="20">
        <f t="shared" si="1322"/>
        <v>27.04431329242799</v>
      </c>
      <c r="BY309" s="19">
        <f t="shared" si="1322"/>
        <v>25.891459688976248</v>
      </c>
      <c r="BZ309" s="19">
        <f t="shared" si="1322"/>
        <v>26.469150314186063</v>
      </c>
      <c r="CA309" s="19">
        <f t="shared" si="1322"/>
        <v>27.404387042102467</v>
      </c>
      <c r="CB309" s="19">
        <f t="shared" si="1322"/>
        <v>26.964547998460432</v>
      </c>
      <c r="CC309" s="20">
        <f t="shared" si="1322"/>
        <v>26.694182997528127</v>
      </c>
      <c r="CD309" s="19">
        <f t="shared" si="1322"/>
        <v>25.732830705011338</v>
      </c>
      <c r="CE309" s="19">
        <f t="shared" si="1322"/>
        <v>25.658661709269285</v>
      </c>
      <c r="CF309" s="19">
        <f t="shared" si="1322"/>
        <v>26.528831744595088</v>
      </c>
      <c r="CG309" s="19">
        <f t="shared" si="1322"/>
        <v>26.81395916790963</v>
      </c>
      <c r="CH309" s="20">
        <f t="shared" si="1322"/>
        <v>26.194598172669309</v>
      </c>
      <c r="CI309" s="19">
        <f t="shared" si="1322"/>
        <v>25.196134564172723</v>
      </c>
      <c r="CJ309" s="19">
        <f t="shared" si="1322"/>
        <v>24.994465932939448</v>
      </c>
      <c r="CK309" s="19">
        <f t="shared" si="1322"/>
        <v>25.537496196375713</v>
      </c>
      <c r="CL309" s="19">
        <f t="shared" si="1322"/>
        <v>25.52728088158711</v>
      </c>
      <c r="CM309" s="20">
        <f t="shared" si="1322"/>
        <v>25.318095401508558</v>
      </c>
      <c r="CN309" s="19" t="str">
        <f t="shared" si="1322"/>
        <v/>
      </c>
      <c r="CO309" s="19" t="str">
        <f t="shared" si="1322"/>
        <v/>
      </c>
      <c r="CP309" s="19" t="str">
        <f t="shared" si="1322"/>
        <v/>
      </c>
      <c r="CQ309" s="19" t="str">
        <f t="shared" si="1322"/>
        <v/>
      </c>
      <c r="CR309" s="20" t="str">
        <f t="shared" si="1322"/>
        <v/>
      </c>
    </row>
    <row r="310" spans="1:96" s="9" customFormat="1" ht="15" x14ac:dyDescent="0.4">
      <c r="A310" s="25"/>
      <c r="B310" s="22"/>
      <c r="C310" s="22"/>
      <c r="D310" s="22"/>
      <c r="E310" s="22"/>
      <c r="F310" s="24"/>
      <c r="G310" s="22"/>
      <c r="H310" s="22"/>
      <c r="I310" s="22"/>
      <c r="J310" s="22"/>
      <c r="K310" s="24"/>
      <c r="L310" s="22"/>
      <c r="M310" s="22"/>
      <c r="N310" s="22"/>
      <c r="O310" s="22"/>
      <c r="P310" s="24"/>
      <c r="Q310" s="22"/>
      <c r="R310" s="22"/>
      <c r="S310" s="22"/>
      <c r="T310" s="22"/>
      <c r="U310" s="24"/>
      <c r="V310" s="22"/>
      <c r="W310" s="22"/>
      <c r="X310" s="22"/>
      <c r="Y310" s="22"/>
      <c r="Z310" s="24"/>
      <c r="AA310" s="22"/>
      <c r="AB310" s="22"/>
      <c r="AC310" s="22"/>
      <c r="AD310" s="22"/>
      <c r="AE310" s="24"/>
      <c r="AF310" s="22"/>
      <c r="AG310" s="22"/>
      <c r="AH310" s="22"/>
      <c r="AI310" s="22"/>
      <c r="AJ310" s="24"/>
      <c r="AK310" s="22"/>
      <c r="AL310" s="22"/>
      <c r="AM310" s="22"/>
      <c r="AN310" s="22"/>
      <c r="AO310" s="24"/>
      <c r="AP310" s="22"/>
      <c r="AQ310" s="22"/>
      <c r="AR310" s="22"/>
      <c r="AS310" s="22"/>
      <c r="AT310" s="24"/>
      <c r="AU310" s="22"/>
      <c r="AV310" s="22"/>
      <c r="AW310" s="22"/>
      <c r="AX310" s="22"/>
      <c r="AY310" s="24"/>
      <c r="AZ310" s="22"/>
      <c r="BA310" s="22"/>
      <c r="BB310" s="22"/>
      <c r="BC310" s="22"/>
      <c r="BD310" s="24"/>
      <c r="BE310" s="22"/>
      <c r="BF310" s="22"/>
      <c r="BG310" s="22"/>
      <c r="BH310" s="22"/>
      <c r="BI310" s="24"/>
      <c r="BJ310" s="22"/>
      <c r="BK310" s="22"/>
      <c r="BL310" s="22"/>
      <c r="BM310" s="22"/>
      <c r="BN310" s="24"/>
      <c r="BO310" s="22"/>
      <c r="BP310" s="22"/>
      <c r="BQ310" s="22"/>
      <c r="BR310" s="22"/>
      <c r="BS310" s="24"/>
      <c r="BT310" s="22"/>
      <c r="BU310" s="22"/>
      <c r="BV310" s="22"/>
      <c r="BW310" s="22"/>
      <c r="BX310" s="24"/>
      <c r="BY310" s="22"/>
      <c r="BZ310" s="22"/>
      <c r="CA310" s="22"/>
      <c r="CB310" s="22"/>
      <c r="CC310" s="24"/>
      <c r="CD310" s="22"/>
      <c r="CE310" s="22"/>
      <c r="CF310" s="22"/>
      <c r="CG310" s="22"/>
      <c r="CH310" s="24"/>
      <c r="CI310" s="22"/>
      <c r="CJ310" s="22"/>
      <c r="CK310" s="22"/>
      <c r="CL310" s="22"/>
      <c r="CM310" s="24"/>
      <c r="CN310" s="22"/>
      <c r="CO310" s="22"/>
      <c r="CP310" s="22"/>
      <c r="CQ310" s="22"/>
      <c r="CR310" s="24"/>
    </row>
    <row r="311" spans="1:96" s="17" customFormat="1" ht="15" x14ac:dyDescent="0.4">
      <c r="A311" s="15" t="s">
        <v>92</v>
      </c>
      <c r="B311" s="50">
        <f t="shared" ref="B311:BM311" si="1323">IFERROR(B55/B$61*100,"")</f>
        <v>1.670481021340934</v>
      </c>
      <c r="C311" s="50">
        <f t="shared" si="1323"/>
        <v>1.557009729208428</v>
      </c>
      <c r="D311" s="50">
        <f t="shared" si="1323"/>
        <v>3.602986079644082</v>
      </c>
      <c r="E311" s="50">
        <f t="shared" si="1323"/>
        <v>0.31982298190730357</v>
      </c>
      <c r="F311" s="50">
        <f t="shared" si="1323"/>
        <v>1.7759506563705687</v>
      </c>
      <c r="G311" s="50">
        <f t="shared" si="1323"/>
        <v>1.066698314684045</v>
      </c>
      <c r="H311" s="50">
        <f t="shared" si="1323"/>
        <v>1.0807591063745963</v>
      </c>
      <c r="I311" s="50">
        <f t="shared" si="1323"/>
        <v>1.2489676117898632</v>
      </c>
      <c r="J311" s="50">
        <f t="shared" si="1323"/>
        <v>0.65373151602563462</v>
      </c>
      <c r="K311" s="50">
        <f t="shared" si="1323"/>
        <v>1.0080505988596091</v>
      </c>
      <c r="L311" s="50">
        <f t="shared" si="1323"/>
        <v>1.0634609098602374</v>
      </c>
      <c r="M311" s="50">
        <f t="shared" si="1323"/>
        <v>2.1565439931920354</v>
      </c>
      <c r="N311" s="50">
        <f t="shared" si="1323"/>
        <v>2.8926379842415044</v>
      </c>
      <c r="O311" s="50">
        <f t="shared" si="1323"/>
        <v>0.71970290549552629</v>
      </c>
      <c r="P311" s="50">
        <f t="shared" si="1323"/>
        <v>1.7084378703467975</v>
      </c>
      <c r="Q311" s="50">
        <f t="shared" si="1323"/>
        <v>1.9283392091220362</v>
      </c>
      <c r="R311" s="50" t="str">
        <f t="shared" si="1323"/>
        <v/>
      </c>
      <c r="S311" s="50">
        <f t="shared" si="1323"/>
        <v>1.4262035726480553</v>
      </c>
      <c r="T311" s="50">
        <f t="shared" si="1323"/>
        <v>0.88983074821158281</v>
      </c>
      <c r="U311" s="50" t="str">
        <f t="shared" si="1323"/>
        <v/>
      </c>
      <c r="V311" s="50">
        <f t="shared" si="1323"/>
        <v>3.155614793010471</v>
      </c>
      <c r="W311" s="50">
        <f t="shared" si="1323"/>
        <v>2.4898598046833378</v>
      </c>
      <c r="X311" s="50">
        <f t="shared" si="1323"/>
        <v>1.5820177288427248</v>
      </c>
      <c r="Y311" s="50">
        <f t="shared" si="1323"/>
        <v>1.0064936291677256</v>
      </c>
      <c r="Z311" s="50">
        <f t="shared" si="1323"/>
        <v>2.0444309678895394</v>
      </c>
      <c r="AA311" s="50">
        <f t="shared" si="1323"/>
        <v>2.3323379294615467</v>
      </c>
      <c r="AB311" s="50">
        <f t="shared" si="1323"/>
        <v>2.0873591375526459</v>
      </c>
      <c r="AC311" s="50">
        <f t="shared" si="1323"/>
        <v>0.94935717162770439</v>
      </c>
      <c r="AD311" s="50">
        <f t="shared" si="1323"/>
        <v>0.76303889539247904</v>
      </c>
      <c r="AE311" s="50">
        <f t="shared" si="1323"/>
        <v>1.5054206854822336</v>
      </c>
      <c r="AF311" s="50">
        <f t="shared" si="1323"/>
        <v>1.7014202773886895</v>
      </c>
      <c r="AG311" s="50">
        <f t="shared" si="1323"/>
        <v>2.0293215043156563</v>
      </c>
      <c r="AH311" s="50">
        <f t="shared" si="1323"/>
        <v>1.7278404163215708</v>
      </c>
      <c r="AI311" s="50">
        <f t="shared" si="1323"/>
        <v>0.57146541884251556</v>
      </c>
      <c r="AJ311" s="50">
        <f t="shared" si="1323"/>
        <v>1.4966283507160072</v>
      </c>
      <c r="AK311" s="50">
        <f t="shared" si="1323"/>
        <v>1.0445529865230299</v>
      </c>
      <c r="AL311" s="50">
        <f t="shared" si="1323"/>
        <v>1.1347202361201727</v>
      </c>
      <c r="AM311" s="50">
        <f t="shared" si="1323"/>
        <v>1.1769647308432223</v>
      </c>
      <c r="AN311" s="50">
        <f t="shared" si="1323"/>
        <v>1.1399734597862208</v>
      </c>
      <c r="AO311" s="50">
        <f t="shared" si="1323"/>
        <v>1.1252831514289539</v>
      </c>
      <c r="AP311" s="50">
        <f t="shared" si="1323"/>
        <v>1.1799022809213962</v>
      </c>
      <c r="AQ311" s="50">
        <f t="shared" si="1323"/>
        <v>1.1327239470427013</v>
      </c>
      <c r="AR311" s="50">
        <f t="shared" si="1323"/>
        <v>1.094230631910061</v>
      </c>
      <c r="AS311" s="50">
        <f t="shared" si="1323"/>
        <v>1.0703483189178604</v>
      </c>
      <c r="AT311" s="50">
        <f t="shared" si="1323"/>
        <v>1.1180195845745098</v>
      </c>
      <c r="AU311" s="50">
        <f t="shared" si="1323"/>
        <v>1.1163357303952293</v>
      </c>
      <c r="AV311" s="50">
        <f t="shared" si="1323"/>
        <v>1.0973500911215972</v>
      </c>
      <c r="AW311" s="50">
        <f t="shared" si="1323"/>
        <v>1.0914552077999069</v>
      </c>
      <c r="AX311" s="50">
        <f t="shared" si="1323"/>
        <v>1.072859515199448</v>
      </c>
      <c r="AY311" s="50">
        <f t="shared" si="1323"/>
        <v>1.0940594448247907</v>
      </c>
      <c r="AZ311" s="50">
        <f t="shared" si="1323"/>
        <v>1.1029816883850463</v>
      </c>
      <c r="BA311" s="50">
        <f t="shared" si="1323"/>
        <v>1.0994670288321589</v>
      </c>
      <c r="BB311" s="50">
        <f t="shared" si="1323"/>
        <v>1.0764072739853925</v>
      </c>
      <c r="BC311" s="50">
        <f t="shared" si="1323"/>
        <v>1.0459503046102916</v>
      </c>
      <c r="BD311" s="50">
        <f t="shared" si="1323"/>
        <v>1.0805042276918733</v>
      </c>
      <c r="BE311" s="50">
        <f t="shared" si="1323"/>
        <v>1.0410139198586112</v>
      </c>
      <c r="BF311" s="50">
        <f t="shared" si="1323"/>
        <v>1.0273804780735201</v>
      </c>
      <c r="BG311" s="50">
        <f t="shared" si="1323"/>
        <v>1.0111763000300629</v>
      </c>
      <c r="BH311" s="50">
        <f t="shared" si="1323"/>
        <v>1.0061795702320333</v>
      </c>
      <c r="BI311" s="50">
        <f t="shared" si="1323"/>
        <v>1.0210718603619819</v>
      </c>
      <c r="BJ311" s="50">
        <f t="shared" si="1323"/>
        <v>1.0449832995230519</v>
      </c>
      <c r="BK311" s="50">
        <f t="shared" si="1323"/>
        <v>1.049224126114737</v>
      </c>
      <c r="BL311" s="50">
        <f t="shared" si="1323"/>
        <v>1.0484394962467307</v>
      </c>
      <c r="BM311" s="50">
        <f t="shared" si="1323"/>
        <v>1.0368481025885234</v>
      </c>
      <c r="BN311" s="50">
        <f t="shared" ref="BN311:CR311" si="1324">IFERROR(BN55/BN$61*100,"")</f>
        <v>1.0448573307018159</v>
      </c>
      <c r="BO311" s="50">
        <f t="shared" si="1324"/>
        <v>1.0435853292185784</v>
      </c>
      <c r="BP311" s="50">
        <f t="shared" si="1324"/>
        <v>0.95264716935371963</v>
      </c>
      <c r="BQ311" s="50">
        <f t="shared" si="1324"/>
        <v>0.92684206712394457</v>
      </c>
      <c r="BR311" s="50">
        <f t="shared" si="1324"/>
        <v>0.91123563223688109</v>
      </c>
      <c r="BS311" s="50">
        <f t="shared" si="1324"/>
        <v>0.95727439299471973</v>
      </c>
      <c r="BT311" s="50">
        <f t="shared" si="1324"/>
        <v>0.95760779403590135</v>
      </c>
      <c r="BU311" s="50">
        <f t="shared" si="1324"/>
        <v>0.90557174579402389</v>
      </c>
      <c r="BV311" s="50">
        <f t="shared" si="1324"/>
        <v>0.8987918091303343</v>
      </c>
      <c r="BW311" s="50">
        <f t="shared" si="1324"/>
        <v>0.86899025253603357</v>
      </c>
      <c r="BX311" s="50">
        <f t="shared" si="1324"/>
        <v>0.9065853629365761</v>
      </c>
      <c r="BY311" s="50">
        <f t="shared" si="1324"/>
        <v>0.93103217096829316</v>
      </c>
      <c r="BZ311" s="50">
        <f t="shared" si="1324"/>
        <v>0.87157073441113453</v>
      </c>
      <c r="CA311" s="50">
        <f t="shared" si="1324"/>
        <v>0.85764937525605911</v>
      </c>
      <c r="CB311" s="50">
        <f t="shared" si="1324"/>
        <v>0.82700046331851285</v>
      </c>
      <c r="CC311" s="50">
        <f t="shared" si="1324"/>
        <v>0.8708038530863691</v>
      </c>
      <c r="CD311" s="50">
        <f t="shared" si="1324"/>
        <v>0.88771074569540287</v>
      </c>
      <c r="CE311" s="50">
        <f t="shared" si="1324"/>
        <v>0.84928424860760288</v>
      </c>
      <c r="CF311" s="50">
        <f t="shared" si="1324"/>
        <v>0.83786247825778504</v>
      </c>
      <c r="CG311" s="50">
        <f t="shared" si="1324"/>
        <v>0.7944035553338743</v>
      </c>
      <c r="CH311" s="50">
        <f t="shared" si="1324"/>
        <v>0.84144337714547535</v>
      </c>
      <c r="CI311" s="50">
        <f t="shared" si="1324"/>
        <v>0.84653531136572957</v>
      </c>
      <c r="CJ311" s="50">
        <f t="shared" si="1324"/>
        <v>0.78630013091597828</v>
      </c>
      <c r="CK311" s="50">
        <f t="shared" si="1324"/>
        <v>0.81176434166646427</v>
      </c>
      <c r="CL311" s="50">
        <f t="shared" si="1324"/>
        <v>0.77894551507020604</v>
      </c>
      <c r="CM311" s="50">
        <f t="shared" si="1324"/>
        <v>0.80531802553719201</v>
      </c>
      <c r="CN311" s="50" t="str">
        <f t="shared" si="1324"/>
        <v/>
      </c>
      <c r="CO311" s="50" t="str">
        <f t="shared" si="1324"/>
        <v/>
      </c>
      <c r="CP311" s="50" t="str">
        <f t="shared" si="1324"/>
        <v/>
      </c>
      <c r="CQ311" s="50" t="str">
        <f t="shared" si="1324"/>
        <v/>
      </c>
      <c r="CR311" s="50" t="str">
        <f t="shared" si="1324"/>
        <v/>
      </c>
    </row>
    <row r="312" spans="1:96" s="9" customFormat="1" ht="15" x14ac:dyDescent="0.4">
      <c r="A312" s="25"/>
      <c r="B312" s="22"/>
      <c r="C312" s="22"/>
      <c r="D312" s="22"/>
      <c r="E312" s="22"/>
      <c r="F312" s="24"/>
      <c r="G312" s="22"/>
      <c r="H312" s="22"/>
      <c r="I312" s="22"/>
      <c r="J312" s="22"/>
      <c r="K312" s="24"/>
      <c r="L312" s="22"/>
      <c r="M312" s="22"/>
      <c r="N312" s="22"/>
      <c r="O312" s="22"/>
      <c r="P312" s="24"/>
      <c r="Q312" s="22"/>
      <c r="R312" s="22"/>
      <c r="S312" s="22"/>
      <c r="T312" s="22"/>
      <c r="U312" s="24"/>
      <c r="V312" s="22"/>
      <c r="W312" s="22"/>
      <c r="X312" s="22"/>
      <c r="Y312" s="22"/>
      <c r="Z312" s="24"/>
      <c r="AA312" s="22"/>
      <c r="AB312" s="22"/>
      <c r="AC312" s="22"/>
      <c r="AD312" s="22"/>
      <c r="AE312" s="24"/>
      <c r="AF312" s="22"/>
      <c r="AG312" s="22"/>
      <c r="AH312" s="22"/>
      <c r="AI312" s="22"/>
      <c r="AJ312" s="24"/>
      <c r="AK312" s="22"/>
      <c r="AL312" s="22"/>
      <c r="AM312" s="22"/>
      <c r="AN312" s="22"/>
      <c r="AO312" s="24"/>
      <c r="AP312" s="22"/>
      <c r="AQ312" s="22"/>
      <c r="AR312" s="22"/>
      <c r="AS312" s="22"/>
      <c r="AT312" s="24"/>
      <c r="AU312" s="22"/>
      <c r="AV312" s="22"/>
      <c r="AW312" s="22"/>
      <c r="AX312" s="22"/>
      <c r="AY312" s="24"/>
      <c r="AZ312" s="22"/>
      <c r="BA312" s="22"/>
      <c r="BB312" s="22"/>
      <c r="BC312" s="22"/>
      <c r="BD312" s="24"/>
      <c r="BE312" s="22"/>
      <c r="BF312" s="22"/>
      <c r="BG312" s="22"/>
      <c r="BH312" s="22"/>
      <c r="BI312" s="24"/>
      <c r="BJ312" s="22"/>
      <c r="BK312" s="22"/>
      <c r="BL312" s="22"/>
      <c r="BM312" s="22"/>
      <c r="BN312" s="24"/>
      <c r="BO312" s="22"/>
      <c r="BP312" s="22"/>
      <c r="BQ312" s="22"/>
      <c r="BR312" s="22"/>
      <c r="BS312" s="24"/>
      <c r="BT312" s="22"/>
      <c r="BU312" s="22"/>
      <c r="BV312" s="22"/>
      <c r="BW312" s="22"/>
      <c r="BX312" s="24"/>
      <c r="BY312" s="22"/>
      <c r="BZ312" s="22"/>
      <c r="CA312" s="22"/>
      <c r="CB312" s="22"/>
      <c r="CC312" s="24"/>
      <c r="CD312" s="22"/>
      <c r="CE312" s="22"/>
      <c r="CF312" s="22"/>
      <c r="CG312" s="22"/>
      <c r="CH312" s="24"/>
      <c r="CI312" s="22"/>
      <c r="CJ312" s="22"/>
      <c r="CK312" s="22"/>
      <c r="CL312" s="22"/>
      <c r="CM312" s="24"/>
      <c r="CN312" s="22"/>
      <c r="CO312" s="22"/>
      <c r="CP312" s="22"/>
      <c r="CQ312" s="22"/>
      <c r="CR312" s="24"/>
    </row>
    <row r="313" spans="1:96" s="17" customFormat="1" ht="15" x14ac:dyDescent="0.4">
      <c r="A313" s="15" t="s">
        <v>93</v>
      </c>
      <c r="B313" s="50">
        <f t="shared" ref="B313:BM313" si="1325">IFERROR(B57/B$61*100,"")</f>
        <v>7.6017048549056065</v>
      </c>
      <c r="C313" s="50">
        <f t="shared" si="1325"/>
        <v>8.7973903281489303</v>
      </c>
      <c r="D313" s="50">
        <f t="shared" si="1325"/>
        <v>1.4066694899583436</v>
      </c>
      <c r="E313" s="50">
        <f t="shared" si="1325"/>
        <v>22.633999030627617</v>
      </c>
      <c r="F313" s="50">
        <f t="shared" si="1325"/>
        <v>10.256436200862652</v>
      </c>
      <c r="G313" s="50">
        <f t="shared" si="1325"/>
        <v>9.2234432010538985</v>
      </c>
      <c r="H313" s="50">
        <f t="shared" si="1325"/>
        <v>8.0896936745177292</v>
      </c>
      <c r="I313" s="50">
        <f t="shared" si="1325"/>
        <v>9.5639554165591036</v>
      </c>
      <c r="J313" s="50">
        <f t="shared" si="1325"/>
        <v>22.52766013391793</v>
      </c>
      <c r="K313" s="50">
        <f t="shared" si="1325"/>
        <v>12.506310896549849</v>
      </c>
      <c r="L313" s="50">
        <f t="shared" si="1325"/>
        <v>3.6534180579925994</v>
      </c>
      <c r="M313" s="50">
        <f t="shared" si="1325"/>
        <v>4.9566943050605099</v>
      </c>
      <c r="N313" s="50">
        <f t="shared" si="1325"/>
        <v>0.77042240269033202</v>
      </c>
      <c r="O313" s="50">
        <f t="shared" si="1325"/>
        <v>42.257370450386766</v>
      </c>
      <c r="P313" s="50">
        <f t="shared" si="1325"/>
        <v>13.237613665371677</v>
      </c>
      <c r="Q313" s="50">
        <f t="shared" si="1325"/>
        <v>7.0024549852415037</v>
      </c>
      <c r="R313" s="50" t="str">
        <f t="shared" si="1325"/>
        <v/>
      </c>
      <c r="S313" s="50">
        <f t="shared" si="1325"/>
        <v>5.3145570610065249</v>
      </c>
      <c r="T313" s="50">
        <f t="shared" si="1325"/>
        <v>24.441590664244163</v>
      </c>
      <c r="U313" s="50" t="str">
        <f t="shared" si="1325"/>
        <v/>
      </c>
      <c r="V313" s="50">
        <f t="shared" si="1325"/>
        <v>9.775407483566676</v>
      </c>
      <c r="W313" s="50">
        <f t="shared" si="1325"/>
        <v>21.069863751869789</v>
      </c>
      <c r="X313" s="50">
        <f t="shared" si="1325"/>
        <v>13.273350248025629</v>
      </c>
      <c r="Y313" s="50">
        <f t="shared" si="1325"/>
        <v>14.234219565795359</v>
      </c>
      <c r="Z313" s="50">
        <f t="shared" si="1325"/>
        <v>14.615555295793174</v>
      </c>
      <c r="AA313" s="50">
        <f t="shared" si="1325"/>
        <v>8.3633381061156165</v>
      </c>
      <c r="AB313" s="50">
        <f t="shared" si="1325"/>
        <v>21.692250811458162</v>
      </c>
      <c r="AC313" s="50">
        <f t="shared" si="1325"/>
        <v>14.726946923732784</v>
      </c>
      <c r="AD313" s="50">
        <f t="shared" si="1325"/>
        <v>15.887887086947369</v>
      </c>
      <c r="AE313" s="50">
        <f t="shared" si="1325"/>
        <v>15.224093302206304</v>
      </c>
      <c r="AF313" s="50">
        <f t="shared" si="1325"/>
        <v>6.7717505961259015</v>
      </c>
      <c r="AG313" s="50">
        <f t="shared" si="1325"/>
        <v>15.635011093235921</v>
      </c>
      <c r="AH313" s="50">
        <f t="shared" si="1325"/>
        <v>15.771583984995535</v>
      </c>
      <c r="AI313" s="50">
        <f t="shared" si="1325"/>
        <v>16.822166838108441</v>
      </c>
      <c r="AJ313" s="50">
        <f t="shared" si="1325"/>
        <v>13.825193409738299</v>
      </c>
      <c r="AK313" s="50">
        <f t="shared" si="1325"/>
        <v>11.045452616186111</v>
      </c>
      <c r="AL313" s="50">
        <f t="shared" si="1325"/>
        <v>12.934446654928871</v>
      </c>
      <c r="AM313" s="50">
        <f t="shared" si="1325"/>
        <v>12.789101950838303</v>
      </c>
      <c r="AN313" s="50">
        <f t="shared" si="1325"/>
        <v>16.131336282287243</v>
      </c>
      <c r="AO313" s="50">
        <f t="shared" si="1325"/>
        <v>13.285479994821877</v>
      </c>
      <c r="AP313" s="50">
        <f t="shared" si="1325"/>
        <v>10.96314236183003</v>
      </c>
      <c r="AQ313" s="50">
        <f t="shared" si="1325"/>
        <v>11.871007575586949</v>
      </c>
      <c r="AR313" s="50">
        <f t="shared" si="1325"/>
        <v>13.760588076193725</v>
      </c>
      <c r="AS313" s="50">
        <f t="shared" si="1325"/>
        <v>15.601922145238984</v>
      </c>
      <c r="AT313" s="50">
        <f t="shared" si="1325"/>
        <v>13.103556500444617</v>
      </c>
      <c r="AU313" s="50">
        <f t="shared" si="1325"/>
        <v>9.1520015811810271</v>
      </c>
      <c r="AV313" s="50">
        <f t="shared" si="1325"/>
        <v>11.00613184579294</v>
      </c>
      <c r="AW313" s="50">
        <f t="shared" si="1325"/>
        <v>14.129276373858394</v>
      </c>
      <c r="AX313" s="50">
        <f t="shared" si="1325"/>
        <v>16.205706766908452</v>
      </c>
      <c r="AY313" s="50">
        <f t="shared" si="1325"/>
        <v>12.701332940025686</v>
      </c>
      <c r="AZ313" s="50">
        <f t="shared" si="1325"/>
        <v>8.1365961902782349</v>
      </c>
      <c r="BA313" s="50">
        <f t="shared" si="1325"/>
        <v>11.705913117943641</v>
      </c>
      <c r="BB313" s="50">
        <f t="shared" si="1325"/>
        <v>12.788305762233412</v>
      </c>
      <c r="BC313" s="50">
        <f t="shared" si="1325"/>
        <v>15.697401436462236</v>
      </c>
      <c r="BD313" s="50">
        <f t="shared" si="1325"/>
        <v>12.166808052598611</v>
      </c>
      <c r="BE313" s="50">
        <f t="shared" si="1325"/>
        <v>1.6154143964858334</v>
      </c>
      <c r="BF313" s="50">
        <f t="shared" si="1325"/>
        <v>6.8299022556456395</v>
      </c>
      <c r="BG313" s="50">
        <f t="shared" si="1325"/>
        <v>10.535194946178962</v>
      </c>
      <c r="BH313" s="50">
        <f t="shared" si="1325"/>
        <v>26.084340931806597</v>
      </c>
      <c r="BI313" s="50">
        <f t="shared" si="1325"/>
        <v>11.488202622691002</v>
      </c>
      <c r="BJ313" s="50">
        <f t="shared" si="1325"/>
        <v>7.4891372307740252</v>
      </c>
      <c r="BK313" s="50">
        <f t="shared" si="1325"/>
        <v>2.00972370223765</v>
      </c>
      <c r="BL313" s="50">
        <f t="shared" si="1325"/>
        <v>13.273669569593622</v>
      </c>
      <c r="BM313" s="50">
        <f t="shared" si="1325"/>
        <v>5.3568977703255891</v>
      </c>
      <c r="BN313" s="50">
        <f t="shared" ref="BN313:CR313" si="1326">IFERROR(BN57/BN$61*100,"")</f>
        <v>7.0467016464300105</v>
      </c>
      <c r="BO313" s="50">
        <f t="shared" si="1326"/>
        <v>4.4740620874446861</v>
      </c>
      <c r="BP313" s="50">
        <f t="shared" si="1326"/>
        <v>5.723054732346192</v>
      </c>
      <c r="BQ313" s="50">
        <f t="shared" si="1326"/>
        <v>7.5800241696991923</v>
      </c>
      <c r="BR313" s="50">
        <f t="shared" si="1326"/>
        <v>7.007823789775931</v>
      </c>
      <c r="BS313" s="50">
        <f t="shared" si="1326"/>
        <v>6.2215340430397683</v>
      </c>
      <c r="BT313" s="50">
        <f t="shared" si="1326"/>
        <v>6.0795552635874976</v>
      </c>
      <c r="BU313" s="50">
        <f t="shared" si="1326"/>
        <v>6.3661829585632805</v>
      </c>
      <c r="BV313" s="50">
        <f t="shared" si="1326"/>
        <v>4.8598536407661479</v>
      </c>
      <c r="BW313" s="50">
        <f t="shared" si="1326"/>
        <v>6.6864104358880159</v>
      </c>
      <c r="BX313" s="50">
        <f t="shared" si="1326"/>
        <v>6.0018294146823319</v>
      </c>
      <c r="BY313" s="50">
        <f t="shared" si="1326"/>
        <v>5.3382891551305978</v>
      </c>
      <c r="BZ313" s="50">
        <f t="shared" si="1326"/>
        <v>5.8398619579951374</v>
      </c>
      <c r="CA313" s="50">
        <f t="shared" si="1326"/>
        <v>4.1141851365100059</v>
      </c>
      <c r="CB313" s="50">
        <f t="shared" si="1326"/>
        <v>4.201413277598764</v>
      </c>
      <c r="CC313" s="50">
        <f t="shared" si="1326"/>
        <v>4.8644251805470224</v>
      </c>
      <c r="CD313" s="50">
        <f t="shared" si="1326"/>
        <v>5.8706961212825526</v>
      </c>
      <c r="CE313" s="50">
        <f t="shared" si="1326"/>
        <v>4.6733426548023234</v>
      </c>
      <c r="CF313" s="50">
        <f t="shared" si="1326"/>
        <v>5.4789449891705297</v>
      </c>
      <c r="CG313" s="50">
        <f t="shared" si="1326"/>
        <v>4.0072800910347759</v>
      </c>
      <c r="CH313" s="50">
        <f t="shared" si="1326"/>
        <v>4.9921715109598699</v>
      </c>
      <c r="CI313" s="50">
        <f t="shared" si="1326"/>
        <v>3.966397757328624</v>
      </c>
      <c r="CJ313" s="50">
        <f t="shared" si="1326"/>
        <v>3.5816172630235612</v>
      </c>
      <c r="CK313" s="50">
        <f t="shared" si="1326"/>
        <v>4.1247447697513362</v>
      </c>
      <c r="CL313" s="50">
        <f t="shared" si="1326"/>
        <v>4.3519758409061424</v>
      </c>
      <c r="CM313" s="50">
        <f t="shared" si="1326"/>
        <v>4.0111200762355086</v>
      </c>
      <c r="CN313" s="50" t="str">
        <f t="shared" si="1326"/>
        <v/>
      </c>
      <c r="CO313" s="50" t="str">
        <f t="shared" si="1326"/>
        <v/>
      </c>
      <c r="CP313" s="50" t="str">
        <f t="shared" si="1326"/>
        <v/>
      </c>
      <c r="CQ313" s="50" t="str">
        <f t="shared" si="1326"/>
        <v/>
      </c>
      <c r="CR313" s="50" t="str">
        <f t="shared" si="1326"/>
        <v/>
      </c>
    </row>
    <row r="314" spans="1:96" s="9" customFormat="1" ht="15" x14ac:dyDescent="0.4">
      <c r="A314" s="25"/>
      <c r="B314" s="22"/>
      <c r="C314" s="22"/>
      <c r="D314" s="22"/>
      <c r="E314" s="22"/>
      <c r="F314" s="24"/>
      <c r="G314" s="22"/>
      <c r="H314" s="22"/>
      <c r="I314" s="22"/>
      <c r="J314" s="22"/>
      <c r="K314" s="24"/>
      <c r="L314" s="22"/>
      <c r="M314" s="22"/>
      <c r="N314" s="22"/>
      <c r="O314" s="22"/>
      <c r="P314" s="24"/>
      <c r="Q314" s="22"/>
      <c r="R314" s="22"/>
      <c r="S314" s="22"/>
      <c r="T314" s="22"/>
      <c r="U314" s="24"/>
      <c r="V314" s="22"/>
      <c r="W314" s="22"/>
      <c r="X314" s="22"/>
      <c r="Y314" s="22"/>
      <c r="Z314" s="24"/>
      <c r="AA314" s="22"/>
      <c r="AB314" s="22"/>
      <c r="AC314" s="22"/>
      <c r="AD314" s="22"/>
      <c r="AE314" s="24"/>
      <c r="AF314" s="22"/>
      <c r="AG314" s="22"/>
      <c r="AH314" s="22"/>
      <c r="AI314" s="22"/>
      <c r="AJ314" s="24"/>
      <c r="AK314" s="22"/>
      <c r="AL314" s="22"/>
      <c r="AM314" s="22"/>
      <c r="AN314" s="22"/>
      <c r="AO314" s="24"/>
      <c r="AP314" s="22"/>
      <c r="AQ314" s="22"/>
      <c r="AR314" s="22"/>
      <c r="AS314" s="22"/>
      <c r="AT314" s="24"/>
      <c r="AU314" s="22"/>
      <c r="AV314" s="22"/>
      <c r="AW314" s="22"/>
      <c r="AX314" s="22"/>
      <c r="AY314" s="24"/>
      <c r="AZ314" s="22"/>
      <c r="BA314" s="22"/>
      <c r="BB314" s="22"/>
      <c r="BC314" s="22"/>
      <c r="BD314" s="24"/>
      <c r="BE314" s="22"/>
      <c r="BF314" s="22"/>
      <c r="BG314" s="22"/>
      <c r="BH314" s="22"/>
      <c r="BI314" s="24"/>
      <c r="BJ314" s="22"/>
      <c r="BK314" s="22"/>
      <c r="BL314" s="22"/>
      <c r="BM314" s="22"/>
      <c r="BN314" s="24"/>
      <c r="BO314" s="22"/>
      <c r="BP314" s="22"/>
      <c r="BQ314" s="22"/>
      <c r="BR314" s="22"/>
      <c r="BS314" s="24"/>
      <c r="BT314" s="22"/>
      <c r="BU314" s="22"/>
      <c r="BV314" s="22"/>
      <c r="BW314" s="22"/>
      <c r="BX314" s="24"/>
      <c r="BY314" s="22"/>
      <c r="BZ314" s="22"/>
      <c r="CA314" s="22"/>
      <c r="CB314" s="22"/>
      <c r="CC314" s="24"/>
      <c r="CD314" s="22"/>
      <c r="CE314" s="22"/>
      <c r="CF314" s="22"/>
      <c r="CG314" s="22"/>
      <c r="CH314" s="24"/>
      <c r="CI314" s="22"/>
      <c r="CJ314" s="22"/>
      <c r="CK314" s="22"/>
      <c r="CL314" s="22"/>
      <c r="CM314" s="24"/>
      <c r="CN314" s="22"/>
      <c r="CO314" s="22"/>
      <c r="CP314" s="22"/>
      <c r="CQ314" s="22"/>
      <c r="CR314" s="24"/>
    </row>
    <row r="315" spans="1:96" s="17" customFormat="1" ht="15" x14ac:dyDescent="0.4">
      <c r="A315" s="15" t="s">
        <v>94</v>
      </c>
      <c r="B315" s="50">
        <f t="shared" ref="B315:BM315" si="1327">IFERROR(B59/B$61*100,"")</f>
        <v>91.427390306848039</v>
      </c>
      <c r="C315" s="50">
        <f t="shared" si="1327"/>
        <v>99.596592400103177</v>
      </c>
      <c r="D315" s="50">
        <f t="shared" si="1327"/>
        <v>100.26386415060466</v>
      </c>
      <c r="E315" s="50">
        <f t="shared" si="1327"/>
        <v>117.61624230560366</v>
      </c>
      <c r="F315" s="50">
        <f t="shared" si="1327"/>
        <v>102.48671978434831</v>
      </c>
      <c r="G315" s="50">
        <f t="shared" si="1327"/>
        <v>87.796320420710273</v>
      </c>
      <c r="H315" s="50">
        <f t="shared" si="1327"/>
        <v>93.933007761889698</v>
      </c>
      <c r="I315" s="50">
        <f t="shared" si="1327"/>
        <v>98.043883729117766</v>
      </c>
      <c r="J315" s="50">
        <f t="shared" si="1327"/>
        <v>116.81629290018812</v>
      </c>
      <c r="K315" s="50">
        <f t="shared" si="1327"/>
        <v>99.459305958357533</v>
      </c>
      <c r="L315" s="50">
        <f t="shared" si="1327"/>
        <v>78.489950504660229</v>
      </c>
      <c r="M315" s="50">
        <f t="shared" si="1327"/>
        <v>87.689616810198856</v>
      </c>
      <c r="N315" s="50">
        <f t="shared" si="1327"/>
        <v>87.706045981173233</v>
      </c>
      <c r="O315" s="50">
        <f t="shared" si="1327"/>
        <v>137.64185838671597</v>
      </c>
      <c r="P315" s="50">
        <f t="shared" si="1327"/>
        <v>98.411473946342284</v>
      </c>
      <c r="Q315" s="50">
        <f t="shared" si="1327"/>
        <v>85.49539545661996</v>
      </c>
      <c r="R315" s="50" t="str">
        <f t="shared" si="1327"/>
        <v/>
      </c>
      <c r="S315" s="50">
        <f t="shared" si="1327"/>
        <v>98.743027442433757</v>
      </c>
      <c r="T315" s="50">
        <f t="shared" si="1327"/>
        <v>117.49793189910704</v>
      </c>
      <c r="U315" s="50" t="str">
        <f t="shared" si="1327"/>
        <v/>
      </c>
      <c r="V315" s="50">
        <f t="shared" si="1327"/>
        <v>91.528645152604199</v>
      </c>
      <c r="W315" s="50">
        <f t="shared" si="1327"/>
        <v>116.78532026309325</v>
      </c>
      <c r="X315" s="50">
        <f t="shared" si="1327"/>
        <v>114.97564644392683</v>
      </c>
      <c r="Y315" s="50">
        <f t="shared" si="1327"/>
        <v>118.84889828332501</v>
      </c>
      <c r="Z315" s="50">
        <f t="shared" si="1327"/>
        <v>110.71449729556086</v>
      </c>
      <c r="AA315" s="50">
        <f t="shared" si="1327"/>
        <v>105.24190277131191</v>
      </c>
      <c r="AB315" s="50">
        <f t="shared" si="1327"/>
        <v>117.73684716242205</v>
      </c>
      <c r="AC315" s="50">
        <f t="shared" si="1327"/>
        <v>114.76305168258614</v>
      </c>
      <c r="AD315" s="50">
        <f t="shared" si="1327"/>
        <v>117.4971700028387</v>
      </c>
      <c r="AE315" s="50">
        <f t="shared" si="1327"/>
        <v>113.95657864022762</v>
      </c>
      <c r="AF315" s="50">
        <f t="shared" si="1327"/>
        <v>97.909791798390586</v>
      </c>
      <c r="AG315" s="50">
        <f t="shared" si="1327"/>
        <v>109.37512613415157</v>
      </c>
      <c r="AH315" s="50">
        <f t="shared" si="1327"/>
        <v>115.64647178378269</v>
      </c>
      <c r="AI315" s="50">
        <f t="shared" si="1327"/>
        <v>125.4774576663944</v>
      </c>
      <c r="AJ315" s="50">
        <f t="shared" si="1327"/>
        <v>112.33900876843079</v>
      </c>
      <c r="AK315" s="50">
        <f t="shared" si="1327"/>
        <v>102.80581765746524</v>
      </c>
      <c r="AL315" s="50">
        <f t="shared" si="1327"/>
        <v>110.91649171216795</v>
      </c>
      <c r="AM315" s="50">
        <f t="shared" si="1327"/>
        <v>116.12436574680873</v>
      </c>
      <c r="AN315" s="50">
        <f t="shared" si="1327"/>
        <v>128.47363556050271</v>
      </c>
      <c r="AO315" s="50">
        <f t="shared" si="1327"/>
        <v>114.9054078587495</v>
      </c>
      <c r="AP315" s="50">
        <f t="shared" si="1327"/>
        <v>107.45481334802938</v>
      </c>
      <c r="AQ315" s="50">
        <f t="shared" si="1327"/>
        <v>108.59782226311616</v>
      </c>
      <c r="AR315" s="50">
        <f t="shared" si="1327"/>
        <v>114.28666685192397</v>
      </c>
      <c r="AS315" s="50">
        <f t="shared" si="1327"/>
        <v>123.04990298277787</v>
      </c>
      <c r="AT315" s="50">
        <f t="shared" si="1327"/>
        <v>113.52733550598026</v>
      </c>
      <c r="AU315" s="50">
        <f t="shared" si="1327"/>
        <v>101.67920697292419</v>
      </c>
      <c r="AV315" s="50">
        <f t="shared" si="1327"/>
        <v>106.15712842106015</v>
      </c>
      <c r="AW315" s="50">
        <f t="shared" si="1327"/>
        <v>114.63208792583688</v>
      </c>
      <c r="AX315" s="50">
        <f t="shared" si="1327"/>
        <v>122.30015133426177</v>
      </c>
      <c r="AY315" s="50">
        <f t="shared" si="1327"/>
        <v>111.41859162933511</v>
      </c>
      <c r="AZ315" s="50">
        <f t="shared" si="1327"/>
        <v>98.507649266870871</v>
      </c>
      <c r="BA315" s="50">
        <f t="shared" si="1327"/>
        <v>104.04499707430021</v>
      </c>
      <c r="BB315" s="50">
        <f t="shared" si="1327"/>
        <v>107.16377399946499</v>
      </c>
      <c r="BC315" s="50">
        <f t="shared" si="1327"/>
        <v>116.03407684590168</v>
      </c>
      <c r="BD315" s="50">
        <f t="shared" si="1327"/>
        <v>106.63543698215791</v>
      </c>
      <c r="BE315" s="50">
        <f t="shared" si="1327"/>
        <v>87.914571251182522</v>
      </c>
      <c r="BF315" s="50">
        <f t="shared" si="1327"/>
        <v>95.349903832158901</v>
      </c>
      <c r="BG315" s="50">
        <f t="shared" si="1327"/>
        <v>105.43558345951305</v>
      </c>
      <c r="BH315" s="50">
        <f t="shared" si="1327"/>
        <v>122.92098338166124</v>
      </c>
      <c r="BI315" s="50">
        <f t="shared" si="1327"/>
        <v>103.24050626908419</v>
      </c>
      <c r="BJ315" s="50">
        <f t="shared" si="1327"/>
        <v>75.567486809169253</v>
      </c>
      <c r="BK315" s="50">
        <f t="shared" si="1327"/>
        <v>78.392300454353574</v>
      </c>
      <c r="BL315" s="50">
        <f t="shared" si="1327"/>
        <v>93.556633947757106</v>
      </c>
      <c r="BM315" s="50">
        <f t="shared" si="1327"/>
        <v>97.25018583340507</v>
      </c>
      <c r="BN315" s="50">
        <f t="shared" ref="BN315:CR315" si="1328">IFERROR(BN59/BN$61*100,"")</f>
        <v>86.21473465379151</v>
      </c>
      <c r="BO315" s="50">
        <f t="shared" si="1328"/>
        <v>68.037821123912124</v>
      </c>
      <c r="BP315" s="50">
        <f t="shared" si="1328"/>
        <v>83.759656537825876</v>
      </c>
      <c r="BQ315" s="50">
        <f t="shared" si="1328"/>
        <v>81.150855564155151</v>
      </c>
      <c r="BR315" s="50">
        <f t="shared" si="1328"/>
        <v>100.76498391122</v>
      </c>
      <c r="BS315" s="50">
        <f t="shared" si="1328"/>
        <v>83.732908976487124</v>
      </c>
      <c r="BT315" s="50">
        <f t="shared" si="1328"/>
        <v>65.943882978252077</v>
      </c>
      <c r="BU315" s="50">
        <f t="shared" si="1328"/>
        <v>71.519907609940049</v>
      </c>
      <c r="BV315" s="50">
        <f t="shared" si="1328"/>
        <v>76.073698497035721</v>
      </c>
      <c r="BW315" s="50">
        <f t="shared" si="1328"/>
        <v>92.456449588965882</v>
      </c>
      <c r="BX315" s="50">
        <f t="shared" si="1328"/>
        <v>76.823116605685044</v>
      </c>
      <c r="BY315" s="50">
        <f t="shared" si="1328"/>
        <v>61.714336266285272</v>
      </c>
      <c r="BZ315" s="50">
        <f t="shared" si="1328"/>
        <v>69.292046863900765</v>
      </c>
      <c r="CA315" s="50">
        <f t="shared" si="1328"/>
        <v>69.403712205480161</v>
      </c>
      <c r="CB315" s="50">
        <f t="shared" si="1328"/>
        <v>83.181419277220201</v>
      </c>
      <c r="CC315" s="50">
        <f t="shared" si="1328"/>
        <v>71.080052260313579</v>
      </c>
      <c r="CD315" s="50">
        <f t="shared" si="1328"/>
        <v>61.59671070067472</v>
      </c>
      <c r="CE315" s="50">
        <f t="shared" si="1328"/>
        <v>67.27055128198424</v>
      </c>
      <c r="CF315" s="50">
        <f t="shared" si="1328"/>
        <v>66.207312869547607</v>
      </c>
      <c r="CG315" s="50">
        <f t="shared" si="1328"/>
        <v>80.253974045726949</v>
      </c>
      <c r="CH315" s="50">
        <f t="shared" si="1328"/>
        <v>68.991696339591044</v>
      </c>
      <c r="CI315" s="50">
        <f t="shared" si="1328"/>
        <v>58.060567362644363</v>
      </c>
      <c r="CJ315" s="50">
        <f t="shared" si="1328"/>
        <v>59.531520234205061</v>
      </c>
      <c r="CK315" s="50">
        <f t="shared" si="1328"/>
        <v>59.84655506121549</v>
      </c>
      <c r="CL315" s="50">
        <f t="shared" si="1328"/>
        <v>65.921224901037093</v>
      </c>
      <c r="CM315" s="50">
        <f t="shared" si="1328"/>
        <v>60.915865544988279</v>
      </c>
      <c r="CN315" s="50" t="str">
        <f t="shared" si="1328"/>
        <v/>
      </c>
      <c r="CO315" s="50" t="str">
        <f t="shared" si="1328"/>
        <v/>
      </c>
      <c r="CP315" s="50" t="str">
        <f t="shared" si="1328"/>
        <v/>
      </c>
      <c r="CQ315" s="50" t="str">
        <f t="shared" si="1328"/>
        <v/>
      </c>
      <c r="CR315" s="50" t="str">
        <f t="shared" si="1328"/>
        <v/>
      </c>
    </row>
    <row r="316" spans="1:96" s="9" customFormat="1" ht="15" x14ac:dyDescent="0.4">
      <c r="A316" s="25"/>
      <c r="B316" s="45"/>
      <c r="C316" s="45"/>
      <c r="D316" s="45"/>
      <c r="E316" s="45"/>
      <c r="F316" s="46"/>
      <c r="G316" s="45"/>
      <c r="H316" s="45"/>
      <c r="I316" s="45"/>
      <c r="J316" s="45"/>
      <c r="K316" s="46"/>
      <c r="L316" s="45"/>
      <c r="M316" s="45"/>
      <c r="N316" s="45"/>
      <c r="O316" s="45"/>
      <c r="P316" s="46"/>
      <c r="Q316" s="45"/>
      <c r="R316" s="45"/>
      <c r="S316" s="45"/>
      <c r="T316" s="45"/>
      <c r="U316" s="46"/>
      <c r="V316" s="45"/>
      <c r="W316" s="45"/>
      <c r="X316" s="45"/>
      <c r="Y316" s="45"/>
      <c r="Z316" s="46"/>
      <c r="AA316" s="45"/>
      <c r="AB316" s="45"/>
      <c r="AC316" s="45"/>
      <c r="AD316" s="45"/>
      <c r="AE316" s="46"/>
      <c r="AF316" s="45"/>
      <c r="AG316" s="45"/>
      <c r="AH316" s="45"/>
      <c r="AI316" s="45"/>
      <c r="AJ316" s="46"/>
      <c r="AK316" s="45"/>
      <c r="AL316" s="45"/>
      <c r="AM316" s="45"/>
      <c r="AN316" s="45"/>
      <c r="AO316" s="46"/>
      <c r="AP316" s="45"/>
      <c r="AQ316" s="45"/>
      <c r="AR316" s="45"/>
      <c r="AS316" s="45"/>
      <c r="AT316" s="46"/>
      <c r="AU316" s="45"/>
      <c r="AV316" s="45"/>
      <c r="AW316" s="45"/>
      <c r="AX316" s="45"/>
      <c r="AY316" s="46"/>
      <c r="AZ316" s="45"/>
      <c r="BA316" s="45"/>
      <c r="BB316" s="45"/>
      <c r="BC316" s="45"/>
      <c r="BD316" s="46"/>
      <c r="BE316" s="45"/>
      <c r="BF316" s="45"/>
      <c r="BG316" s="45"/>
      <c r="BH316" s="45"/>
      <c r="BI316" s="46"/>
      <c r="BJ316" s="45"/>
      <c r="BK316" s="45"/>
      <c r="BL316" s="45"/>
      <c r="BM316" s="45"/>
      <c r="BN316" s="46"/>
      <c r="BO316" s="45"/>
      <c r="BP316" s="45"/>
      <c r="BQ316" s="45"/>
      <c r="BR316" s="45"/>
      <c r="BS316" s="46"/>
      <c r="BT316" s="45"/>
      <c r="BU316" s="45"/>
      <c r="BV316" s="45"/>
      <c r="BW316" s="45"/>
      <c r="BX316" s="46"/>
      <c r="BY316" s="45"/>
      <c r="BZ316" s="45"/>
      <c r="CA316" s="45"/>
      <c r="CB316" s="45"/>
      <c r="CC316" s="46"/>
      <c r="CD316" s="45"/>
      <c r="CE316" s="45"/>
      <c r="CF316" s="45"/>
      <c r="CG316" s="45"/>
      <c r="CH316" s="46"/>
      <c r="CI316" s="45"/>
      <c r="CJ316" s="45"/>
      <c r="CK316" s="45"/>
      <c r="CL316" s="45"/>
      <c r="CM316" s="46"/>
      <c r="CN316" s="45"/>
      <c r="CO316" s="45"/>
      <c r="CP316" s="45"/>
      <c r="CQ316" s="45"/>
      <c r="CR316" s="46"/>
    </row>
    <row r="317" spans="1:96" s="9" customFormat="1" ht="23.25" customHeight="1" thickBot="1" x14ac:dyDescent="0.35">
      <c r="A317" s="26" t="s">
        <v>95</v>
      </c>
      <c r="B317" s="51">
        <f t="shared" ref="B317:BM317" si="1329">IFERROR(B61/B$61*100,"")</f>
        <v>100</v>
      </c>
      <c r="C317" s="51">
        <f t="shared" si="1329"/>
        <v>100</v>
      </c>
      <c r="D317" s="51">
        <f t="shared" si="1329"/>
        <v>100</v>
      </c>
      <c r="E317" s="51">
        <f t="shared" si="1329"/>
        <v>100</v>
      </c>
      <c r="F317" s="51">
        <f t="shared" si="1329"/>
        <v>100</v>
      </c>
      <c r="G317" s="51">
        <f t="shared" si="1329"/>
        <v>100</v>
      </c>
      <c r="H317" s="51">
        <f t="shared" si="1329"/>
        <v>100</v>
      </c>
      <c r="I317" s="51">
        <f t="shared" si="1329"/>
        <v>100</v>
      </c>
      <c r="J317" s="51">
        <f t="shared" si="1329"/>
        <v>100</v>
      </c>
      <c r="K317" s="51">
        <f t="shared" si="1329"/>
        <v>100</v>
      </c>
      <c r="L317" s="51">
        <f t="shared" si="1329"/>
        <v>100</v>
      </c>
      <c r="M317" s="51">
        <f t="shared" si="1329"/>
        <v>100</v>
      </c>
      <c r="N317" s="51">
        <f t="shared" si="1329"/>
        <v>100</v>
      </c>
      <c r="O317" s="51">
        <f t="shared" si="1329"/>
        <v>100</v>
      </c>
      <c r="P317" s="51">
        <f t="shared" si="1329"/>
        <v>100</v>
      </c>
      <c r="Q317" s="51">
        <f t="shared" si="1329"/>
        <v>100</v>
      </c>
      <c r="R317" s="51" t="str">
        <f t="shared" si="1329"/>
        <v/>
      </c>
      <c r="S317" s="51">
        <f t="shared" si="1329"/>
        <v>100</v>
      </c>
      <c r="T317" s="51">
        <f t="shared" si="1329"/>
        <v>100</v>
      </c>
      <c r="U317" s="51" t="str">
        <f t="shared" si="1329"/>
        <v/>
      </c>
      <c r="V317" s="51">
        <f t="shared" si="1329"/>
        <v>100</v>
      </c>
      <c r="W317" s="51">
        <f t="shared" si="1329"/>
        <v>100</v>
      </c>
      <c r="X317" s="51">
        <f t="shared" si="1329"/>
        <v>100</v>
      </c>
      <c r="Y317" s="51">
        <f t="shared" si="1329"/>
        <v>100</v>
      </c>
      <c r="Z317" s="51">
        <f t="shared" si="1329"/>
        <v>100</v>
      </c>
      <c r="AA317" s="51">
        <f t="shared" si="1329"/>
        <v>100</v>
      </c>
      <c r="AB317" s="51">
        <f t="shared" si="1329"/>
        <v>100</v>
      </c>
      <c r="AC317" s="51">
        <f t="shared" si="1329"/>
        <v>100</v>
      </c>
      <c r="AD317" s="51">
        <f t="shared" si="1329"/>
        <v>100</v>
      </c>
      <c r="AE317" s="51">
        <f t="shared" si="1329"/>
        <v>100</v>
      </c>
      <c r="AF317" s="51">
        <f t="shared" si="1329"/>
        <v>100</v>
      </c>
      <c r="AG317" s="51">
        <f t="shared" si="1329"/>
        <v>100</v>
      </c>
      <c r="AH317" s="51">
        <f t="shared" si="1329"/>
        <v>100</v>
      </c>
      <c r="AI317" s="51">
        <f t="shared" si="1329"/>
        <v>100</v>
      </c>
      <c r="AJ317" s="51">
        <f t="shared" si="1329"/>
        <v>100</v>
      </c>
      <c r="AK317" s="51">
        <f t="shared" si="1329"/>
        <v>100</v>
      </c>
      <c r="AL317" s="51">
        <f t="shared" si="1329"/>
        <v>100</v>
      </c>
      <c r="AM317" s="51">
        <f t="shared" si="1329"/>
        <v>100</v>
      </c>
      <c r="AN317" s="51">
        <f t="shared" si="1329"/>
        <v>100</v>
      </c>
      <c r="AO317" s="51">
        <f t="shared" si="1329"/>
        <v>100</v>
      </c>
      <c r="AP317" s="51">
        <f t="shared" si="1329"/>
        <v>100</v>
      </c>
      <c r="AQ317" s="51">
        <f t="shared" si="1329"/>
        <v>100</v>
      </c>
      <c r="AR317" s="51">
        <f t="shared" si="1329"/>
        <v>100</v>
      </c>
      <c r="AS317" s="51">
        <f t="shared" si="1329"/>
        <v>100</v>
      </c>
      <c r="AT317" s="51">
        <f t="shared" si="1329"/>
        <v>100</v>
      </c>
      <c r="AU317" s="51">
        <f t="shared" si="1329"/>
        <v>100</v>
      </c>
      <c r="AV317" s="51">
        <f t="shared" si="1329"/>
        <v>100</v>
      </c>
      <c r="AW317" s="51">
        <f t="shared" si="1329"/>
        <v>100</v>
      </c>
      <c r="AX317" s="51">
        <f t="shared" si="1329"/>
        <v>100</v>
      </c>
      <c r="AY317" s="51">
        <f t="shared" si="1329"/>
        <v>100</v>
      </c>
      <c r="AZ317" s="51">
        <f t="shared" si="1329"/>
        <v>100</v>
      </c>
      <c r="BA317" s="51">
        <f t="shared" si="1329"/>
        <v>100</v>
      </c>
      <c r="BB317" s="51">
        <f t="shared" si="1329"/>
        <v>100</v>
      </c>
      <c r="BC317" s="51">
        <f t="shared" si="1329"/>
        <v>100</v>
      </c>
      <c r="BD317" s="51">
        <f t="shared" si="1329"/>
        <v>100</v>
      </c>
      <c r="BE317" s="51">
        <f t="shared" si="1329"/>
        <v>100</v>
      </c>
      <c r="BF317" s="51">
        <f t="shared" si="1329"/>
        <v>100</v>
      </c>
      <c r="BG317" s="51">
        <f t="shared" si="1329"/>
        <v>100</v>
      </c>
      <c r="BH317" s="51">
        <f t="shared" si="1329"/>
        <v>100</v>
      </c>
      <c r="BI317" s="51">
        <f t="shared" si="1329"/>
        <v>100</v>
      </c>
      <c r="BJ317" s="51">
        <f t="shared" si="1329"/>
        <v>100</v>
      </c>
      <c r="BK317" s="51">
        <f t="shared" si="1329"/>
        <v>100</v>
      </c>
      <c r="BL317" s="51">
        <f t="shared" si="1329"/>
        <v>100</v>
      </c>
      <c r="BM317" s="51">
        <f t="shared" si="1329"/>
        <v>100</v>
      </c>
      <c r="BN317" s="51">
        <f t="shared" ref="BN317:CR317" si="1330">IFERROR(BN61/BN$61*100,"")</f>
        <v>100</v>
      </c>
      <c r="BO317" s="51">
        <f t="shared" si="1330"/>
        <v>100</v>
      </c>
      <c r="BP317" s="51">
        <f t="shared" si="1330"/>
        <v>100</v>
      </c>
      <c r="BQ317" s="51">
        <f t="shared" si="1330"/>
        <v>100</v>
      </c>
      <c r="BR317" s="51">
        <f t="shared" si="1330"/>
        <v>100</v>
      </c>
      <c r="BS317" s="51">
        <f t="shared" si="1330"/>
        <v>100</v>
      </c>
      <c r="BT317" s="51">
        <f t="shared" si="1330"/>
        <v>100</v>
      </c>
      <c r="BU317" s="51">
        <f t="shared" si="1330"/>
        <v>100</v>
      </c>
      <c r="BV317" s="51">
        <f t="shared" si="1330"/>
        <v>100</v>
      </c>
      <c r="BW317" s="51">
        <f t="shared" si="1330"/>
        <v>100</v>
      </c>
      <c r="BX317" s="51">
        <f t="shared" si="1330"/>
        <v>100</v>
      </c>
      <c r="BY317" s="51">
        <f t="shared" si="1330"/>
        <v>100</v>
      </c>
      <c r="BZ317" s="51">
        <f t="shared" si="1330"/>
        <v>100</v>
      </c>
      <c r="CA317" s="51">
        <f t="shared" si="1330"/>
        <v>100</v>
      </c>
      <c r="CB317" s="51">
        <f t="shared" si="1330"/>
        <v>100</v>
      </c>
      <c r="CC317" s="51">
        <f t="shared" si="1330"/>
        <v>100</v>
      </c>
      <c r="CD317" s="51">
        <f t="shared" si="1330"/>
        <v>100</v>
      </c>
      <c r="CE317" s="51">
        <f t="shared" si="1330"/>
        <v>100</v>
      </c>
      <c r="CF317" s="51">
        <f t="shared" si="1330"/>
        <v>100</v>
      </c>
      <c r="CG317" s="51">
        <f t="shared" si="1330"/>
        <v>100</v>
      </c>
      <c r="CH317" s="51">
        <f t="shared" si="1330"/>
        <v>100</v>
      </c>
      <c r="CI317" s="51">
        <f t="shared" si="1330"/>
        <v>100</v>
      </c>
      <c r="CJ317" s="51">
        <f t="shared" si="1330"/>
        <v>100</v>
      </c>
      <c r="CK317" s="51">
        <f t="shared" si="1330"/>
        <v>100</v>
      </c>
      <c r="CL317" s="51">
        <f t="shared" si="1330"/>
        <v>100</v>
      </c>
      <c r="CM317" s="51">
        <f t="shared" si="1330"/>
        <v>100</v>
      </c>
      <c r="CN317" s="51" t="str">
        <f t="shared" si="1330"/>
        <v/>
      </c>
      <c r="CO317" s="51" t="str">
        <f t="shared" si="1330"/>
        <v/>
      </c>
      <c r="CP317" s="51" t="str">
        <f t="shared" si="1330"/>
        <v/>
      </c>
      <c r="CQ317" s="51" t="str">
        <f t="shared" si="1330"/>
        <v/>
      </c>
      <c r="CR317" s="51" t="str">
        <f t="shared" si="1330"/>
        <v/>
      </c>
    </row>
    <row r="318" spans="1:96" s="9" customFormat="1" ht="15" x14ac:dyDescent="0.4">
      <c r="A318" s="28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  <c r="BA318" s="29"/>
      <c r="BB318" s="29"/>
      <c r="BC318" s="29"/>
      <c r="BD318" s="29"/>
      <c r="BE318" s="29"/>
      <c r="BF318" s="29"/>
      <c r="BG318" s="29"/>
      <c r="BH318" s="29"/>
      <c r="BI318" s="29"/>
      <c r="BJ318" s="29"/>
      <c r="BK318" s="29"/>
      <c r="BL318" s="29"/>
      <c r="BM318" s="29"/>
      <c r="BN318" s="29"/>
      <c r="BO318" s="29"/>
      <c r="BP318" s="29"/>
      <c r="BQ318" s="29"/>
      <c r="BR318" s="29"/>
      <c r="BS318" s="29"/>
      <c r="BT318" s="29"/>
      <c r="BU318" s="29"/>
      <c r="BV318" s="29"/>
      <c r="BW318" s="29"/>
      <c r="BX318" s="29"/>
      <c r="BY318" s="29"/>
      <c r="BZ318" s="29"/>
      <c r="CA318" s="29"/>
      <c r="CB318" s="29"/>
      <c r="CC318" s="29"/>
      <c r="CD318" s="29"/>
      <c r="CE318" s="29"/>
      <c r="CF318" s="29"/>
      <c r="CG318" s="29"/>
      <c r="CH318" s="29"/>
      <c r="CI318" s="29"/>
      <c r="CJ318" s="29"/>
      <c r="CK318" s="29"/>
      <c r="CL318" s="29"/>
      <c r="CM318" s="29"/>
      <c r="CN318" s="29"/>
      <c r="CO318" s="29"/>
      <c r="CP318" s="29"/>
      <c r="CQ318" s="29"/>
      <c r="CR318" s="29"/>
    </row>
    <row r="319" spans="1:96" s="31" customFormat="1" ht="15" x14ac:dyDescent="0.4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/>
      <c r="AX319" s="30"/>
      <c r="AY319" s="30"/>
      <c r="AZ319" s="30"/>
      <c r="BA319" s="30"/>
      <c r="BB319" s="30"/>
      <c r="BC319" s="30"/>
      <c r="BD319" s="30"/>
      <c r="BE319" s="30"/>
      <c r="BF319" s="30"/>
      <c r="BG319" s="30"/>
      <c r="BH319" s="30"/>
      <c r="BI319" s="30"/>
      <c r="BJ319" s="30"/>
      <c r="BK319" s="30"/>
      <c r="BL319" s="30"/>
      <c r="BM319" s="30"/>
      <c r="BN319" s="30"/>
      <c r="BO319" s="30"/>
      <c r="BP319" s="30"/>
      <c r="BQ319" s="30"/>
      <c r="BR319" s="30"/>
      <c r="BS319" s="30"/>
      <c r="BT319" s="30"/>
      <c r="BU319" s="30"/>
      <c r="BV319" s="30"/>
      <c r="BW319" s="30"/>
      <c r="BX319" s="30"/>
      <c r="BY319" s="30"/>
      <c r="BZ319" s="30"/>
      <c r="CA319" s="30"/>
      <c r="CB319" s="30"/>
      <c r="CC319" s="30"/>
      <c r="CD319" s="30"/>
      <c r="CE319" s="30"/>
      <c r="CF319" s="30"/>
      <c r="CG319" s="30"/>
      <c r="CH319" s="30"/>
      <c r="CI319" s="30"/>
      <c r="CJ319" s="30"/>
      <c r="CK319" s="30"/>
      <c r="CL319" s="30"/>
      <c r="CM319" s="30"/>
      <c r="CN319" s="30"/>
      <c r="CO319" s="30"/>
      <c r="CP319" s="30"/>
      <c r="CQ319" s="30"/>
      <c r="CR319" s="30"/>
    </row>
    <row r="320" spans="1:96" s="31" customFormat="1" ht="15" x14ac:dyDescent="0.4">
      <c r="A320" s="32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  <c r="AT320" s="33"/>
      <c r="AU320" s="33"/>
      <c r="AV320" s="33"/>
      <c r="AW320" s="33"/>
      <c r="AX320" s="33"/>
      <c r="AY320" s="33"/>
      <c r="AZ320" s="33"/>
      <c r="BA320" s="33"/>
      <c r="BB320" s="33"/>
      <c r="BC320" s="33"/>
      <c r="BD320" s="33"/>
      <c r="BE320" s="33"/>
      <c r="BF320" s="33"/>
      <c r="BG320" s="33"/>
      <c r="BH320" s="33"/>
      <c r="BI320" s="33"/>
      <c r="BJ320" s="33"/>
      <c r="BK320" s="33"/>
      <c r="BL320" s="33"/>
      <c r="BM320" s="33"/>
      <c r="BN320" s="33"/>
      <c r="BO320" s="33"/>
      <c r="BP320" s="33"/>
      <c r="BQ320" s="33"/>
      <c r="BR320" s="33"/>
      <c r="BS320" s="33"/>
      <c r="BT320" s="33"/>
      <c r="BU320" s="33"/>
      <c r="BV320" s="33"/>
      <c r="BW320" s="33"/>
      <c r="BX320" s="33"/>
      <c r="BY320" s="33"/>
      <c r="BZ320" s="33"/>
      <c r="CA320" s="33"/>
      <c r="CB320" s="33"/>
      <c r="CC320" s="33"/>
      <c r="CD320" s="33"/>
      <c r="CE320" s="33"/>
      <c r="CF320" s="33"/>
      <c r="CG320" s="33"/>
      <c r="CH320" s="33"/>
      <c r="CI320" s="33"/>
      <c r="CJ320" s="33"/>
      <c r="CK320" s="33"/>
      <c r="CL320" s="33"/>
      <c r="CM320" s="33"/>
      <c r="CN320" s="33"/>
      <c r="CO320" s="33"/>
      <c r="CP320" s="33"/>
      <c r="CQ320" s="33"/>
      <c r="CR320" s="33"/>
    </row>
    <row r="321" spans="1:96" ht="20" x14ac:dyDescent="0.4">
      <c r="A321" s="1" t="s">
        <v>105</v>
      </c>
    </row>
    <row r="322" spans="1:96" ht="20.5" thickBot="1" x14ac:dyDescent="0.45">
      <c r="A322" s="1" t="str">
        <f>A290</f>
        <v>Kabupaten/Kota :</v>
      </c>
      <c r="B322" s="35" t="str">
        <f>B290</f>
        <v>Kepuluauan Tanimbar</v>
      </c>
      <c r="L322" s="35"/>
      <c r="V322" s="35"/>
      <c r="AF322" s="35"/>
      <c r="AP322" s="35"/>
      <c r="AZ322" s="35"/>
      <c r="BJ322" s="35"/>
      <c r="BT322" s="35"/>
    </row>
    <row r="323" spans="1:96" s="9" customFormat="1" ht="24" customHeight="1" thickBot="1" x14ac:dyDescent="0.35">
      <c r="A323" s="5" t="s">
        <v>2</v>
      </c>
      <c r="B323" s="6" t="s">
        <v>3</v>
      </c>
      <c r="C323" s="6" t="s">
        <v>4</v>
      </c>
      <c r="D323" s="6" t="s">
        <v>5</v>
      </c>
      <c r="E323" s="6" t="s">
        <v>6</v>
      </c>
      <c r="F323" s="6">
        <v>2008</v>
      </c>
      <c r="G323" s="7" t="s">
        <v>7</v>
      </c>
      <c r="H323" s="7" t="s">
        <v>8</v>
      </c>
      <c r="I323" s="7" t="s">
        <v>9</v>
      </c>
      <c r="J323" s="7" t="s">
        <v>10</v>
      </c>
      <c r="K323" s="7">
        <v>2009</v>
      </c>
      <c r="L323" s="6" t="s">
        <v>11</v>
      </c>
      <c r="M323" s="6" t="s">
        <v>12</v>
      </c>
      <c r="N323" s="6" t="s">
        <v>13</v>
      </c>
      <c r="O323" s="6" t="s">
        <v>14</v>
      </c>
      <c r="P323" s="6">
        <v>2010</v>
      </c>
      <c r="Q323" s="7" t="s">
        <v>15</v>
      </c>
      <c r="R323" s="7" t="s">
        <v>16</v>
      </c>
      <c r="S323" s="7" t="s">
        <v>17</v>
      </c>
      <c r="T323" s="7" t="s">
        <v>18</v>
      </c>
      <c r="U323" s="7">
        <v>2011</v>
      </c>
      <c r="V323" s="6" t="s">
        <v>19</v>
      </c>
      <c r="W323" s="6" t="s">
        <v>20</v>
      </c>
      <c r="X323" s="6" t="s">
        <v>21</v>
      </c>
      <c r="Y323" s="6" t="s">
        <v>22</v>
      </c>
      <c r="Z323" s="6">
        <v>2012</v>
      </c>
      <c r="AA323" s="7" t="s">
        <v>23</v>
      </c>
      <c r="AB323" s="7" t="s">
        <v>24</v>
      </c>
      <c r="AC323" s="7" t="s">
        <v>25</v>
      </c>
      <c r="AD323" s="7" t="s">
        <v>26</v>
      </c>
      <c r="AE323" s="7">
        <v>2013</v>
      </c>
      <c r="AF323" s="6" t="s">
        <v>27</v>
      </c>
      <c r="AG323" s="6" t="s">
        <v>28</v>
      </c>
      <c r="AH323" s="6" t="s">
        <v>29</v>
      </c>
      <c r="AI323" s="6" t="s">
        <v>30</v>
      </c>
      <c r="AJ323" s="6">
        <v>2014</v>
      </c>
      <c r="AK323" s="7" t="s">
        <v>31</v>
      </c>
      <c r="AL323" s="7" t="s">
        <v>32</v>
      </c>
      <c r="AM323" s="7" t="s">
        <v>33</v>
      </c>
      <c r="AN323" s="7" t="s">
        <v>34</v>
      </c>
      <c r="AO323" s="7">
        <v>2015</v>
      </c>
      <c r="AP323" s="6" t="s">
        <v>35</v>
      </c>
      <c r="AQ323" s="6" t="s">
        <v>36</v>
      </c>
      <c r="AR323" s="6" t="s">
        <v>37</v>
      </c>
      <c r="AS323" s="6" t="s">
        <v>38</v>
      </c>
      <c r="AT323" s="6">
        <v>2016</v>
      </c>
      <c r="AU323" s="7" t="s">
        <v>39</v>
      </c>
      <c r="AV323" s="7" t="s">
        <v>40</v>
      </c>
      <c r="AW323" s="7" t="s">
        <v>41</v>
      </c>
      <c r="AX323" s="7" t="s">
        <v>42</v>
      </c>
      <c r="AY323" s="7">
        <v>2017</v>
      </c>
      <c r="AZ323" s="6" t="s">
        <v>43</v>
      </c>
      <c r="BA323" s="6" t="s">
        <v>44</v>
      </c>
      <c r="BB323" s="6" t="s">
        <v>45</v>
      </c>
      <c r="BC323" s="6" t="s">
        <v>46</v>
      </c>
      <c r="BD323" s="6">
        <v>2018</v>
      </c>
      <c r="BE323" s="7" t="s">
        <v>47</v>
      </c>
      <c r="BF323" s="7" t="s">
        <v>48</v>
      </c>
      <c r="BG323" s="7" t="s">
        <v>49</v>
      </c>
      <c r="BH323" s="7" t="s">
        <v>50</v>
      </c>
      <c r="BI323" s="7">
        <v>2019</v>
      </c>
      <c r="BJ323" s="6" t="s">
        <v>51</v>
      </c>
      <c r="BK323" s="6" t="s">
        <v>52</v>
      </c>
      <c r="BL323" s="6" t="s">
        <v>53</v>
      </c>
      <c r="BM323" s="6" t="s">
        <v>54</v>
      </c>
      <c r="BN323" s="6">
        <v>2020</v>
      </c>
      <c r="BO323" s="7" t="s">
        <v>55</v>
      </c>
      <c r="BP323" s="7" t="s">
        <v>56</v>
      </c>
      <c r="BQ323" s="7" t="s">
        <v>57</v>
      </c>
      <c r="BR323" s="7" t="s">
        <v>58</v>
      </c>
      <c r="BS323" s="7">
        <v>2021</v>
      </c>
      <c r="BT323" s="6" t="s">
        <v>59</v>
      </c>
      <c r="BU323" s="6" t="s">
        <v>60</v>
      </c>
      <c r="BV323" s="6" t="s">
        <v>61</v>
      </c>
      <c r="BW323" s="6" t="s">
        <v>62</v>
      </c>
      <c r="BX323" s="6">
        <v>2022</v>
      </c>
      <c r="BY323" s="7" t="s">
        <v>63</v>
      </c>
      <c r="BZ323" s="7" t="s">
        <v>64</v>
      </c>
      <c r="CA323" s="7" t="s">
        <v>65</v>
      </c>
      <c r="CB323" s="7" t="s">
        <v>66</v>
      </c>
      <c r="CC323" s="7">
        <v>2023</v>
      </c>
      <c r="CD323" s="8" t="s">
        <v>67</v>
      </c>
      <c r="CE323" s="8" t="s">
        <v>68</v>
      </c>
      <c r="CF323" s="8" t="s">
        <v>69</v>
      </c>
      <c r="CG323" s="8" t="s">
        <v>70</v>
      </c>
      <c r="CH323" s="8">
        <v>2024</v>
      </c>
      <c r="CI323" s="7" t="s">
        <v>71</v>
      </c>
      <c r="CJ323" s="7" t="s">
        <v>72</v>
      </c>
      <c r="CK323" s="7" t="s">
        <v>73</v>
      </c>
      <c r="CL323" s="7" t="s">
        <v>74</v>
      </c>
      <c r="CM323" s="7">
        <v>2025</v>
      </c>
      <c r="CN323" s="8" t="s">
        <v>75</v>
      </c>
      <c r="CO323" s="8" t="s">
        <v>76</v>
      </c>
      <c r="CP323" s="8" t="s">
        <v>77</v>
      </c>
      <c r="CQ323" s="8" t="s">
        <v>78</v>
      </c>
      <c r="CR323" s="8">
        <v>2026</v>
      </c>
    </row>
    <row r="324" spans="1:96" s="9" customFormat="1" ht="13.5" thickBot="1" x14ac:dyDescent="0.35">
      <c r="A324" s="10">
        <v>-1</v>
      </c>
      <c r="B324" s="11">
        <f>A324-1</f>
        <v>-2</v>
      </c>
      <c r="C324" s="11">
        <f>B324-1</f>
        <v>-3</v>
      </c>
      <c r="D324" s="11">
        <f t="shared" ref="D324:BO324" si="1331">C324-1</f>
        <v>-4</v>
      </c>
      <c r="E324" s="11">
        <f t="shared" si="1331"/>
        <v>-5</v>
      </c>
      <c r="F324" s="11">
        <f t="shared" si="1331"/>
        <v>-6</v>
      </c>
      <c r="G324" s="11">
        <f t="shared" si="1331"/>
        <v>-7</v>
      </c>
      <c r="H324" s="11">
        <f t="shared" si="1331"/>
        <v>-8</v>
      </c>
      <c r="I324" s="11">
        <f t="shared" si="1331"/>
        <v>-9</v>
      </c>
      <c r="J324" s="11">
        <f t="shared" si="1331"/>
        <v>-10</v>
      </c>
      <c r="K324" s="11">
        <f t="shared" si="1331"/>
        <v>-11</v>
      </c>
      <c r="L324" s="11">
        <f t="shared" si="1331"/>
        <v>-12</v>
      </c>
      <c r="M324" s="11">
        <f t="shared" si="1331"/>
        <v>-13</v>
      </c>
      <c r="N324" s="11">
        <f t="shared" si="1331"/>
        <v>-14</v>
      </c>
      <c r="O324" s="11">
        <f t="shared" si="1331"/>
        <v>-15</v>
      </c>
      <c r="P324" s="11">
        <f t="shared" si="1331"/>
        <v>-16</v>
      </c>
      <c r="Q324" s="11">
        <f t="shared" si="1331"/>
        <v>-17</v>
      </c>
      <c r="R324" s="11">
        <f t="shared" si="1331"/>
        <v>-18</v>
      </c>
      <c r="S324" s="11">
        <f t="shared" si="1331"/>
        <v>-19</v>
      </c>
      <c r="T324" s="11">
        <f t="shared" si="1331"/>
        <v>-20</v>
      </c>
      <c r="U324" s="11">
        <f t="shared" si="1331"/>
        <v>-21</v>
      </c>
      <c r="V324" s="11">
        <f t="shared" si="1331"/>
        <v>-22</v>
      </c>
      <c r="W324" s="11">
        <f t="shared" si="1331"/>
        <v>-23</v>
      </c>
      <c r="X324" s="11">
        <f t="shared" si="1331"/>
        <v>-24</v>
      </c>
      <c r="Y324" s="11">
        <f t="shared" si="1331"/>
        <v>-25</v>
      </c>
      <c r="Z324" s="11">
        <f t="shared" si="1331"/>
        <v>-26</v>
      </c>
      <c r="AA324" s="11">
        <f t="shared" si="1331"/>
        <v>-27</v>
      </c>
      <c r="AB324" s="11">
        <f t="shared" si="1331"/>
        <v>-28</v>
      </c>
      <c r="AC324" s="11">
        <f t="shared" si="1331"/>
        <v>-29</v>
      </c>
      <c r="AD324" s="11">
        <f t="shared" si="1331"/>
        <v>-30</v>
      </c>
      <c r="AE324" s="11">
        <f t="shared" si="1331"/>
        <v>-31</v>
      </c>
      <c r="AF324" s="11">
        <f t="shared" si="1331"/>
        <v>-32</v>
      </c>
      <c r="AG324" s="11">
        <f t="shared" si="1331"/>
        <v>-33</v>
      </c>
      <c r="AH324" s="11">
        <f t="shared" si="1331"/>
        <v>-34</v>
      </c>
      <c r="AI324" s="11">
        <f t="shared" si="1331"/>
        <v>-35</v>
      </c>
      <c r="AJ324" s="11">
        <f t="shared" si="1331"/>
        <v>-36</v>
      </c>
      <c r="AK324" s="11">
        <f t="shared" si="1331"/>
        <v>-37</v>
      </c>
      <c r="AL324" s="11">
        <f t="shared" si="1331"/>
        <v>-38</v>
      </c>
      <c r="AM324" s="11">
        <f t="shared" si="1331"/>
        <v>-39</v>
      </c>
      <c r="AN324" s="11">
        <f t="shared" si="1331"/>
        <v>-40</v>
      </c>
      <c r="AO324" s="11">
        <f t="shared" si="1331"/>
        <v>-41</v>
      </c>
      <c r="AP324" s="11">
        <f t="shared" si="1331"/>
        <v>-42</v>
      </c>
      <c r="AQ324" s="11">
        <f t="shared" si="1331"/>
        <v>-43</v>
      </c>
      <c r="AR324" s="11">
        <f t="shared" si="1331"/>
        <v>-44</v>
      </c>
      <c r="AS324" s="11">
        <f t="shared" si="1331"/>
        <v>-45</v>
      </c>
      <c r="AT324" s="11">
        <f t="shared" si="1331"/>
        <v>-46</v>
      </c>
      <c r="AU324" s="11">
        <f t="shared" si="1331"/>
        <v>-47</v>
      </c>
      <c r="AV324" s="11">
        <f t="shared" si="1331"/>
        <v>-48</v>
      </c>
      <c r="AW324" s="11">
        <f t="shared" si="1331"/>
        <v>-49</v>
      </c>
      <c r="AX324" s="11">
        <f t="shared" si="1331"/>
        <v>-50</v>
      </c>
      <c r="AY324" s="11">
        <f t="shared" si="1331"/>
        <v>-51</v>
      </c>
      <c r="AZ324" s="11">
        <f t="shared" si="1331"/>
        <v>-52</v>
      </c>
      <c r="BA324" s="11">
        <f t="shared" si="1331"/>
        <v>-53</v>
      </c>
      <c r="BB324" s="11">
        <f t="shared" si="1331"/>
        <v>-54</v>
      </c>
      <c r="BC324" s="11">
        <f t="shared" si="1331"/>
        <v>-55</v>
      </c>
      <c r="BD324" s="11">
        <f t="shared" si="1331"/>
        <v>-56</v>
      </c>
      <c r="BE324" s="11">
        <f t="shared" si="1331"/>
        <v>-57</v>
      </c>
      <c r="BF324" s="11">
        <f t="shared" si="1331"/>
        <v>-58</v>
      </c>
      <c r="BG324" s="11">
        <f t="shared" si="1331"/>
        <v>-59</v>
      </c>
      <c r="BH324" s="11">
        <f t="shared" si="1331"/>
        <v>-60</v>
      </c>
      <c r="BI324" s="11">
        <f t="shared" si="1331"/>
        <v>-61</v>
      </c>
      <c r="BJ324" s="11">
        <f t="shared" si="1331"/>
        <v>-62</v>
      </c>
      <c r="BK324" s="11">
        <f t="shared" si="1331"/>
        <v>-63</v>
      </c>
      <c r="BL324" s="11">
        <f t="shared" si="1331"/>
        <v>-64</v>
      </c>
      <c r="BM324" s="11">
        <f t="shared" si="1331"/>
        <v>-65</v>
      </c>
      <c r="BN324" s="11">
        <f t="shared" si="1331"/>
        <v>-66</v>
      </c>
      <c r="BO324" s="11">
        <f t="shared" si="1331"/>
        <v>-67</v>
      </c>
      <c r="BP324" s="11">
        <f t="shared" ref="BP324:CR324" si="1332">BO324-1</f>
        <v>-68</v>
      </c>
      <c r="BQ324" s="11">
        <f t="shared" si="1332"/>
        <v>-69</v>
      </c>
      <c r="BR324" s="11">
        <f t="shared" si="1332"/>
        <v>-70</v>
      </c>
      <c r="BS324" s="11">
        <f t="shared" si="1332"/>
        <v>-71</v>
      </c>
      <c r="BT324" s="11">
        <f t="shared" si="1332"/>
        <v>-72</v>
      </c>
      <c r="BU324" s="11">
        <f t="shared" si="1332"/>
        <v>-73</v>
      </c>
      <c r="BV324" s="11">
        <f t="shared" si="1332"/>
        <v>-74</v>
      </c>
      <c r="BW324" s="11">
        <f t="shared" si="1332"/>
        <v>-75</v>
      </c>
      <c r="BX324" s="11">
        <f t="shared" si="1332"/>
        <v>-76</v>
      </c>
      <c r="BY324" s="11">
        <f t="shared" si="1332"/>
        <v>-77</v>
      </c>
      <c r="BZ324" s="11">
        <f t="shared" si="1332"/>
        <v>-78</v>
      </c>
      <c r="CA324" s="11">
        <f t="shared" si="1332"/>
        <v>-79</v>
      </c>
      <c r="CB324" s="11">
        <f t="shared" si="1332"/>
        <v>-80</v>
      </c>
      <c r="CC324" s="11">
        <f t="shared" si="1332"/>
        <v>-81</v>
      </c>
      <c r="CD324" s="11">
        <f t="shared" si="1332"/>
        <v>-82</v>
      </c>
      <c r="CE324" s="11">
        <f t="shared" si="1332"/>
        <v>-83</v>
      </c>
      <c r="CF324" s="11">
        <f t="shared" si="1332"/>
        <v>-84</v>
      </c>
      <c r="CG324" s="11">
        <f t="shared" si="1332"/>
        <v>-85</v>
      </c>
      <c r="CH324" s="11">
        <f t="shared" si="1332"/>
        <v>-86</v>
      </c>
      <c r="CI324" s="11">
        <f t="shared" si="1332"/>
        <v>-87</v>
      </c>
      <c r="CJ324" s="11">
        <f t="shared" si="1332"/>
        <v>-88</v>
      </c>
      <c r="CK324" s="11">
        <f t="shared" si="1332"/>
        <v>-89</v>
      </c>
      <c r="CL324" s="11">
        <f t="shared" si="1332"/>
        <v>-90</v>
      </c>
      <c r="CM324" s="11">
        <f t="shared" si="1332"/>
        <v>-91</v>
      </c>
      <c r="CN324" s="11">
        <f t="shared" si="1332"/>
        <v>-92</v>
      </c>
      <c r="CO324" s="11">
        <f t="shared" si="1332"/>
        <v>-93</v>
      </c>
      <c r="CP324" s="11">
        <f t="shared" si="1332"/>
        <v>-94</v>
      </c>
      <c r="CQ324" s="11">
        <f t="shared" si="1332"/>
        <v>-95</v>
      </c>
      <c r="CR324" s="11">
        <f t="shared" si="1332"/>
        <v>-96</v>
      </c>
    </row>
    <row r="325" spans="1:96" s="54" customFormat="1" ht="17.5" customHeight="1" thickTop="1" x14ac:dyDescent="0.4">
      <c r="A325" s="52" t="s">
        <v>106</v>
      </c>
      <c r="B325" s="53">
        <f>SUM(B6,B15)</f>
        <v>154147.7132956704</v>
      </c>
      <c r="C325" s="53">
        <f t="shared" ref="C325:E325" si="1333">SUM(C6,C15)</f>
        <v>156919.83182100803</v>
      </c>
      <c r="D325" s="53">
        <f t="shared" si="1333"/>
        <v>168836.02531721824</v>
      </c>
      <c r="E325" s="53">
        <f t="shared" si="1333"/>
        <v>177349.70023655184</v>
      </c>
      <c r="F325" s="53">
        <f>SUM(B325:E325)</f>
        <v>657253.27067044855</v>
      </c>
      <c r="G325" s="53">
        <f>SUM(G6,G15)</f>
        <v>172000.68228781712</v>
      </c>
      <c r="H325" s="53">
        <f t="shared" ref="H325:J325" si="1334">SUM(H6,H15)</f>
        <v>176652.26717584766</v>
      </c>
      <c r="I325" s="53">
        <f t="shared" si="1334"/>
        <v>187994.67516214089</v>
      </c>
      <c r="J325" s="53">
        <f t="shared" si="1334"/>
        <v>197866.36104261744</v>
      </c>
      <c r="K325" s="53">
        <f>SUM(G325:J325)</f>
        <v>734513.98566842312</v>
      </c>
      <c r="L325" s="53">
        <f>SUM(L6,L15)</f>
        <v>190970.08890663658</v>
      </c>
      <c r="M325" s="53">
        <f t="shared" ref="M325:O325" si="1335">SUM(M6,M15)</f>
        <v>199904.47024314737</v>
      </c>
      <c r="N325" s="53">
        <f t="shared" si="1335"/>
        <v>209695.89351494552</v>
      </c>
      <c r="O325" s="53">
        <f t="shared" si="1335"/>
        <v>217256.775048888</v>
      </c>
      <c r="P325" s="53">
        <f>SUM(L325:O325)</f>
        <v>817827.2277136175</v>
      </c>
      <c r="Q325" s="53">
        <f>SUM(Q6,Q15)</f>
        <v>191584.26189288776</v>
      </c>
      <c r="R325" s="53">
        <f t="shared" ref="R325:T325" si="1336">SUM(R6,R15)</f>
        <v>231862.17360574525</v>
      </c>
      <c r="S325" s="53">
        <f t="shared" si="1336"/>
        <v>238583.55504737239</v>
      </c>
      <c r="T325" s="53">
        <f t="shared" si="1336"/>
        <v>236239.25571273512</v>
      </c>
      <c r="U325" s="53">
        <f>SUM(Q325:T325)</f>
        <v>898269.24625874055</v>
      </c>
      <c r="V325" s="53">
        <f>SUM(V6,V15)</f>
        <v>241558.31259212704</v>
      </c>
      <c r="W325" s="53">
        <f t="shared" ref="W325:Y325" si="1337">SUM(W6,W15)</f>
        <v>252933.96693653727</v>
      </c>
      <c r="X325" s="53">
        <f t="shared" si="1337"/>
        <v>264522.0313080583</v>
      </c>
      <c r="Y325" s="53">
        <f t="shared" si="1337"/>
        <v>272834.1943764133</v>
      </c>
      <c r="Z325" s="53">
        <f>SUM(V325:Y325)</f>
        <v>1031848.5052131359</v>
      </c>
      <c r="AA325" s="53">
        <f>SUM(AA6,AA15)</f>
        <v>261455.19714275209</v>
      </c>
      <c r="AB325" s="53">
        <f t="shared" ref="AB325:AD325" si="1338">SUM(AB6,AB15)</f>
        <v>278652.17131045158</v>
      </c>
      <c r="AC325" s="53">
        <f t="shared" si="1338"/>
        <v>307010.41564759385</v>
      </c>
      <c r="AD325" s="53">
        <f t="shared" si="1338"/>
        <v>327769.60185468441</v>
      </c>
      <c r="AE325" s="53">
        <f>SUM(AA325:AD325)</f>
        <v>1174887.3859554818</v>
      </c>
      <c r="AF325" s="53">
        <f>SUM(AF6,AF15)</f>
        <v>311215.07274685259</v>
      </c>
      <c r="AG325" s="53">
        <f t="shared" ref="AG325:AI325" si="1339">SUM(AG6,AG15)</f>
        <v>322872.90439339471</v>
      </c>
      <c r="AH325" s="53">
        <f t="shared" si="1339"/>
        <v>341959.05366073787</v>
      </c>
      <c r="AI325" s="53">
        <f t="shared" si="1339"/>
        <v>369990.68827163376</v>
      </c>
      <c r="AJ325" s="53">
        <f>SUM(AF325:AI325)</f>
        <v>1346037.719072619</v>
      </c>
      <c r="AK325" s="53">
        <f>SUM(AK6,AK15)</f>
        <v>354048.21052482614</v>
      </c>
      <c r="AL325" s="53">
        <f t="shared" ref="AL325:AN325" si="1340">SUM(AL6,AL15)</f>
        <v>374511.75212024973</v>
      </c>
      <c r="AM325" s="53">
        <f t="shared" si="1340"/>
        <v>396541.73622212355</v>
      </c>
      <c r="AN325" s="53">
        <f t="shared" si="1340"/>
        <v>432286.05313280073</v>
      </c>
      <c r="AO325" s="53">
        <f>SUM(AK325:AN325)</f>
        <v>1557387.7520000003</v>
      </c>
      <c r="AP325" s="53">
        <f>SUM(AP6,AP15)</f>
        <v>413078.75492569944</v>
      </c>
      <c r="AQ325" s="53">
        <f t="shared" ref="AQ325:AS325" si="1341">SUM(AQ6,AQ15)</f>
        <v>424695.35506722191</v>
      </c>
      <c r="AR325" s="53">
        <f t="shared" si="1341"/>
        <v>437209.63189106429</v>
      </c>
      <c r="AS325" s="53">
        <f t="shared" si="1341"/>
        <v>460086.12911601824</v>
      </c>
      <c r="AT325" s="53">
        <f>SUM(AP325:AS325)</f>
        <v>1735069.871000004</v>
      </c>
      <c r="AU325" s="53">
        <f>SUM(AU6,AU15)</f>
        <v>441476.8799335488</v>
      </c>
      <c r="AV325" s="53">
        <f t="shared" ref="AV325:AX325" si="1342">SUM(AV6,AV15)</f>
        <v>460989.86169389077</v>
      </c>
      <c r="AW325" s="53">
        <f t="shared" si="1342"/>
        <v>483658.79616275372</v>
      </c>
      <c r="AX325" s="53">
        <f t="shared" si="1342"/>
        <v>506997.76659335877</v>
      </c>
      <c r="AY325" s="53">
        <f>SUM(AU325:AX325)</f>
        <v>1893123.3043835519</v>
      </c>
      <c r="AZ325" s="53">
        <f>SUM(AZ6,AZ15)</f>
        <v>473555.63106459798</v>
      </c>
      <c r="BA325" s="53">
        <f t="shared" ref="BA325:BC325" si="1343">SUM(BA6,BA15)</f>
        <v>493839.51408238919</v>
      </c>
      <c r="BB325" s="53">
        <f t="shared" si="1343"/>
        <v>515166.28605947108</v>
      </c>
      <c r="BC325" s="53">
        <f t="shared" si="1343"/>
        <v>545125.78649354144</v>
      </c>
      <c r="BD325" s="53">
        <f>SUM(AZ325:BC325)</f>
        <v>2027687.2176999997</v>
      </c>
      <c r="BE325" s="53">
        <f>SUM(BE6,BE15)</f>
        <v>524556.72675761825</v>
      </c>
      <c r="BF325" s="53">
        <f t="shared" ref="BF325:BH325" si="1344">SUM(BF6,BF15)</f>
        <v>549995.96665291488</v>
      </c>
      <c r="BG325" s="53">
        <f t="shared" si="1344"/>
        <v>586200.12420938443</v>
      </c>
      <c r="BH325" s="53">
        <f t="shared" si="1344"/>
        <v>590049.66438007285</v>
      </c>
      <c r="BI325" s="53">
        <f>SUM(BE325:BH325)</f>
        <v>2250802.4819999905</v>
      </c>
      <c r="BJ325" s="53">
        <f>SUM(BJ6,BJ15)</f>
        <v>566325.92213174398</v>
      </c>
      <c r="BK325" s="53">
        <f t="shared" ref="BK325:BM325" si="1345">SUM(BK6,BK15)</f>
        <v>567671.34420260298</v>
      </c>
      <c r="BL325" s="53">
        <f t="shared" si="1345"/>
        <v>588687.65840234642</v>
      </c>
      <c r="BM325" s="53">
        <f t="shared" si="1345"/>
        <v>596395.73627522064</v>
      </c>
      <c r="BN325" s="53">
        <f>SUM(BJ325:BM325)</f>
        <v>2319080.6610119143</v>
      </c>
      <c r="BO325" s="53">
        <f>SUM(BO6,BO15)</f>
        <v>592944.20825382078</v>
      </c>
      <c r="BP325" s="53">
        <f t="shared" ref="BP325:BR325" si="1346">SUM(BP6,BP15)</f>
        <v>607766.52137191023</v>
      </c>
      <c r="BQ325" s="53">
        <f t="shared" si="1346"/>
        <v>594441.68290643231</v>
      </c>
      <c r="BR325" s="53">
        <f t="shared" si="1346"/>
        <v>640391.5874678368</v>
      </c>
      <c r="BS325" s="53">
        <f>SUM(BO325:BR325)</f>
        <v>2435544</v>
      </c>
      <c r="BT325" s="53">
        <f>SUM(BT6,BT15)</f>
        <v>646034.85548038443</v>
      </c>
      <c r="BU325" s="53">
        <f t="shared" ref="BU325:BW325" si="1347">SUM(BU6,BU15)</f>
        <v>662340.34826739412</v>
      </c>
      <c r="BV325" s="53">
        <f t="shared" si="1347"/>
        <v>675999.20269071625</v>
      </c>
      <c r="BW325" s="53">
        <f t="shared" si="1347"/>
        <v>694019.07504126616</v>
      </c>
      <c r="BX325" s="53">
        <f>SUM(BT325:BW325)</f>
        <v>2678393.4814797612</v>
      </c>
      <c r="BY325" s="53">
        <f>SUM(BY6,BY15)</f>
        <v>686746.08805796574</v>
      </c>
      <c r="BZ325" s="53">
        <f t="shared" ref="BZ325:CB325" si="1348">SUM(BZ6,BZ15)</f>
        <v>703836.40184181498</v>
      </c>
      <c r="CA325" s="53">
        <f t="shared" si="1348"/>
        <v>712872.29036497546</v>
      </c>
      <c r="CB325" s="53">
        <f t="shared" si="1348"/>
        <v>735092.73</v>
      </c>
      <c r="CC325" s="53">
        <f>SUM(BY325:CB325)</f>
        <v>2838547.5102647562</v>
      </c>
      <c r="CD325" s="53">
        <f>SUM(CD6,CD15)</f>
        <v>739247.07933832484</v>
      </c>
      <c r="CE325" s="53">
        <f t="shared" ref="CE325:CG325" si="1349">SUM(CE6,CE15)</f>
        <v>750712.33170254552</v>
      </c>
      <c r="CF325" s="53">
        <f t="shared" si="1349"/>
        <v>755894.57914788055</v>
      </c>
      <c r="CG325" s="53">
        <f t="shared" si="1349"/>
        <v>777751.21831219946</v>
      </c>
      <c r="CH325" s="53">
        <f>SUM(CD325:CG325)</f>
        <v>3023605.2085009506</v>
      </c>
      <c r="CI325" s="53">
        <f>SUM(CI6,CI15)</f>
        <v>782198.51181675866</v>
      </c>
      <c r="CJ325" s="53">
        <f t="shared" ref="CJ325:CL325" si="1350">SUM(CJ6,CJ15)</f>
        <v>804911.89820857672</v>
      </c>
      <c r="CK325" s="53">
        <f t="shared" si="1350"/>
        <v>824574.05937178421</v>
      </c>
      <c r="CL325" s="53">
        <f t="shared" si="1350"/>
        <v>852309.21831219993</v>
      </c>
      <c r="CM325" s="53">
        <f>SUM(CI325:CL325)</f>
        <v>3263993.6877093194</v>
      </c>
      <c r="CN325" s="53">
        <f>SUM(CN6,CN15)</f>
        <v>0</v>
      </c>
      <c r="CO325" s="53">
        <f t="shared" ref="CO325:CQ325" si="1351">SUM(CO6,CO15)</f>
        <v>0</v>
      </c>
      <c r="CP325" s="53">
        <f t="shared" si="1351"/>
        <v>0</v>
      </c>
      <c r="CQ325" s="53">
        <f t="shared" si="1351"/>
        <v>0</v>
      </c>
      <c r="CR325" s="53">
        <f>SUM(CN325:CQ325)</f>
        <v>0</v>
      </c>
    </row>
    <row r="326" spans="1:96" s="54" customFormat="1" ht="17.5" customHeight="1" x14ac:dyDescent="0.4">
      <c r="A326" s="52" t="s">
        <v>107</v>
      </c>
      <c r="B326" s="53">
        <f>SUM(B17)</f>
        <v>79702.146371183757</v>
      </c>
      <c r="C326" s="53">
        <f t="shared" ref="C326:E326" si="1352">SUM(C17)</f>
        <v>97096.926040586302</v>
      </c>
      <c r="D326" s="53">
        <f t="shared" si="1352"/>
        <v>104085.05425503016</v>
      </c>
      <c r="E326" s="53">
        <f t="shared" si="1352"/>
        <v>110280.17637135985</v>
      </c>
      <c r="F326" s="53">
        <f>SUM(B326:E326)</f>
        <v>391164.30303816008</v>
      </c>
      <c r="G326" s="53">
        <f>SUM(G17)</f>
        <v>107316.91190088533</v>
      </c>
      <c r="H326" s="53">
        <f t="shared" ref="H326:J326" si="1353">SUM(H17)</f>
        <v>124794.71374691029</v>
      </c>
      <c r="I326" s="53">
        <f t="shared" si="1353"/>
        <v>129067.35521260388</v>
      </c>
      <c r="J326" s="53">
        <f t="shared" si="1353"/>
        <v>149343.9907682304</v>
      </c>
      <c r="K326" s="53">
        <f>SUM(G326:J326)</f>
        <v>510522.97162862989</v>
      </c>
      <c r="L326" s="53">
        <f>SUM(L17)</f>
        <v>118820.59826934322</v>
      </c>
      <c r="M326" s="53">
        <f t="shared" ref="M326:O326" si="1354">SUM(M17)</f>
        <v>134070.67478585968</v>
      </c>
      <c r="N326" s="53">
        <f t="shared" si="1354"/>
        <v>143879.98378224892</v>
      </c>
      <c r="O326" s="53">
        <f t="shared" si="1354"/>
        <v>169003.97537070015</v>
      </c>
      <c r="P326" s="53">
        <f>SUM(L326:O326)</f>
        <v>565775.23220815195</v>
      </c>
      <c r="Q326" s="53">
        <f>SUM(Q17)</f>
        <v>146993.05647181493</v>
      </c>
      <c r="R326" s="53">
        <f t="shared" ref="R326:T326" si="1355">SUM(R17)</f>
        <v>176600.2794143192</v>
      </c>
      <c r="S326" s="53">
        <f t="shared" si="1355"/>
        <v>202916.91612386602</v>
      </c>
      <c r="T326" s="53">
        <f t="shared" si="1355"/>
        <v>212556.08839493099</v>
      </c>
      <c r="U326" s="53">
        <f>SUM(Q326:T326)</f>
        <v>739066.34040493122</v>
      </c>
      <c r="V326" s="53">
        <f>SUM(V17)</f>
        <v>160714.44996811458</v>
      </c>
      <c r="W326" s="53">
        <f t="shared" ref="W326:Y326" si="1356">SUM(W17)</f>
        <v>202996.62061109673</v>
      </c>
      <c r="X326" s="53">
        <f t="shared" si="1356"/>
        <v>208136.67574111914</v>
      </c>
      <c r="Y326" s="53">
        <f t="shared" si="1356"/>
        <v>235412.66254857005</v>
      </c>
      <c r="Z326" s="53">
        <f>SUM(V326:Y326)</f>
        <v>807260.40886890062</v>
      </c>
      <c r="AA326" s="53">
        <f>SUM(AA17)</f>
        <v>178884.91770869854</v>
      </c>
      <c r="AB326" s="53">
        <f t="shared" ref="AB326:AD326" si="1357">SUM(AB17)</f>
        <v>217923.20016126285</v>
      </c>
      <c r="AC326" s="53">
        <f t="shared" si="1357"/>
        <v>235598.61336659841</v>
      </c>
      <c r="AD326" s="53">
        <f t="shared" si="1357"/>
        <v>256437.74586035308</v>
      </c>
      <c r="AE326" s="53">
        <f>SUM(AA326:AD326)</f>
        <v>888844.47709691292</v>
      </c>
      <c r="AF326" s="53">
        <f>SUM(AF17)</f>
        <v>205849.30463768184</v>
      </c>
      <c r="AG326" s="53">
        <f t="shared" ref="AG326:AI326" si="1358">SUM(AG17)</f>
        <v>235350.75609704811</v>
      </c>
      <c r="AH326" s="53">
        <f t="shared" si="1358"/>
        <v>258784.15156946843</v>
      </c>
      <c r="AI326" s="53">
        <f t="shared" si="1358"/>
        <v>286630.68362259172</v>
      </c>
      <c r="AJ326" s="53">
        <f>SUM(AF326:AI326)</f>
        <v>986614.89592679008</v>
      </c>
      <c r="AK326" s="53">
        <f>SUM(AK17)</f>
        <v>237140.02404687455</v>
      </c>
      <c r="AL326" s="53">
        <f t="shared" ref="AL326:AN326" si="1359">SUM(AL17)</f>
        <v>261054.74683223691</v>
      </c>
      <c r="AM326" s="53">
        <f t="shared" si="1359"/>
        <v>284732.95054968272</v>
      </c>
      <c r="AN326" s="53">
        <f t="shared" si="1359"/>
        <v>318076.39857120591</v>
      </c>
      <c r="AO326" s="53">
        <f>SUM(AK326:AN326)</f>
        <v>1101004.1200000001</v>
      </c>
      <c r="AP326" s="53">
        <f>SUM(AP17)</f>
        <v>264045.45044055267</v>
      </c>
      <c r="AQ326" s="53">
        <f t="shared" ref="AQ326:AS326" si="1360">SUM(AQ17)</f>
        <v>286296.79585603584</v>
      </c>
      <c r="AR326" s="53">
        <f t="shared" si="1360"/>
        <v>310093.93576893606</v>
      </c>
      <c r="AS326" s="53">
        <f t="shared" si="1360"/>
        <v>343150.00793447538</v>
      </c>
      <c r="AT326" s="53">
        <f>SUM(AP326:AS326)</f>
        <v>1203586.19</v>
      </c>
      <c r="AU326" s="53">
        <f>SUM(AU17)</f>
        <v>284907.54080325988</v>
      </c>
      <c r="AV326" s="53">
        <f t="shared" ref="AV326:AX326" si="1361">SUM(AV17)</f>
        <v>303860.80875009677</v>
      </c>
      <c r="AW326" s="53">
        <f t="shared" si="1361"/>
        <v>331483.11580834456</v>
      </c>
      <c r="AX326" s="53">
        <f t="shared" si="1361"/>
        <v>356198.77695244906</v>
      </c>
      <c r="AY326" s="53">
        <f>SUM(AU326:AX326)</f>
        <v>1276450.2423141503</v>
      </c>
      <c r="AZ326" s="53">
        <f>SUM(AZ17)</f>
        <v>290490.4892348377</v>
      </c>
      <c r="BA326" s="53">
        <f t="shared" ref="BA326:BC326" si="1362">SUM(BA17)</f>
        <v>311645.93058970646</v>
      </c>
      <c r="BB326" s="53">
        <f t="shared" si="1362"/>
        <v>340944.20548754802</v>
      </c>
      <c r="BC326" s="53">
        <f t="shared" si="1362"/>
        <v>366629.69468790788</v>
      </c>
      <c r="BD326" s="53">
        <f>SUM(AZ326:BC326)</f>
        <v>1309710.32</v>
      </c>
      <c r="BE326" s="53">
        <f>SUM(BE17)</f>
        <v>303929.51662695577</v>
      </c>
      <c r="BF326" s="53">
        <f t="shared" ref="BF326:BH326" si="1363">SUM(BF17)</f>
        <v>342979.64320432662</v>
      </c>
      <c r="BG326" s="53">
        <f t="shared" si="1363"/>
        <v>389969.26315920759</v>
      </c>
      <c r="BH326" s="53">
        <f t="shared" si="1363"/>
        <v>425315.32700949983</v>
      </c>
      <c r="BI326" s="53">
        <f>SUM(BE326:BH326)</f>
        <v>1462193.7499999898</v>
      </c>
      <c r="BJ326" s="53">
        <f>SUM(BJ17)</f>
        <v>216551.57604047286</v>
      </c>
      <c r="BK326" s="53">
        <f t="shared" ref="BK326:BM326" si="1364">SUM(BK17)</f>
        <v>261918.56305308983</v>
      </c>
      <c r="BL326" s="53">
        <f t="shared" si="1364"/>
        <v>282009.84380708577</v>
      </c>
      <c r="BM326" s="53">
        <f t="shared" si="1364"/>
        <v>344004.51405478147</v>
      </c>
      <c r="BN326" s="53">
        <f>SUM(BJ326:BM326)</f>
        <v>1104484.4969554299</v>
      </c>
      <c r="BO326" s="53">
        <f>SUM(BO17)</f>
        <v>159580.07292413732</v>
      </c>
      <c r="BP326" s="53">
        <f t="shared" ref="BP326:BR326" si="1365">SUM(BP17)</f>
        <v>317558.20318485319</v>
      </c>
      <c r="BQ326" s="53">
        <f t="shared" si="1365"/>
        <v>252768.00851721916</v>
      </c>
      <c r="BR326" s="53">
        <f t="shared" si="1365"/>
        <v>426179.48537379032</v>
      </c>
      <c r="BS326" s="53">
        <f>SUM(BO326:BR326)</f>
        <v>1156085.77</v>
      </c>
      <c r="BT326" s="53">
        <f>SUM(BT17)</f>
        <v>168849.25552027728</v>
      </c>
      <c r="BU326" s="53">
        <f t="shared" ref="BU326:BW326" si="1366">SUM(BU17)</f>
        <v>237641.34499808904</v>
      </c>
      <c r="BV326" s="53">
        <f t="shared" si="1366"/>
        <v>294510.35683543992</v>
      </c>
      <c r="BW326" s="53">
        <f t="shared" si="1366"/>
        <v>407259.84305597353</v>
      </c>
      <c r="BX326" s="53">
        <f>SUM(BT326:BW326)</f>
        <v>1108260.8004097799</v>
      </c>
      <c r="BY326" s="53">
        <f>SUM(BY17)</f>
        <v>171659.06279688401</v>
      </c>
      <c r="BZ326" s="53">
        <f t="shared" ref="BZ326:CB326" si="1367">SUM(BZ17)</f>
        <v>286703.81048368802</v>
      </c>
      <c r="CA326" s="53">
        <f t="shared" si="1367"/>
        <v>268880.47816355899</v>
      </c>
      <c r="CB326" s="53">
        <f t="shared" si="1367"/>
        <v>396536.06</v>
      </c>
      <c r="CC326" s="53">
        <f>SUM(BY326:CB326)</f>
        <v>1123779.4114441311</v>
      </c>
      <c r="CD326" s="53">
        <f>SUM(CD17)</f>
        <v>189973.45092803301</v>
      </c>
      <c r="CE326" s="53">
        <f t="shared" ref="CE326:CG326" si="1368">SUM(CE17)</f>
        <v>296050.61003543902</v>
      </c>
      <c r="CF326" s="53">
        <f t="shared" si="1368"/>
        <v>276051.269967111</v>
      </c>
      <c r="CG326" s="53">
        <f t="shared" si="1368"/>
        <v>407610.76987219299</v>
      </c>
      <c r="CH326" s="53">
        <f>SUM(CD326:CG326)</f>
        <v>1169686.1008027759</v>
      </c>
      <c r="CI326" s="53">
        <f>SUM(CI17)</f>
        <v>212651.76745183201</v>
      </c>
      <c r="CJ326" s="53">
        <f t="shared" ref="CJ326:CL326" si="1369">SUM(CJ17)</f>
        <v>263398.99034058698</v>
      </c>
      <c r="CK326" s="53">
        <f t="shared" si="1369"/>
        <v>267424.40168673702</v>
      </c>
      <c r="CL326" s="53">
        <f t="shared" si="1369"/>
        <v>335510.76987219299</v>
      </c>
      <c r="CM326" s="53">
        <f>SUM(CI326:CL326)</f>
        <v>1078985.9293513489</v>
      </c>
      <c r="CN326" s="53">
        <f>SUM(CN17)</f>
        <v>0</v>
      </c>
      <c r="CO326" s="53">
        <f t="shared" ref="CO326:CQ326" si="1370">SUM(CO17)</f>
        <v>0</v>
      </c>
      <c r="CP326" s="53">
        <f t="shared" si="1370"/>
        <v>0</v>
      </c>
      <c r="CQ326" s="53">
        <f t="shared" si="1370"/>
        <v>0</v>
      </c>
      <c r="CR326" s="53">
        <f>SUM(CN326:CQ326)</f>
        <v>0</v>
      </c>
    </row>
    <row r="327" spans="1:96" s="54" customFormat="1" ht="17.5" customHeight="1" x14ac:dyDescent="0.4">
      <c r="A327" s="52" t="s">
        <v>108</v>
      </c>
      <c r="B327" s="53">
        <f>SUM(B19,B23)</f>
        <v>81026.121307894486</v>
      </c>
      <c r="C327" s="53">
        <f t="shared" ref="C327:E327" si="1371">SUM(C19,C23)</f>
        <v>82387.333615295851</v>
      </c>
      <c r="D327" s="53">
        <f t="shared" si="1371"/>
        <v>88257.669394052704</v>
      </c>
      <c r="E327" s="53">
        <f t="shared" si="1371"/>
        <v>85197.78044449228</v>
      </c>
      <c r="F327" s="53">
        <f>SUM(B327:E327)</f>
        <v>336868.90476173535</v>
      </c>
      <c r="G327" s="53">
        <f>SUM(G19,G23)</f>
        <v>80123.291326567603</v>
      </c>
      <c r="H327" s="53">
        <f t="shared" ref="H327:J327" si="1372">SUM(H19,H23)</f>
        <v>84213.51332114666</v>
      </c>
      <c r="I327" s="53">
        <f t="shared" si="1372"/>
        <v>90879.293306145482</v>
      </c>
      <c r="J327" s="53">
        <f t="shared" si="1372"/>
        <v>96477.220400327511</v>
      </c>
      <c r="K327" s="53">
        <f>SUM(G327:J327)</f>
        <v>351693.31835418724</v>
      </c>
      <c r="L327" s="53">
        <f>SUM(L19,L23)</f>
        <v>94777.117977767499</v>
      </c>
      <c r="M327" s="53">
        <f t="shared" ref="M327:O327" si="1373">SUM(M19,M23)</f>
        <v>111777.37075201365</v>
      </c>
      <c r="N327" s="53">
        <f t="shared" si="1373"/>
        <v>115408.18026197988</v>
      </c>
      <c r="O327" s="53">
        <f t="shared" si="1373"/>
        <v>110164.11789600064</v>
      </c>
      <c r="P327" s="53">
        <f>SUM(L327:O327)</f>
        <v>432126.78688776167</v>
      </c>
      <c r="Q327" s="53">
        <f>SUM(Q19,Q23)</f>
        <v>124431.78502491483</v>
      </c>
      <c r="R327" s="53">
        <f t="shared" ref="R327:T327" si="1374">SUM(R19,R23)</f>
        <v>131842.92045844809</v>
      </c>
      <c r="S327" s="53">
        <f t="shared" si="1374"/>
        <v>135946.61364069951</v>
      </c>
      <c r="T327" s="53">
        <f t="shared" si="1374"/>
        <v>142950.34660696355</v>
      </c>
      <c r="U327" s="53">
        <f>SUM(Q327:T327)</f>
        <v>535171.66573102598</v>
      </c>
      <c r="V327" s="53">
        <f>SUM(V19,V23)</f>
        <v>161003.15691651517</v>
      </c>
      <c r="W327" s="53">
        <f t="shared" ref="W327:Y327" si="1375">SUM(W19,W23)</f>
        <v>178731.66538652222</v>
      </c>
      <c r="X327" s="53">
        <f t="shared" si="1375"/>
        <v>185810.26151128535</v>
      </c>
      <c r="Y327" s="53">
        <f t="shared" si="1375"/>
        <v>190196.30151057267</v>
      </c>
      <c r="Z327" s="53">
        <f>SUM(V327:Y327)</f>
        <v>715741.38532489538</v>
      </c>
      <c r="AA327" s="53">
        <f>SUM(AA19,AA23)</f>
        <v>202232.94582241095</v>
      </c>
      <c r="AB327" s="53">
        <f t="shared" ref="AB327:AD327" si="1376">SUM(AB19,AB23)</f>
        <v>182210.90124545517</v>
      </c>
      <c r="AC327" s="53">
        <f t="shared" si="1376"/>
        <v>197778.91369147517</v>
      </c>
      <c r="AD327" s="53">
        <f t="shared" si="1376"/>
        <v>211955.60872981788</v>
      </c>
      <c r="AE327" s="53">
        <f>SUM(AA327:AD327)</f>
        <v>794178.3694891592</v>
      </c>
      <c r="AF327" s="53">
        <f>SUM(AF19,AF23)</f>
        <v>223328.40708955031</v>
      </c>
      <c r="AG327" s="53">
        <f t="shared" ref="AG327:AI327" si="1377">SUM(AG19,AG23)</f>
        <v>211670.56478339693</v>
      </c>
      <c r="AH327" s="53">
        <f t="shared" si="1377"/>
        <v>219594.30030257185</v>
      </c>
      <c r="AI327" s="53">
        <f t="shared" si="1377"/>
        <v>226096.56477755227</v>
      </c>
      <c r="AJ327" s="53">
        <f>SUM(AF327:AI327)</f>
        <v>880689.8369530713</v>
      </c>
      <c r="AK327" s="53">
        <f>SUM(AK19,AK23)</f>
        <v>216381.07285688524</v>
      </c>
      <c r="AL327" s="53">
        <f t="shared" ref="AL327:AN327" si="1378">SUM(AL19,AL23)</f>
        <v>232143.61060863337</v>
      </c>
      <c r="AM327" s="53">
        <f t="shared" si="1378"/>
        <v>244341.75460657902</v>
      </c>
      <c r="AN327" s="53">
        <f t="shared" si="1378"/>
        <v>267748.67192790238</v>
      </c>
      <c r="AO327" s="53">
        <f>SUM(AK327:AN327)</f>
        <v>960615.1100000001</v>
      </c>
      <c r="AP327" s="53">
        <f>SUM(AP19,AP23)</f>
        <v>248828.29091428066</v>
      </c>
      <c r="AQ327" s="53">
        <f t="shared" ref="AQ327:AS327" si="1379">SUM(AQ19,AQ23)</f>
        <v>260902.8288021888</v>
      </c>
      <c r="AR327" s="53">
        <f t="shared" si="1379"/>
        <v>277558.83120477083</v>
      </c>
      <c r="AS327" s="53">
        <f t="shared" si="1379"/>
        <v>298487.84507875983</v>
      </c>
      <c r="AT327" s="53">
        <f>SUM(AP327:AS327)</f>
        <v>1085777.7960000001</v>
      </c>
      <c r="AU327" s="53">
        <f>SUM(AU19,AU23)</f>
        <v>280852.17159626074</v>
      </c>
      <c r="AV327" s="53">
        <f t="shared" ref="AV327:AX327" si="1380">SUM(AV19,AV23)</f>
        <v>293763.55394931696</v>
      </c>
      <c r="AW327" s="53">
        <f t="shared" si="1380"/>
        <v>308869.82018774305</v>
      </c>
      <c r="AX327" s="53">
        <f t="shared" si="1380"/>
        <v>329978.48878588941</v>
      </c>
      <c r="AY327" s="53">
        <f>SUM(AU327:AX327)</f>
        <v>1213464.0345192102</v>
      </c>
      <c r="AZ327" s="53">
        <f>SUM(AZ19,AZ23)</f>
        <v>315016.17430999415</v>
      </c>
      <c r="BA327" s="53">
        <f t="shared" ref="BA327:BC327" si="1381">SUM(BA19,BA23)</f>
        <v>323412.77957429696</v>
      </c>
      <c r="BB327" s="53">
        <f t="shared" si="1381"/>
        <v>331898.43477664411</v>
      </c>
      <c r="BC327" s="53">
        <f t="shared" si="1381"/>
        <v>344382.42333906458</v>
      </c>
      <c r="BD327" s="53">
        <f>SUM(AZ327:BC327)</f>
        <v>1314709.8119999999</v>
      </c>
      <c r="BE327" s="53">
        <f>SUM(BE19,BE23)</f>
        <v>337212.13702197571</v>
      </c>
      <c r="BF327" s="53">
        <f t="shared" ref="BF327:BH327" si="1382">SUM(BF19,BF23)</f>
        <v>350321.4667169039</v>
      </c>
      <c r="BG327" s="53">
        <f t="shared" si="1382"/>
        <v>371974.33261242224</v>
      </c>
      <c r="BH327" s="53">
        <f t="shared" si="1382"/>
        <v>390190.118148699</v>
      </c>
      <c r="BI327" s="53">
        <f>SUM(BE327:BH327)</f>
        <v>1449698.0545000008</v>
      </c>
      <c r="BJ327" s="53">
        <f>SUM(BJ19,BJ23)</f>
        <v>356609.45661071705</v>
      </c>
      <c r="BK327" s="53">
        <f t="shared" ref="BK327:BM327" si="1383">SUM(BK19,BK23)</f>
        <v>364924.06350252894</v>
      </c>
      <c r="BL327" s="53">
        <f t="shared" si="1383"/>
        <v>385952.44382739137</v>
      </c>
      <c r="BM327" s="53">
        <f t="shared" si="1383"/>
        <v>389874.62305936241</v>
      </c>
      <c r="BN327" s="53">
        <f>SUM(BJ327:BM327)</f>
        <v>1497360.5869999998</v>
      </c>
      <c r="BO327" s="53">
        <f>SUM(BO19,BO23)</f>
        <v>380636.23019683367</v>
      </c>
      <c r="BP327" s="53">
        <f t="shared" ref="BP327:BR327" si="1384">SUM(BP19,BP23)</f>
        <v>391312.99603220634</v>
      </c>
      <c r="BQ327" s="53">
        <f t="shared" si="1384"/>
        <v>416772.80175611848</v>
      </c>
      <c r="BR327" s="53">
        <f t="shared" si="1384"/>
        <v>424707.95201484056</v>
      </c>
      <c r="BS327" s="53">
        <f>SUM(BO327:BR327)</f>
        <v>1613429.9799999991</v>
      </c>
      <c r="BT327" s="53">
        <f>SUM(BT19,BT23)</f>
        <v>382848.65029696171</v>
      </c>
      <c r="BU327" s="53">
        <f t="shared" ref="BU327:BW327" si="1385">SUM(BU19,BU23)</f>
        <v>418450.05312139442</v>
      </c>
      <c r="BV327" s="53">
        <f t="shared" si="1385"/>
        <v>420837.86602337111</v>
      </c>
      <c r="BW327" s="53">
        <f t="shared" si="1385"/>
        <v>456495.56165353977</v>
      </c>
      <c r="BX327" s="53">
        <f>SUM(BT327:BW327)</f>
        <v>1678632.1310952671</v>
      </c>
      <c r="BY327" s="53">
        <f>SUM(BY19,BY23)</f>
        <v>402036.81889623281</v>
      </c>
      <c r="BZ327" s="53">
        <f t="shared" ref="BZ327:CB327" si="1386">SUM(BZ19,BZ23)</f>
        <v>415909.58071105432</v>
      </c>
      <c r="CA327" s="53">
        <f t="shared" si="1386"/>
        <v>444471.03506729851</v>
      </c>
      <c r="CB327" s="53">
        <f t="shared" si="1386"/>
        <v>449155.20000000007</v>
      </c>
      <c r="CC327" s="53">
        <f>SUM(BY327:CB327)</f>
        <v>1711572.6346745859</v>
      </c>
      <c r="CD327" s="53">
        <f>SUM(CD19,CD23)</f>
        <v>421280.80343124352</v>
      </c>
      <c r="CE327" s="53">
        <f t="shared" ref="CE327:CG327" si="1387">SUM(CE19,CE23)</f>
        <v>435306.9281917304</v>
      </c>
      <c r="CF327" s="53">
        <f t="shared" si="1387"/>
        <v>456591.96332056052</v>
      </c>
      <c r="CG327" s="53">
        <f t="shared" si="1387"/>
        <v>472373.17764383741</v>
      </c>
      <c r="CH327" s="53">
        <f>SUM(CD327:CG327)</f>
        <v>1785552.8725873719</v>
      </c>
      <c r="CI327" s="53">
        <f>SUM(CI19,CI23)</f>
        <v>438443.89737205283</v>
      </c>
      <c r="CJ327" s="53">
        <f t="shared" ref="CJ327:CL327" si="1388">SUM(CJ19,CJ23)</f>
        <v>448451.8420992032</v>
      </c>
      <c r="CK327" s="53">
        <f t="shared" si="1388"/>
        <v>468876.32182305207</v>
      </c>
      <c r="CL327" s="53">
        <f t="shared" si="1388"/>
        <v>483248.17764383752</v>
      </c>
      <c r="CM327" s="53">
        <f>SUM(CI327:CL327)</f>
        <v>1839020.2389381458</v>
      </c>
      <c r="CN327" s="53">
        <f>SUM(CN19,CN23)</f>
        <v>0</v>
      </c>
      <c r="CO327" s="53">
        <f t="shared" ref="CO327:CQ327" si="1389">SUM(CO19,CO23)</f>
        <v>0</v>
      </c>
      <c r="CP327" s="53">
        <f t="shared" si="1389"/>
        <v>0</v>
      </c>
      <c r="CQ327" s="53">
        <f t="shared" si="1389"/>
        <v>0</v>
      </c>
      <c r="CR327" s="53">
        <f>SUM(CN327:CQ327)</f>
        <v>0</v>
      </c>
    </row>
    <row r="328" spans="1:96" s="54" customFormat="1" ht="17.5" customHeight="1" x14ac:dyDescent="0.4">
      <c r="A328" s="52" t="s">
        <v>109</v>
      </c>
      <c r="B328" s="53">
        <f>B25-B27</f>
        <v>-143174.04582320966</v>
      </c>
      <c r="C328" s="53">
        <f t="shared" ref="C328:E328" si="1390">C25-C27</f>
        <v>-157000.54378399655</v>
      </c>
      <c r="D328" s="53">
        <f t="shared" si="1390"/>
        <v>-175866.62312502228</v>
      </c>
      <c r="E328" s="53">
        <f t="shared" si="1390"/>
        <v>-177575.4524174871</v>
      </c>
      <c r="F328" s="53">
        <f>SUM(B328:E328)</f>
        <v>-653616.6651497155</v>
      </c>
      <c r="G328" s="53">
        <f>G25-G27</f>
        <v>-156339.65166771729</v>
      </c>
      <c r="H328" s="53">
        <f t="shared" ref="H328:J328" si="1391">H25-H27</f>
        <v>-178311.35200680094</v>
      </c>
      <c r="I328" s="53">
        <f t="shared" si="1391"/>
        <v>-193375.74337251965</v>
      </c>
      <c r="J328" s="53">
        <f t="shared" si="1391"/>
        <v>-214223.60913841869</v>
      </c>
      <c r="K328" s="53">
        <f>SUM(G328:J328)</f>
        <v>-742250.35618545651</v>
      </c>
      <c r="L328" s="53">
        <f>L25-L27</f>
        <v>-174374.75009596199</v>
      </c>
      <c r="M328" s="53">
        <f t="shared" ref="M328:O328" si="1392">M25-M27</f>
        <v>-203571.99919422632</v>
      </c>
      <c r="N328" s="53">
        <f t="shared" si="1392"/>
        <v>-219145.64135367589</v>
      </c>
      <c r="O328" s="53">
        <f t="shared" si="1392"/>
        <v>-238083.09763059995</v>
      </c>
      <c r="P328" s="53">
        <f>SUM(L328:O328)</f>
        <v>-835175.48827446415</v>
      </c>
      <c r="Q328" s="53">
        <f>Q25-Q27</f>
        <v>-199706.86061235468</v>
      </c>
      <c r="R328" s="53">
        <f t="shared" ref="R328:T328" si="1393">R25-R27</f>
        <v>-265088.56214409485</v>
      </c>
      <c r="S328" s="53">
        <f t="shared" si="1393"/>
        <v>-282284.89784555882</v>
      </c>
      <c r="T328" s="53">
        <f t="shared" si="1393"/>
        <v>-275722.53998737916</v>
      </c>
      <c r="U328" s="53">
        <f>SUM(Q328:T328)</f>
        <v>-1022802.8605893876</v>
      </c>
      <c r="V328" s="53">
        <f>V25-V27</f>
        <v>-246454.90810141241</v>
      </c>
      <c r="W328" s="53">
        <f t="shared" ref="W328:Y328" si="1394">W25-W27</f>
        <v>-303711.11245246336</v>
      </c>
      <c r="X328" s="53">
        <f t="shared" si="1394"/>
        <v>-318627.99598810566</v>
      </c>
      <c r="Y328" s="53">
        <f t="shared" si="1394"/>
        <v>-348517.376514601</v>
      </c>
      <c r="Z328" s="53">
        <f>SUM(V328:Y328)</f>
        <v>-1217311.3930565824</v>
      </c>
      <c r="AA328" s="53">
        <f>AA25-AA27</f>
        <v>-300751.83059471752</v>
      </c>
      <c r="AB328" s="53">
        <f t="shared" ref="AB328:AD328" si="1395">AB25-AB27</f>
        <v>-316123.37094813737</v>
      </c>
      <c r="AC328" s="53">
        <f t="shared" si="1395"/>
        <v>-356635.01019693835</v>
      </c>
      <c r="AD328" s="53">
        <f t="shared" si="1395"/>
        <v>-382022.04517636332</v>
      </c>
      <c r="AE328" s="53">
        <f>SUM(AA328:AD328)</f>
        <v>-1355532.2569161565</v>
      </c>
      <c r="AF328" s="53">
        <f>AF25-AF27</f>
        <v>-333801.64505401457</v>
      </c>
      <c r="AG328" s="53">
        <f t="shared" ref="AG328:AI328" si="1396">AG25-AG27</f>
        <v>-351191.33407464559</v>
      </c>
      <c r="AH328" s="53">
        <f t="shared" si="1396"/>
        <v>-383594.55802667409</v>
      </c>
      <c r="AI328" s="53">
        <f t="shared" si="1396"/>
        <v>-430228.02567895566</v>
      </c>
      <c r="AJ328" s="53">
        <f>SUM(AF328:AI328)</f>
        <v>-1498815.5628342901</v>
      </c>
      <c r="AK328" s="53">
        <f>AK25-AK27</f>
        <v>-362294.88355838566</v>
      </c>
      <c r="AL328" s="53">
        <f t="shared" ref="AL328:AN328" si="1397">AL25-AL27</f>
        <v>-404365.34635649953</v>
      </c>
      <c r="AM328" s="53">
        <f t="shared" si="1397"/>
        <v>-442604.46976457926</v>
      </c>
      <c r="AN328" s="53">
        <f t="shared" si="1397"/>
        <v>-510192.34638053586</v>
      </c>
      <c r="AO328" s="53">
        <f>SUM(AK328:AN328)</f>
        <v>-1719457.0460600005</v>
      </c>
      <c r="AP328" s="53">
        <f>AP25-AP27</f>
        <v>-429229.79649067676</v>
      </c>
      <c r="AQ328" s="53">
        <f t="shared" ref="AQ328:AS328" si="1398">AQ25-AQ27</f>
        <v>-450858.83093837753</v>
      </c>
      <c r="AR328" s="53">
        <f t="shared" si="1398"/>
        <v>-489337.87018297275</v>
      </c>
      <c r="AS328" s="53">
        <f t="shared" si="1398"/>
        <v>-546050.35028797702</v>
      </c>
      <c r="AT328" s="53">
        <f>SUM(AP328:AS328)</f>
        <v>-1915476.8479000041</v>
      </c>
      <c r="AU328" s="53">
        <f>AU25-AU27</f>
        <v>-462385.87117417</v>
      </c>
      <c r="AV328" s="53">
        <f t="shared" ref="AV328:AX328" si="1399">AV25-AV27</f>
        <v>-494773.68202330446</v>
      </c>
      <c r="AW328" s="53">
        <f t="shared" si="1399"/>
        <v>-542829.34872062108</v>
      </c>
      <c r="AX328" s="53">
        <f t="shared" si="1399"/>
        <v>-591491.56465765811</v>
      </c>
      <c r="AY328" s="53">
        <f>SUM(AU328:AX328)</f>
        <v>-2091480.4665757536</v>
      </c>
      <c r="AZ328" s="53">
        <f>AZ25-AZ27</f>
        <v>-489592.15027224307</v>
      </c>
      <c r="BA328" s="53">
        <f t="shared" ref="BA328:BC328" si="1400">BA25-BA27</f>
        <v>-519480.72313388262</v>
      </c>
      <c r="BB328" s="53">
        <f t="shared" si="1400"/>
        <v>-553802.0155472894</v>
      </c>
      <c r="BC328" s="53">
        <f t="shared" si="1400"/>
        <v>-604418.2404124185</v>
      </c>
      <c r="BD328" s="53">
        <f>SUM(AZ328:BC328)</f>
        <v>-2167293.1293658335</v>
      </c>
      <c r="BE328" s="53">
        <f>BE25-BE27</f>
        <v>-524818.92807503266</v>
      </c>
      <c r="BF328" s="53">
        <f t="shared" ref="BF328:BH328" si="1401">BF25-BF27</f>
        <v>-578155.95708260324</v>
      </c>
      <c r="BG328" s="53">
        <f t="shared" si="1401"/>
        <v>-666480.68437994458</v>
      </c>
      <c r="BH328" s="53">
        <f t="shared" si="1401"/>
        <v>-708994.90224476764</v>
      </c>
      <c r="BI328" s="53">
        <f>SUM(BE328:BH328)</f>
        <v>-2478450.4717823481</v>
      </c>
      <c r="BJ328" s="53">
        <f>BJ25-BJ27</f>
        <v>-459194.7931583086</v>
      </c>
      <c r="BK328" s="53">
        <f t="shared" ref="BK328:BM328" si="1402">BK25-BK27</f>
        <v>-522356.65193591313</v>
      </c>
      <c r="BL328" s="53">
        <f t="shared" si="1402"/>
        <v>-578441.56749545981</v>
      </c>
      <c r="BM328" s="53">
        <f t="shared" si="1402"/>
        <v>-648407.51725153846</v>
      </c>
      <c r="BN328" s="53">
        <f>SUM(BJ328:BM328)</f>
        <v>-2208400.52984122</v>
      </c>
      <c r="BO328" s="53">
        <f>BO25-BO27</f>
        <v>-451732.12592179427</v>
      </c>
      <c r="BP328" s="53">
        <f t="shared" ref="BP328:BR328" si="1403">BP25-BP27</f>
        <v>-600291.28434380679</v>
      </c>
      <c r="BQ328" s="53">
        <f t="shared" si="1403"/>
        <v>-542023.16735279444</v>
      </c>
      <c r="BR328" s="53">
        <f t="shared" si="1403"/>
        <v>-742869.1850226064</v>
      </c>
      <c r="BS328" s="53">
        <f>SUM(BO328:BR328)</f>
        <v>-2336915.762641002</v>
      </c>
      <c r="BT328" s="53">
        <f>BT25-BT27</f>
        <v>-470241.83187041548</v>
      </c>
      <c r="BU328" s="53">
        <f t="shared" ref="BU328:BW328" si="1404">BU25-BU27</f>
        <v>-536344.69856498158</v>
      </c>
      <c r="BV328" s="53">
        <f t="shared" si="1404"/>
        <v>-587191.71791687666</v>
      </c>
      <c r="BW328" s="53">
        <f t="shared" si="1404"/>
        <v>-720383.62421950209</v>
      </c>
      <c r="BX328" s="53">
        <f>SUM(BT328:BW328)</f>
        <v>-2314161.8725717757</v>
      </c>
      <c r="BY328" s="53">
        <f>BY25-BY27</f>
        <v>-460207.58239125001</v>
      </c>
      <c r="BZ328" s="53">
        <f t="shared" ref="BZ328:CB328" si="1405">BZ25-BZ27</f>
        <v>-550147.40558571077</v>
      </c>
      <c r="CA328" s="53">
        <f t="shared" si="1405"/>
        <v>-569482.99858462904</v>
      </c>
      <c r="CB328" s="53">
        <f t="shared" si="1405"/>
        <v>-702178.28655429999</v>
      </c>
      <c r="CC328" s="53">
        <f>SUM(BY328:CB328)</f>
        <v>-2282016.2731158901</v>
      </c>
      <c r="CD328" s="53">
        <f>CD25-CD27</f>
        <v>-491854.06923633185</v>
      </c>
      <c r="CE328" s="53">
        <f t="shared" ref="CE328:CG328" si="1406">CE25-CE27</f>
        <v>-578209.29259812902</v>
      </c>
      <c r="CF328" s="53">
        <f t="shared" si="1406"/>
        <v>-572390.85337154521</v>
      </c>
      <c r="CG328" s="53">
        <f t="shared" si="1406"/>
        <v>-718221.3568780059</v>
      </c>
      <c r="CH328" s="53">
        <f>SUM(CD328:CG328)</f>
        <v>-2360675.572084012</v>
      </c>
      <c r="CI328" s="53">
        <f>CI25-CI27</f>
        <v>-512198.15865893883</v>
      </c>
      <c r="CJ328" s="53">
        <f t="shared" ref="CJ328:CL328" si="1407">CJ25-CJ27</f>
        <v>-566958.1191034253</v>
      </c>
      <c r="CK328" s="53">
        <f t="shared" si="1407"/>
        <v>-592635.84347013594</v>
      </c>
      <c r="CL328" s="53">
        <f t="shared" si="1407"/>
        <v>-665990.74526150886</v>
      </c>
      <c r="CM328" s="53">
        <f>SUM(CI328:CL328)</f>
        <v>-2337782.8664940088</v>
      </c>
      <c r="CN328" s="53">
        <f>CN25-CN27</f>
        <v>0</v>
      </c>
      <c r="CO328" s="53">
        <f t="shared" ref="CO328:CQ328" si="1408">CO25-CO27</f>
        <v>0</v>
      </c>
      <c r="CP328" s="53">
        <f t="shared" si="1408"/>
        <v>0</v>
      </c>
      <c r="CQ328" s="53">
        <f t="shared" si="1408"/>
        <v>0</v>
      </c>
      <c r="CR328" s="53">
        <f>SUM(CN328:CQ328)</f>
        <v>0</v>
      </c>
    </row>
    <row r="329" spans="1:96" s="9" customFormat="1" ht="23.25" customHeight="1" thickBot="1" x14ac:dyDescent="0.35">
      <c r="A329" s="26" t="s">
        <v>95</v>
      </c>
      <c r="B329" s="55">
        <f>SUM(B325:B328)</f>
        <v>171701.93515153896</v>
      </c>
      <c r="C329" s="55">
        <f t="shared" ref="C329:F329" si="1409">SUM(C325:C328)</f>
        <v>179403.5476928936</v>
      </c>
      <c r="D329" s="55">
        <f t="shared" si="1409"/>
        <v>185312.12584127882</v>
      </c>
      <c r="E329" s="55">
        <f t="shared" si="1409"/>
        <v>195252.20463491685</v>
      </c>
      <c r="F329" s="55">
        <f t="shared" si="1409"/>
        <v>731669.8133206286</v>
      </c>
      <c r="G329" s="55">
        <f>SUM(G325:G328)</f>
        <v>203101.23384755276</v>
      </c>
      <c r="H329" s="55">
        <f t="shared" ref="H329:K329" si="1410">SUM(H325:H328)</f>
        <v>207349.14223710366</v>
      </c>
      <c r="I329" s="55">
        <f t="shared" si="1410"/>
        <v>214565.58030837061</v>
      </c>
      <c r="J329" s="55">
        <f t="shared" si="1410"/>
        <v>229463.96307275671</v>
      </c>
      <c r="K329" s="55">
        <f t="shared" si="1410"/>
        <v>854479.91946578375</v>
      </c>
      <c r="L329" s="55">
        <f>SUM(L325:L328)</f>
        <v>230193.05505778527</v>
      </c>
      <c r="M329" s="55">
        <f t="shared" ref="M329:P329" si="1411">SUM(M325:M328)</f>
        <v>242180.51658679437</v>
      </c>
      <c r="N329" s="55">
        <f t="shared" si="1411"/>
        <v>249838.41620549842</v>
      </c>
      <c r="O329" s="55">
        <f t="shared" si="1411"/>
        <v>258341.77068498885</v>
      </c>
      <c r="P329" s="55">
        <f t="shared" si="1411"/>
        <v>980553.75853506685</v>
      </c>
      <c r="Q329" s="55">
        <f>SUM(Q325:Q328)</f>
        <v>263302.24277726281</v>
      </c>
      <c r="R329" s="55">
        <f t="shared" ref="R329:U329" si="1412">SUM(R325:R328)</f>
        <v>275216.81133441767</v>
      </c>
      <c r="S329" s="55">
        <f t="shared" si="1412"/>
        <v>295162.18696637906</v>
      </c>
      <c r="T329" s="55">
        <f t="shared" si="1412"/>
        <v>316023.15072725044</v>
      </c>
      <c r="U329" s="55">
        <f t="shared" si="1412"/>
        <v>1149704.39180531</v>
      </c>
      <c r="V329" s="55">
        <f>SUM(V325:V328)</f>
        <v>316821.01137534442</v>
      </c>
      <c r="W329" s="55">
        <f t="shared" ref="W329:Z329" si="1413">SUM(W325:W328)</f>
        <v>330951.14048169286</v>
      </c>
      <c r="X329" s="55">
        <f t="shared" si="1413"/>
        <v>339840.97257235716</v>
      </c>
      <c r="Y329" s="55">
        <f t="shared" si="1413"/>
        <v>349925.78192095499</v>
      </c>
      <c r="Z329" s="55">
        <f t="shared" si="1413"/>
        <v>1337538.9063503493</v>
      </c>
      <c r="AA329" s="55">
        <f>SUM(AA325:AA328)</f>
        <v>341821.23007914412</v>
      </c>
      <c r="AB329" s="55">
        <f t="shared" ref="AB329:AE329" si="1414">SUM(AB325:AB328)</f>
        <v>362662.90176903224</v>
      </c>
      <c r="AC329" s="55">
        <f t="shared" si="1414"/>
        <v>383752.93250872911</v>
      </c>
      <c r="AD329" s="55">
        <f t="shared" si="1414"/>
        <v>414140.91126849211</v>
      </c>
      <c r="AE329" s="55">
        <f t="shared" si="1414"/>
        <v>1502377.9756253972</v>
      </c>
      <c r="AF329" s="55">
        <f>SUM(AF325:AF328)</f>
        <v>406591.13942007016</v>
      </c>
      <c r="AG329" s="55">
        <f t="shared" ref="AG329:AJ329" si="1415">SUM(AG325:AG328)</f>
        <v>418702.89119919407</v>
      </c>
      <c r="AH329" s="55">
        <f t="shared" si="1415"/>
        <v>436742.94750610401</v>
      </c>
      <c r="AI329" s="55">
        <f t="shared" si="1415"/>
        <v>452489.91099282209</v>
      </c>
      <c r="AJ329" s="55">
        <f t="shared" si="1415"/>
        <v>1714526.8891181902</v>
      </c>
      <c r="AK329" s="55">
        <f>SUM(AK325:AK328)</f>
        <v>445274.42387020029</v>
      </c>
      <c r="AL329" s="55">
        <f t="shared" ref="AL329:AO329" si="1416">SUM(AL325:AL328)</f>
        <v>463344.76320462051</v>
      </c>
      <c r="AM329" s="55">
        <f t="shared" si="1416"/>
        <v>483011.97161380603</v>
      </c>
      <c r="AN329" s="55">
        <f t="shared" si="1416"/>
        <v>507918.77725137316</v>
      </c>
      <c r="AO329" s="55">
        <f t="shared" si="1416"/>
        <v>1899549.9359400002</v>
      </c>
      <c r="AP329" s="55">
        <f>SUM(AP325:AP328)</f>
        <v>496722.69978985604</v>
      </c>
      <c r="AQ329" s="55">
        <f t="shared" ref="AQ329:AT329" si="1417">SUM(AQ325:AQ328)</f>
        <v>521036.14878706902</v>
      </c>
      <c r="AR329" s="55">
        <f t="shared" si="1417"/>
        <v>535524.52868179849</v>
      </c>
      <c r="AS329" s="55">
        <f t="shared" si="1417"/>
        <v>555673.63184127642</v>
      </c>
      <c r="AT329" s="55">
        <f t="shared" si="1417"/>
        <v>2108957.0090999999</v>
      </c>
      <c r="AU329" s="55">
        <f>SUM(AU325:AU328)</f>
        <v>544850.72115889937</v>
      </c>
      <c r="AV329" s="55">
        <f t="shared" ref="AV329:AY329" si="1418">SUM(AV325:AV328)</f>
        <v>563840.54236999992</v>
      </c>
      <c r="AW329" s="55">
        <f t="shared" si="1418"/>
        <v>581182.38343822025</v>
      </c>
      <c r="AX329" s="55">
        <f t="shared" si="1418"/>
        <v>601683.46767403907</v>
      </c>
      <c r="AY329" s="55">
        <f t="shared" si="1418"/>
        <v>2291557.1146411588</v>
      </c>
      <c r="AZ329" s="55">
        <f>SUM(AZ325:AZ328)</f>
        <v>589470.14433718671</v>
      </c>
      <c r="BA329" s="55">
        <f t="shared" ref="BA329:BD329" si="1419">SUM(BA325:BA328)</f>
        <v>609417.50111250987</v>
      </c>
      <c r="BB329" s="55">
        <f t="shared" si="1419"/>
        <v>634206.91077637381</v>
      </c>
      <c r="BC329" s="55">
        <f t="shared" si="1419"/>
        <v>651719.66410809546</v>
      </c>
      <c r="BD329" s="55">
        <f t="shared" si="1419"/>
        <v>2484814.2203341667</v>
      </c>
      <c r="BE329" s="55">
        <f>SUM(BE325:BE328)</f>
        <v>640879.45233151701</v>
      </c>
      <c r="BF329" s="55">
        <f t="shared" ref="BF329:BI329" si="1420">SUM(BF325:BF328)</f>
        <v>665141.11949154211</v>
      </c>
      <c r="BG329" s="55">
        <f t="shared" si="1420"/>
        <v>681663.03560106969</v>
      </c>
      <c r="BH329" s="55">
        <f t="shared" si="1420"/>
        <v>696560.20729350392</v>
      </c>
      <c r="BI329" s="55">
        <f t="shared" si="1420"/>
        <v>2684243.8147176327</v>
      </c>
      <c r="BJ329" s="55">
        <f>SUM(BJ325:BJ328)</f>
        <v>680292.16162462533</v>
      </c>
      <c r="BK329" s="55">
        <f t="shared" ref="BK329:BN329" si="1421">SUM(BK325:BK328)</f>
        <v>672157.31882230868</v>
      </c>
      <c r="BL329" s="55">
        <f t="shared" si="1421"/>
        <v>678208.37854136375</v>
      </c>
      <c r="BM329" s="55">
        <f t="shared" si="1421"/>
        <v>681867.35613782599</v>
      </c>
      <c r="BN329" s="55">
        <f t="shared" si="1421"/>
        <v>2712525.2151261233</v>
      </c>
      <c r="BO329" s="55">
        <f>SUM(BO325:BO328)</f>
        <v>681428.38545299764</v>
      </c>
      <c r="BP329" s="55">
        <f t="shared" ref="BP329:BS329" si="1422">SUM(BP325:BP328)</f>
        <v>716346.43624516297</v>
      </c>
      <c r="BQ329" s="55">
        <f t="shared" si="1422"/>
        <v>721959.32582697552</v>
      </c>
      <c r="BR329" s="55">
        <f t="shared" si="1422"/>
        <v>748409.83983386133</v>
      </c>
      <c r="BS329" s="55">
        <f t="shared" si="1422"/>
        <v>2868143.9873589971</v>
      </c>
      <c r="BT329" s="55">
        <f>SUM(BT325:BT328)</f>
        <v>727490.92942720791</v>
      </c>
      <c r="BU329" s="55">
        <f t="shared" ref="BU329:BX329" si="1423">SUM(BU325:BU328)</f>
        <v>782087.04782189592</v>
      </c>
      <c r="BV329" s="55">
        <f t="shared" si="1423"/>
        <v>804155.7076326505</v>
      </c>
      <c r="BW329" s="55">
        <f t="shared" si="1423"/>
        <v>837390.85553127737</v>
      </c>
      <c r="BX329" s="55">
        <f t="shared" si="1423"/>
        <v>3151124.5404130323</v>
      </c>
      <c r="BY329" s="55">
        <f>SUM(BY325:BY328)</f>
        <v>800234.38735983265</v>
      </c>
      <c r="BZ329" s="55">
        <f t="shared" ref="BZ329:CC329" si="1424">SUM(BZ325:BZ328)</f>
        <v>856302.38745084649</v>
      </c>
      <c r="CA329" s="55">
        <f t="shared" si="1424"/>
        <v>856740.80501120398</v>
      </c>
      <c r="CB329" s="55">
        <f t="shared" si="1424"/>
        <v>878605.70344570023</v>
      </c>
      <c r="CC329" s="55">
        <f t="shared" si="1424"/>
        <v>3391883.2832675837</v>
      </c>
      <c r="CD329" s="55">
        <f>SUM(CD325:CD328)</f>
        <v>858647.26446126937</v>
      </c>
      <c r="CE329" s="55">
        <f t="shared" ref="CE329:CH329" si="1425">SUM(CE325:CE328)</f>
        <v>903860.57733158604</v>
      </c>
      <c r="CF329" s="55">
        <f t="shared" si="1425"/>
        <v>916146.95906400681</v>
      </c>
      <c r="CG329" s="55">
        <f t="shared" si="1425"/>
        <v>939513.80895022396</v>
      </c>
      <c r="CH329" s="55">
        <f t="shared" si="1425"/>
        <v>3618168.6098070866</v>
      </c>
      <c r="CI329" s="55">
        <f>SUM(CI325:CI328)</f>
        <v>921096.01798170467</v>
      </c>
      <c r="CJ329" s="55">
        <f t="shared" ref="CJ329:CM329" si="1426">SUM(CJ325:CJ328)</f>
        <v>949804.61154494167</v>
      </c>
      <c r="CK329" s="55">
        <f t="shared" si="1426"/>
        <v>968238.93941143737</v>
      </c>
      <c r="CL329" s="55">
        <f t="shared" si="1426"/>
        <v>1005077.4205667215</v>
      </c>
      <c r="CM329" s="55">
        <f t="shared" si="1426"/>
        <v>3844216.9895048053</v>
      </c>
      <c r="CN329" s="55">
        <f>SUM(CN325:CN328)</f>
        <v>0</v>
      </c>
      <c r="CO329" s="55">
        <f t="shared" ref="CO329:CR329" si="1427">SUM(CO325:CO328)</f>
        <v>0</v>
      </c>
      <c r="CP329" s="55">
        <f t="shared" si="1427"/>
        <v>0</v>
      </c>
      <c r="CQ329" s="55">
        <f t="shared" si="1427"/>
        <v>0</v>
      </c>
      <c r="CR329" s="55">
        <f t="shared" si="1427"/>
        <v>0</v>
      </c>
    </row>
    <row r="330" spans="1:96" x14ac:dyDescent="0.3">
      <c r="B330" s="56">
        <f>B329-B29</f>
        <v>0</v>
      </c>
      <c r="C330" s="56">
        <f t="shared" ref="C330:F330" si="1428">C329-C29</f>
        <v>0</v>
      </c>
      <c r="D330" s="56">
        <f t="shared" si="1428"/>
        <v>0</v>
      </c>
      <c r="E330" s="56">
        <f t="shared" si="1428"/>
        <v>0</v>
      </c>
      <c r="F330" s="56">
        <f t="shared" si="1428"/>
        <v>0</v>
      </c>
      <c r="G330" s="56">
        <f>G329-G29</f>
        <v>0</v>
      </c>
      <c r="H330" s="56">
        <f t="shared" ref="H330:K330" si="1429">H329-H29</f>
        <v>0</v>
      </c>
      <c r="I330" s="56">
        <f t="shared" si="1429"/>
        <v>0</v>
      </c>
      <c r="J330" s="56">
        <f t="shared" si="1429"/>
        <v>0</v>
      </c>
      <c r="K330" s="56">
        <f t="shared" si="1429"/>
        <v>0</v>
      </c>
      <c r="L330" s="56">
        <f>L329-L29</f>
        <v>0</v>
      </c>
      <c r="M330" s="56">
        <f t="shared" ref="M330:P330" si="1430">M329-M29</f>
        <v>0</v>
      </c>
      <c r="N330" s="56">
        <f t="shared" si="1430"/>
        <v>0</v>
      </c>
      <c r="O330" s="56">
        <f t="shared" si="1430"/>
        <v>0</v>
      </c>
      <c r="P330" s="56">
        <f t="shared" si="1430"/>
        <v>0</v>
      </c>
      <c r="Q330" s="56">
        <f>Q329-Q29</f>
        <v>0</v>
      </c>
      <c r="R330" s="56">
        <f t="shared" ref="R330:U330" si="1431">R329-R29</f>
        <v>0</v>
      </c>
      <c r="S330" s="56">
        <f t="shared" si="1431"/>
        <v>0</v>
      </c>
      <c r="T330" s="56">
        <f t="shared" si="1431"/>
        <v>0</v>
      </c>
      <c r="U330" s="56">
        <f t="shared" si="1431"/>
        <v>0</v>
      </c>
      <c r="V330" s="56">
        <f>V329-V29</f>
        <v>0</v>
      </c>
      <c r="W330" s="56">
        <f t="shared" ref="W330:Z330" si="1432">W329-W29</f>
        <v>0</v>
      </c>
      <c r="X330" s="56">
        <f t="shared" si="1432"/>
        <v>0</v>
      </c>
      <c r="Y330" s="56">
        <f t="shared" si="1432"/>
        <v>0</v>
      </c>
      <c r="Z330" s="56">
        <f t="shared" si="1432"/>
        <v>0</v>
      </c>
      <c r="AA330" s="56">
        <f>AA329-AA29</f>
        <v>0</v>
      </c>
      <c r="AB330" s="56">
        <f t="shared" ref="AB330:AE330" si="1433">AB329-AB29</f>
        <v>0</v>
      </c>
      <c r="AC330" s="56">
        <f t="shared" si="1433"/>
        <v>0</v>
      </c>
      <c r="AD330" s="56">
        <f t="shared" si="1433"/>
        <v>0</v>
      </c>
      <c r="AE330" s="56">
        <f t="shared" si="1433"/>
        <v>0</v>
      </c>
      <c r="AF330" s="56">
        <f>AF329-AF29</f>
        <v>0</v>
      </c>
      <c r="AG330" s="56">
        <f t="shared" ref="AG330:AJ330" si="1434">AG329-AG29</f>
        <v>0</v>
      </c>
      <c r="AH330" s="56">
        <f t="shared" si="1434"/>
        <v>0</v>
      </c>
      <c r="AI330" s="56">
        <f t="shared" si="1434"/>
        <v>0</v>
      </c>
      <c r="AJ330" s="56">
        <f t="shared" si="1434"/>
        <v>0</v>
      </c>
      <c r="AK330" s="56">
        <f>AK329-AK29</f>
        <v>0</v>
      </c>
      <c r="AL330" s="56">
        <f t="shared" ref="AL330:AO330" si="1435">AL329-AL29</f>
        <v>0</v>
      </c>
      <c r="AM330" s="56">
        <f t="shared" si="1435"/>
        <v>0</v>
      </c>
      <c r="AN330" s="56">
        <f t="shared" si="1435"/>
        <v>0</v>
      </c>
      <c r="AO330" s="56">
        <f t="shared" si="1435"/>
        <v>0</v>
      </c>
      <c r="AP330" s="56">
        <f>AP329-AP29</f>
        <v>0</v>
      </c>
      <c r="AQ330" s="56">
        <f t="shared" ref="AQ330:AT330" si="1436">AQ329-AQ29</f>
        <v>0</v>
      </c>
      <c r="AR330" s="56">
        <f t="shared" si="1436"/>
        <v>0</v>
      </c>
      <c r="AS330" s="56">
        <f t="shared" si="1436"/>
        <v>0</v>
      </c>
      <c r="AT330" s="56">
        <f t="shared" si="1436"/>
        <v>0</v>
      </c>
      <c r="AU330" s="56">
        <f>AU329-AU29</f>
        <v>0</v>
      </c>
      <c r="AV330" s="56">
        <f t="shared" ref="AV330:AY330" si="1437">AV329-AV29</f>
        <v>0</v>
      </c>
      <c r="AW330" s="56">
        <f t="shared" si="1437"/>
        <v>0</v>
      </c>
      <c r="AX330" s="56">
        <f t="shared" si="1437"/>
        <v>0</v>
      </c>
      <c r="AY330" s="56">
        <f t="shared" si="1437"/>
        <v>0</v>
      </c>
      <c r="AZ330" s="56">
        <f>AZ329-AZ29</f>
        <v>0</v>
      </c>
      <c r="BA330" s="56">
        <f t="shared" ref="BA330:BD330" si="1438">BA329-BA29</f>
        <v>0</v>
      </c>
      <c r="BB330" s="56">
        <f t="shared" si="1438"/>
        <v>0</v>
      </c>
      <c r="BC330" s="56">
        <f t="shared" si="1438"/>
        <v>0</v>
      </c>
      <c r="BD330" s="56">
        <f t="shared" si="1438"/>
        <v>0</v>
      </c>
      <c r="BE330" s="56">
        <f>BE329-BE29</f>
        <v>0</v>
      </c>
      <c r="BF330" s="56">
        <f t="shared" ref="BF330:BI330" si="1439">BF329-BF29</f>
        <v>0</v>
      </c>
      <c r="BG330" s="56">
        <f t="shared" si="1439"/>
        <v>0</v>
      </c>
      <c r="BH330" s="56">
        <f t="shared" si="1439"/>
        <v>0</v>
      </c>
      <c r="BI330" s="56">
        <f t="shared" si="1439"/>
        <v>0</v>
      </c>
      <c r="BJ330" s="56">
        <f>BJ329-BJ29</f>
        <v>0</v>
      </c>
      <c r="BK330" s="56">
        <f t="shared" ref="BK330:BN330" si="1440">BK329-BK29</f>
        <v>0</v>
      </c>
      <c r="BL330" s="56">
        <f t="shared" si="1440"/>
        <v>0</v>
      </c>
      <c r="BM330" s="56">
        <f t="shared" si="1440"/>
        <v>0</v>
      </c>
      <c r="BN330" s="56">
        <f t="shared" si="1440"/>
        <v>0</v>
      </c>
      <c r="BO330" s="56">
        <f>BO329-BO29</f>
        <v>0</v>
      </c>
      <c r="BP330" s="56">
        <f t="shared" ref="BP330:BS330" si="1441">BP329-BP29</f>
        <v>0</v>
      </c>
      <c r="BQ330" s="56">
        <f t="shared" si="1441"/>
        <v>0</v>
      </c>
      <c r="BR330" s="56">
        <f t="shared" si="1441"/>
        <v>0</v>
      </c>
      <c r="BS330" s="56">
        <f t="shared" si="1441"/>
        <v>0</v>
      </c>
      <c r="BT330" s="56">
        <f>BT329-BT29</f>
        <v>0</v>
      </c>
      <c r="BU330" s="56">
        <f t="shared" ref="BU330:BX330" si="1442">BU329-BU29</f>
        <v>0</v>
      </c>
      <c r="BV330" s="56">
        <f t="shared" si="1442"/>
        <v>0</v>
      </c>
      <c r="BW330" s="56">
        <f t="shared" si="1442"/>
        <v>0</v>
      </c>
      <c r="BX330" s="56">
        <f t="shared" si="1442"/>
        <v>0</v>
      </c>
      <c r="BY330" s="56">
        <f>BY329-BY29</f>
        <v>0</v>
      </c>
      <c r="BZ330" s="56">
        <f t="shared" ref="BZ330:CC330" si="1443">BZ329-BZ29</f>
        <v>0</v>
      </c>
      <c r="CA330" s="56">
        <f t="shared" si="1443"/>
        <v>0</v>
      </c>
      <c r="CB330" s="56">
        <f t="shared" si="1443"/>
        <v>0</v>
      </c>
      <c r="CC330" s="56">
        <f t="shared" si="1443"/>
        <v>0</v>
      </c>
      <c r="CD330" s="56">
        <f>CD329-CD29</f>
        <v>0</v>
      </c>
      <c r="CE330" s="56">
        <f t="shared" ref="CE330:CH330" si="1444">CE329-CE29</f>
        <v>0</v>
      </c>
      <c r="CF330" s="56">
        <f t="shared" si="1444"/>
        <v>0</v>
      </c>
      <c r="CG330" s="56">
        <f t="shared" si="1444"/>
        <v>0</v>
      </c>
      <c r="CH330" s="56">
        <f t="shared" si="1444"/>
        <v>0</v>
      </c>
      <c r="CI330" s="56">
        <f>CI329-CI29</f>
        <v>0</v>
      </c>
      <c r="CJ330" s="56">
        <f t="shared" ref="CJ330:CM330" si="1445">CJ329-CJ29</f>
        <v>0</v>
      </c>
      <c r="CK330" s="56">
        <f t="shared" si="1445"/>
        <v>0</v>
      </c>
      <c r="CL330" s="56">
        <f t="shared" si="1445"/>
        <v>0</v>
      </c>
      <c r="CM330" s="56">
        <f t="shared" si="1445"/>
        <v>0</v>
      </c>
      <c r="CN330" s="56">
        <f>CN329-CN29</f>
        <v>0</v>
      </c>
      <c r="CO330" s="56">
        <f t="shared" ref="CO330:CR330" si="1446">CO329-CO29</f>
        <v>0</v>
      </c>
      <c r="CP330" s="56">
        <f t="shared" si="1446"/>
        <v>0</v>
      </c>
      <c r="CQ330" s="56">
        <f t="shared" si="1446"/>
        <v>0</v>
      </c>
      <c r="CR330" s="56">
        <f t="shared" si="1446"/>
        <v>0</v>
      </c>
    </row>
    <row r="331" spans="1:96" s="31" customFormat="1" ht="15" x14ac:dyDescent="0.4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  <c r="BA331" s="30"/>
      <c r="BB331" s="30"/>
      <c r="BC331" s="30"/>
      <c r="BD331" s="30"/>
      <c r="BE331" s="30"/>
      <c r="BF331" s="30"/>
      <c r="BG331" s="30"/>
      <c r="BH331" s="30"/>
      <c r="BI331" s="30"/>
      <c r="BJ331" s="30"/>
      <c r="BK331" s="30"/>
      <c r="BL331" s="30"/>
      <c r="BM331" s="30"/>
      <c r="BN331" s="30"/>
      <c r="BO331" s="30"/>
      <c r="BP331" s="30"/>
      <c r="BQ331" s="30"/>
      <c r="BR331" s="30"/>
      <c r="BS331" s="30"/>
      <c r="BT331" s="30"/>
      <c r="BU331" s="30"/>
      <c r="BV331" s="30"/>
      <c r="BW331" s="30"/>
      <c r="BX331" s="30"/>
      <c r="BY331" s="30"/>
      <c r="BZ331" s="30"/>
      <c r="CA331" s="30"/>
      <c r="CB331" s="30"/>
      <c r="CC331" s="30"/>
      <c r="CD331" s="30"/>
      <c r="CE331" s="30"/>
      <c r="CF331" s="30"/>
      <c r="CG331" s="30"/>
      <c r="CH331" s="30"/>
      <c r="CI331" s="30"/>
      <c r="CJ331" s="30"/>
      <c r="CK331" s="30"/>
      <c r="CL331" s="30"/>
      <c r="CM331" s="30"/>
      <c r="CN331" s="30"/>
      <c r="CO331" s="30"/>
      <c r="CP331" s="30"/>
      <c r="CQ331" s="30"/>
      <c r="CR331" s="30"/>
    </row>
    <row r="332" spans="1:96" s="31" customFormat="1" ht="15" x14ac:dyDescent="0.4">
      <c r="A332" s="32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  <c r="AT332" s="33"/>
      <c r="AU332" s="33"/>
      <c r="AV332" s="33"/>
      <c r="AW332" s="33"/>
      <c r="AX332" s="33"/>
      <c r="AY332" s="33"/>
      <c r="AZ332" s="33"/>
      <c r="BA332" s="33"/>
      <c r="BB332" s="33"/>
      <c r="BC332" s="33"/>
      <c r="BD332" s="33"/>
      <c r="BE332" s="33"/>
      <c r="BF332" s="33"/>
      <c r="BG332" s="33"/>
      <c r="BH332" s="33"/>
      <c r="BI332" s="33"/>
      <c r="BJ332" s="33"/>
      <c r="BK332" s="33"/>
      <c r="BL332" s="33"/>
      <c r="BM332" s="33"/>
      <c r="BN332" s="33"/>
      <c r="BO332" s="33"/>
      <c r="BP332" s="33"/>
      <c r="BQ332" s="33"/>
      <c r="BR332" s="33"/>
      <c r="BS332" s="33"/>
      <c r="BT332" s="33"/>
      <c r="BU332" s="33"/>
      <c r="BV332" s="33"/>
      <c r="BW332" s="33"/>
      <c r="BX332" s="33"/>
      <c r="BY332" s="33"/>
      <c r="BZ332" s="33"/>
      <c r="CA332" s="33"/>
      <c r="CB332" s="33"/>
      <c r="CC332" s="33"/>
      <c r="CD332" s="33"/>
      <c r="CE332" s="33"/>
      <c r="CF332" s="33"/>
      <c r="CG332" s="33"/>
      <c r="CH332" s="33"/>
      <c r="CI332" s="33"/>
      <c r="CJ332" s="33"/>
      <c r="CK332" s="33"/>
      <c r="CL332" s="33"/>
      <c r="CM332" s="33"/>
      <c r="CN332" s="33"/>
      <c r="CO332" s="33"/>
      <c r="CP332" s="33"/>
      <c r="CQ332" s="33"/>
      <c r="CR332" s="33"/>
    </row>
    <row r="333" spans="1:96" ht="20" x14ac:dyDescent="0.4">
      <c r="A333" s="1" t="s">
        <v>110</v>
      </c>
    </row>
    <row r="334" spans="1:96" ht="20.5" thickBot="1" x14ac:dyDescent="0.45">
      <c r="A334" s="1" t="str">
        <f>A322</f>
        <v>Kabupaten/Kota :</v>
      </c>
      <c r="B334" s="35" t="str">
        <f>B322</f>
        <v>Kepuluauan Tanimbar</v>
      </c>
      <c r="L334" s="35"/>
      <c r="V334" s="35"/>
      <c r="AF334" s="35"/>
      <c r="AP334" s="35"/>
      <c r="AZ334" s="35"/>
      <c r="BJ334" s="35"/>
      <c r="BT334" s="35"/>
    </row>
    <row r="335" spans="1:96" s="9" customFormat="1" ht="24" customHeight="1" thickBot="1" x14ac:dyDescent="0.35">
      <c r="A335" s="5" t="s">
        <v>2</v>
      </c>
      <c r="B335" s="6" t="s">
        <v>3</v>
      </c>
      <c r="C335" s="6" t="s">
        <v>4</v>
      </c>
      <c r="D335" s="6" t="s">
        <v>5</v>
      </c>
      <c r="E335" s="6" t="s">
        <v>6</v>
      </c>
      <c r="F335" s="6">
        <v>2008</v>
      </c>
      <c r="G335" s="7" t="s">
        <v>7</v>
      </c>
      <c r="H335" s="7" t="s">
        <v>8</v>
      </c>
      <c r="I335" s="7" t="s">
        <v>9</v>
      </c>
      <c r="J335" s="7" t="s">
        <v>10</v>
      </c>
      <c r="K335" s="7">
        <v>2009</v>
      </c>
      <c r="L335" s="6" t="s">
        <v>11</v>
      </c>
      <c r="M335" s="6" t="s">
        <v>12</v>
      </c>
      <c r="N335" s="6" t="s">
        <v>13</v>
      </c>
      <c r="O335" s="6" t="s">
        <v>14</v>
      </c>
      <c r="P335" s="6">
        <v>2010</v>
      </c>
      <c r="Q335" s="7" t="s">
        <v>15</v>
      </c>
      <c r="R335" s="7" t="s">
        <v>16</v>
      </c>
      <c r="S335" s="7" t="s">
        <v>17</v>
      </c>
      <c r="T335" s="7" t="s">
        <v>18</v>
      </c>
      <c r="U335" s="7">
        <v>2011</v>
      </c>
      <c r="V335" s="6" t="s">
        <v>19</v>
      </c>
      <c r="W335" s="6" t="s">
        <v>20</v>
      </c>
      <c r="X335" s="6" t="s">
        <v>21</v>
      </c>
      <c r="Y335" s="6" t="s">
        <v>22</v>
      </c>
      <c r="Z335" s="6">
        <v>2012</v>
      </c>
      <c r="AA335" s="7" t="s">
        <v>23</v>
      </c>
      <c r="AB335" s="7" t="s">
        <v>24</v>
      </c>
      <c r="AC335" s="7" t="s">
        <v>25</v>
      </c>
      <c r="AD335" s="7" t="s">
        <v>26</v>
      </c>
      <c r="AE335" s="7">
        <v>2013</v>
      </c>
      <c r="AF335" s="6" t="s">
        <v>27</v>
      </c>
      <c r="AG335" s="6" t="s">
        <v>28</v>
      </c>
      <c r="AH335" s="6" t="s">
        <v>29</v>
      </c>
      <c r="AI335" s="6" t="s">
        <v>30</v>
      </c>
      <c r="AJ335" s="6">
        <v>2014</v>
      </c>
      <c r="AK335" s="7" t="s">
        <v>31</v>
      </c>
      <c r="AL335" s="7" t="s">
        <v>32</v>
      </c>
      <c r="AM335" s="7" t="s">
        <v>33</v>
      </c>
      <c r="AN335" s="7" t="s">
        <v>34</v>
      </c>
      <c r="AO335" s="7">
        <v>2015</v>
      </c>
      <c r="AP335" s="6" t="s">
        <v>35</v>
      </c>
      <c r="AQ335" s="6" t="s">
        <v>36</v>
      </c>
      <c r="AR335" s="6" t="s">
        <v>37</v>
      </c>
      <c r="AS335" s="6" t="s">
        <v>38</v>
      </c>
      <c r="AT335" s="6">
        <v>2016</v>
      </c>
      <c r="AU335" s="7" t="s">
        <v>39</v>
      </c>
      <c r="AV335" s="7" t="s">
        <v>40</v>
      </c>
      <c r="AW335" s="7" t="s">
        <v>41</v>
      </c>
      <c r="AX335" s="7" t="s">
        <v>42</v>
      </c>
      <c r="AY335" s="7">
        <v>2017</v>
      </c>
      <c r="AZ335" s="6" t="s">
        <v>43</v>
      </c>
      <c r="BA335" s="6" t="s">
        <v>44</v>
      </c>
      <c r="BB335" s="6" t="s">
        <v>45</v>
      </c>
      <c r="BC335" s="6" t="s">
        <v>46</v>
      </c>
      <c r="BD335" s="6">
        <v>2018</v>
      </c>
      <c r="BE335" s="7" t="s">
        <v>47</v>
      </c>
      <c r="BF335" s="7" t="s">
        <v>48</v>
      </c>
      <c r="BG335" s="7" t="s">
        <v>49</v>
      </c>
      <c r="BH335" s="7" t="s">
        <v>50</v>
      </c>
      <c r="BI335" s="7">
        <v>2019</v>
      </c>
      <c r="BJ335" s="6" t="s">
        <v>51</v>
      </c>
      <c r="BK335" s="6" t="s">
        <v>52</v>
      </c>
      <c r="BL335" s="6" t="s">
        <v>53</v>
      </c>
      <c r="BM335" s="6" t="s">
        <v>54</v>
      </c>
      <c r="BN335" s="6">
        <v>2020</v>
      </c>
      <c r="BO335" s="7" t="s">
        <v>55</v>
      </c>
      <c r="BP335" s="7" t="s">
        <v>56</v>
      </c>
      <c r="BQ335" s="7" t="s">
        <v>57</v>
      </c>
      <c r="BR335" s="7" t="s">
        <v>58</v>
      </c>
      <c r="BS335" s="7">
        <v>2021</v>
      </c>
      <c r="BT335" s="6" t="s">
        <v>59</v>
      </c>
      <c r="BU335" s="6" t="s">
        <v>60</v>
      </c>
      <c r="BV335" s="6" t="s">
        <v>61</v>
      </c>
      <c r="BW335" s="6" t="s">
        <v>62</v>
      </c>
      <c r="BX335" s="6">
        <v>2022</v>
      </c>
      <c r="BY335" s="7" t="s">
        <v>63</v>
      </c>
      <c r="BZ335" s="7" t="s">
        <v>64</v>
      </c>
      <c r="CA335" s="7" t="s">
        <v>65</v>
      </c>
      <c r="CB335" s="7" t="s">
        <v>66</v>
      </c>
      <c r="CC335" s="7">
        <v>2023</v>
      </c>
      <c r="CD335" s="8" t="s">
        <v>67</v>
      </c>
      <c r="CE335" s="8" t="s">
        <v>68</v>
      </c>
      <c r="CF335" s="8" t="s">
        <v>69</v>
      </c>
      <c r="CG335" s="8" t="s">
        <v>70</v>
      </c>
      <c r="CH335" s="8">
        <v>2024</v>
      </c>
      <c r="CI335" s="7" t="s">
        <v>71</v>
      </c>
      <c r="CJ335" s="7" t="s">
        <v>72</v>
      </c>
      <c r="CK335" s="7" t="s">
        <v>73</v>
      </c>
      <c r="CL335" s="7" t="s">
        <v>74</v>
      </c>
      <c r="CM335" s="7">
        <v>2025</v>
      </c>
      <c r="CN335" s="8" t="s">
        <v>75</v>
      </c>
      <c r="CO335" s="8" t="s">
        <v>76</v>
      </c>
      <c r="CP335" s="8" t="s">
        <v>77</v>
      </c>
      <c r="CQ335" s="8" t="s">
        <v>78</v>
      </c>
      <c r="CR335" s="8">
        <v>2026</v>
      </c>
    </row>
    <row r="336" spans="1:96" s="9" customFormat="1" ht="13.5" thickBot="1" x14ac:dyDescent="0.35">
      <c r="A336" s="10">
        <v>-1</v>
      </c>
      <c r="B336" s="11">
        <f>A336-1</f>
        <v>-2</v>
      </c>
      <c r="C336" s="11">
        <f>B336-1</f>
        <v>-3</v>
      </c>
      <c r="D336" s="11">
        <f t="shared" ref="D336:BO336" si="1447">C336-1</f>
        <v>-4</v>
      </c>
      <c r="E336" s="11">
        <f t="shared" si="1447"/>
        <v>-5</v>
      </c>
      <c r="F336" s="11">
        <f t="shared" si="1447"/>
        <v>-6</v>
      </c>
      <c r="G336" s="11">
        <f t="shared" si="1447"/>
        <v>-7</v>
      </c>
      <c r="H336" s="11">
        <f t="shared" si="1447"/>
        <v>-8</v>
      </c>
      <c r="I336" s="11">
        <f t="shared" si="1447"/>
        <v>-9</v>
      </c>
      <c r="J336" s="11">
        <f t="shared" si="1447"/>
        <v>-10</v>
      </c>
      <c r="K336" s="11">
        <f t="shared" si="1447"/>
        <v>-11</v>
      </c>
      <c r="L336" s="11">
        <f t="shared" si="1447"/>
        <v>-12</v>
      </c>
      <c r="M336" s="11">
        <f t="shared" si="1447"/>
        <v>-13</v>
      </c>
      <c r="N336" s="11">
        <f t="shared" si="1447"/>
        <v>-14</v>
      </c>
      <c r="O336" s="11">
        <f t="shared" si="1447"/>
        <v>-15</v>
      </c>
      <c r="P336" s="11">
        <f t="shared" si="1447"/>
        <v>-16</v>
      </c>
      <c r="Q336" s="11">
        <f t="shared" si="1447"/>
        <v>-17</v>
      </c>
      <c r="R336" s="11">
        <f t="shared" si="1447"/>
        <v>-18</v>
      </c>
      <c r="S336" s="11">
        <f t="shared" si="1447"/>
        <v>-19</v>
      </c>
      <c r="T336" s="11">
        <f t="shared" si="1447"/>
        <v>-20</v>
      </c>
      <c r="U336" s="11">
        <f t="shared" si="1447"/>
        <v>-21</v>
      </c>
      <c r="V336" s="11">
        <f t="shared" si="1447"/>
        <v>-22</v>
      </c>
      <c r="W336" s="11">
        <f t="shared" si="1447"/>
        <v>-23</v>
      </c>
      <c r="X336" s="11">
        <f t="shared" si="1447"/>
        <v>-24</v>
      </c>
      <c r="Y336" s="11">
        <f t="shared" si="1447"/>
        <v>-25</v>
      </c>
      <c r="Z336" s="11">
        <f t="shared" si="1447"/>
        <v>-26</v>
      </c>
      <c r="AA336" s="11">
        <f t="shared" si="1447"/>
        <v>-27</v>
      </c>
      <c r="AB336" s="11">
        <f t="shared" si="1447"/>
        <v>-28</v>
      </c>
      <c r="AC336" s="11">
        <f t="shared" si="1447"/>
        <v>-29</v>
      </c>
      <c r="AD336" s="11">
        <f t="shared" si="1447"/>
        <v>-30</v>
      </c>
      <c r="AE336" s="11">
        <f t="shared" si="1447"/>
        <v>-31</v>
      </c>
      <c r="AF336" s="11">
        <f t="shared" si="1447"/>
        <v>-32</v>
      </c>
      <c r="AG336" s="11">
        <f t="shared" si="1447"/>
        <v>-33</v>
      </c>
      <c r="AH336" s="11">
        <f t="shared" si="1447"/>
        <v>-34</v>
      </c>
      <c r="AI336" s="11">
        <f t="shared" si="1447"/>
        <v>-35</v>
      </c>
      <c r="AJ336" s="11">
        <f t="shared" si="1447"/>
        <v>-36</v>
      </c>
      <c r="AK336" s="11">
        <f t="shared" si="1447"/>
        <v>-37</v>
      </c>
      <c r="AL336" s="11">
        <f t="shared" si="1447"/>
        <v>-38</v>
      </c>
      <c r="AM336" s="11">
        <f t="shared" si="1447"/>
        <v>-39</v>
      </c>
      <c r="AN336" s="11">
        <f t="shared" si="1447"/>
        <v>-40</v>
      </c>
      <c r="AO336" s="11">
        <f t="shared" si="1447"/>
        <v>-41</v>
      </c>
      <c r="AP336" s="11">
        <f t="shared" si="1447"/>
        <v>-42</v>
      </c>
      <c r="AQ336" s="11">
        <f t="shared" si="1447"/>
        <v>-43</v>
      </c>
      <c r="AR336" s="11">
        <f t="shared" si="1447"/>
        <v>-44</v>
      </c>
      <c r="AS336" s="11">
        <f t="shared" si="1447"/>
        <v>-45</v>
      </c>
      <c r="AT336" s="11">
        <f t="shared" si="1447"/>
        <v>-46</v>
      </c>
      <c r="AU336" s="11">
        <f t="shared" si="1447"/>
        <v>-47</v>
      </c>
      <c r="AV336" s="11">
        <f t="shared" si="1447"/>
        <v>-48</v>
      </c>
      <c r="AW336" s="11">
        <f t="shared" si="1447"/>
        <v>-49</v>
      </c>
      <c r="AX336" s="11">
        <f t="shared" si="1447"/>
        <v>-50</v>
      </c>
      <c r="AY336" s="11">
        <f t="shared" si="1447"/>
        <v>-51</v>
      </c>
      <c r="AZ336" s="11">
        <f t="shared" si="1447"/>
        <v>-52</v>
      </c>
      <c r="BA336" s="11">
        <f t="shared" si="1447"/>
        <v>-53</v>
      </c>
      <c r="BB336" s="11">
        <f t="shared" si="1447"/>
        <v>-54</v>
      </c>
      <c r="BC336" s="11">
        <f t="shared" si="1447"/>
        <v>-55</v>
      </c>
      <c r="BD336" s="11">
        <f t="shared" si="1447"/>
        <v>-56</v>
      </c>
      <c r="BE336" s="11">
        <f t="shared" si="1447"/>
        <v>-57</v>
      </c>
      <c r="BF336" s="11">
        <f t="shared" si="1447"/>
        <v>-58</v>
      </c>
      <c r="BG336" s="11">
        <f t="shared" si="1447"/>
        <v>-59</v>
      </c>
      <c r="BH336" s="11">
        <f t="shared" si="1447"/>
        <v>-60</v>
      </c>
      <c r="BI336" s="11">
        <f t="shared" si="1447"/>
        <v>-61</v>
      </c>
      <c r="BJ336" s="11">
        <f t="shared" si="1447"/>
        <v>-62</v>
      </c>
      <c r="BK336" s="11">
        <f t="shared" si="1447"/>
        <v>-63</v>
      </c>
      <c r="BL336" s="11">
        <f t="shared" si="1447"/>
        <v>-64</v>
      </c>
      <c r="BM336" s="11">
        <f t="shared" si="1447"/>
        <v>-65</v>
      </c>
      <c r="BN336" s="11">
        <f t="shared" si="1447"/>
        <v>-66</v>
      </c>
      <c r="BO336" s="11">
        <f t="shared" si="1447"/>
        <v>-67</v>
      </c>
      <c r="BP336" s="11">
        <f t="shared" ref="BP336:CR336" si="1448">BO336-1</f>
        <v>-68</v>
      </c>
      <c r="BQ336" s="11">
        <f t="shared" si="1448"/>
        <v>-69</v>
      </c>
      <c r="BR336" s="11">
        <f t="shared" si="1448"/>
        <v>-70</v>
      </c>
      <c r="BS336" s="11">
        <f t="shared" si="1448"/>
        <v>-71</v>
      </c>
      <c r="BT336" s="11">
        <f t="shared" si="1448"/>
        <v>-72</v>
      </c>
      <c r="BU336" s="11">
        <f t="shared" si="1448"/>
        <v>-73</v>
      </c>
      <c r="BV336" s="11">
        <f t="shared" si="1448"/>
        <v>-74</v>
      </c>
      <c r="BW336" s="11">
        <f t="shared" si="1448"/>
        <v>-75</v>
      </c>
      <c r="BX336" s="11">
        <f t="shared" si="1448"/>
        <v>-76</v>
      </c>
      <c r="BY336" s="11">
        <f t="shared" si="1448"/>
        <v>-77</v>
      </c>
      <c r="BZ336" s="11">
        <f t="shared" si="1448"/>
        <v>-78</v>
      </c>
      <c r="CA336" s="11">
        <f t="shared" si="1448"/>
        <v>-79</v>
      </c>
      <c r="CB336" s="11">
        <f t="shared" si="1448"/>
        <v>-80</v>
      </c>
      <c r="CC336" s="11">
        <f t="shared" si="1448"/>
        <v>-81</v>
      </c>
      <c r="CD336" s="11">
        <f t="shared" si="1448"/>
        <v>-82</v>
      </c>
      <c r="CE336" s="11">
        <f t="shared" si="1448"/>
        <v>-83</v>
      </c>
      <c r="CF336" s="11">
        <f t="shared" si="1448"/>
        <v>-84</v>
      </c>
      <c r="CG336" s="11">
        <f t="shared" si="1448"/>
        <v>-85</v>
      </c>
      <c r="CH336" s="11">
        <f t="shared" si="1448"/>
        <v>-86</v>
      </c>
      <c r="CI336" s="11">
        <f t="shared" si="1448"/>
        <v>-87</v>
      </c>
      <c r="CJ336" s="11">
        <f t="shared" si="1448"/>
        <v>-88</v>
      </c>
      <c r="CK336" s="11">
        <f t="shared" si="1448"/>
        <v>-89</v>
      </c>
      <c r="CL336" s="11">
        <f t="shared" si="1448"/>
        <v>-90</v>
      </c>
      <c r="CM336" s="11">
        <f t="shared" si="1448"/>
        <v>-91</v>
      </c>
      <c r="CN336" s="11">
        <f t="shared" si="1448"/>
        <v>-92</v>
      </c>
      <c r="CO336" s="11">
        <f t="shared" si="1448"/>
        <v>-93</v>
      </c>
      <c r="CP336" s="11">
        <f t="shared" si="1448"/>
        <v>-94</v>
      </c>
      <c r="CQ336" s="11">
        <f t="shared" si="1448"/>
        <v>-95</v>
      </c>
      <c r="CR336" s="11">
        <f t="shared" si="1448"/>
        <v>-96</v>
      </c>
    </row>
    <row r="337" spans="1:96" s="54" customFormat="1" ht="17.5" customHeight="1" thickTop="1" x14ac:dyDescent="0.4">
      <c r="A337" s="52" t="s">
        <v>106</v>
      </c>
      <c r="B337" s="53">
        <f>SUM(B38,B47)</f>
        <v>172260.91452303508</v>
      </c>
      <c r="C337" s="53">
        <f t="shared" ref="C337:F337" si="1449">SUM(C38,C47)</f>
        <v>174497.86410758176</v>
      </c>
      <c r="D337" s="53">
        <f t="shared" si="1449"/>
        <v>180719.20076644907</v>
      </c>
      <c r="E337" s="53">
        <f t="shared" si="1449"/>
        <v>187444.60899514446</v>
      </c>
      <c r="F337" s="53">
        <f t="shared" si="1449"/>
        <v>714922.58839221043</v>
      </c>
      <c r="G337" s="53">
        <f>SUM(G38,G47)</f>
        <v>181657.86598428537</v>
      </c>
      <c r="H337" s="53">
        <f t="shared" ref="H337:K337" si="1450">SUM(H38,H47)</f>
        <v>185928.62531584981</v>
      </c>
      <c r="I337" s="53">
        <f t="shared" si="1450"/>
        <v>195059.68971452204</v>
      </c>
      <c r="J337" s="53">
        <f t="shared" si="1450"/>
        <v>203634.82513585946</v>
      </c>
      <c r="K337" s="53">
        <f t="shared" si="1450"/>
        <v>766281.00615051668</v>
      </c>
      <c r="L337" s="53">
        <f>SUM(L38,L47)</f>
        <v>194563.66707974422</v>
      </c>
      <c r="M337" s="53">
        <f t="shared" ref="M337:P337" si="1451">SUM(M38,M47)</f>
        <v>197938.62312713492</v>
      </c>
      <c r="N337" s="53">
        <f t="shared" si="1451"/>
        <v>207257.47593402051</v>
      </c>
      <c r="O337" s="53">
        <f t="shared" si="1451"/>
        <v>218067.46157271776</v>
      </c>
      <c r="P337" s="53">
        <f t="shared" si="1451"/>
        <v>817827.2277136175</v>
      </c>
      <c r="Q337" s="53">
        <f>SUM(Q38,Q47)</f>
        <v>201357.84064393528</v>
      </c>
      <c r="R337" s="53" t="e">
        <f t="shared" ref="R337:U337" si="1452">SUM(R38,R47)</f>
        <v>#DIV/0!</v>
      </c>
      <c r="S337" s="53">
        <f t="shared" si="1452"/>
        <v>220500.56523233006</v>
      </c>
      <c r="T337" s="53">
        <f t="shared" si="1452"/>
        <v>225191.47482377602</v>
      </c>
      <c r="U337" s="53" t="e">
        <f t="shared" si="1452"/>
        <v>#DIV/0!</v>
      </c>
      <c r="V337" s="53">
        <f>SUM(V38,V47)</f>
        <v>209149.21663070048</v>
      </c>
      <c r="W337" s="53">
        <f t="shared" ref="W337:Z337" si="1453">SUM(W38,W47)</f>
        <v>217738.87165759085</v>
      </c>
      <c r="X337" s="53">
        <f t="shared" si="1453"/>
        <v>231235.27396681087</v>
      </c>
      <c r="Y337" s="53">
        <f t="shared" si="1453"/>
        <v>237161.91097441575</v>
      </c>
      <c r="Z337" s="53">
        <f t="shared" si="1453"/>
        <v>895285.27322951797</v>
      </c>
      <c r="AA337" s="53">
        <f>SUM(AA38,AA47)</f>
        <v>221168.64356857244</v>
      </c>
      <c r="AB337" s="53">
        <f t="shared" ref="AB337:AE337" si="1454">SUM(AB38,AB47)</f>
        <v>228906.62525525581</v>
      </c>
      <c r="AC337" s="53">
        <f t="shared" si="1454"/>
        <v>242627.1309460112</v>
      </c>
      <c r="AD337" s="53">
        <f t="shared" si="1454"/>
        <v>253676.45501483962</v>
      </c>
      <c r="AE337" s="53">
        <f t="shared" si="1454"/>
        <v>946378.85478467902</v>
      </c>
      <c r="AF337" s="53">
        <f>SUM(AF38,AF47)</f>
        <v>238095.68072645372</v>
      </c>
      <c r="AG337" s="53">
        <f t="shared" ref="AG337:AJ337" si="1455">SUM(AG38,AG47)</f>
        <v>245410.4883826857</v>
      </c>
      <c r="AH337" s="53">
        <f t="shared" si="1455"/>
        <v>257528.30231944442</v>
      </c>
      <c r="AI337" s="53">
        <f t="shared" si="1455"/>
        <v>273528.33306808991</v>
      </c>
      <c r="AJ337" s="53">
        <f t="shared" si="1455"/>
        <v>1014562.8044966738</v>
      </c>
      <c r="AK337" s="53">
        <f>SUM(AK38,AK47)</f>
        <v>256872.29755748008</v>
      </c>
      <c r="AL337" s="53">
        <f t="shared" ref="AL337:AO337" si="1456">SUM(AL38,AL47)</f>
        <v>266746.58142607386</v>
      </c>
      <c r="AM337" s="53">
        <f t="shared" si="1456"/>
        <v>278724.38164092519</v>
      </c>
      <c r="AN337" s="53">
        <f t="shared" si="1456"/>
        <v>298723.5153755208</v>
      </c>
      <c r="AO337" s="53">
        <f t="shared" si="1456"/>
        <v>1101066.7759999998</v>
      </c>
      <c r="AP337" s="53">
        <f>SUM(AP38,AP47)</f>
        <v>278407.3984170648</v>
      </c>
      <c r="AQ337" s="53">
        <f t="shared" ref="AQ337:AT337" si="1457">SUM(AQ38,AQ47)</f>
        <v>286996.28977561928</v>
      </c>
      <c r="AR337" s="53">
        <f t="shared" si="1457"/>
        <v>292770.34266210068</v>
      </c>
      <c r="AS337" s="53">
        <f t="shared" si="1457"/>
        <v>304620.53114521451</v>
      </c>
      <c r="AT337" s="53">
        <f t="shared" si="1457"/>
        <v>1162794.5619999992</v>
      </c>
      <c r="AU337" s="53">
        <f>SUM(AU38,AU47)</f>
        <v>289999.07240077172</v>
      </c>
      <c r="AV337" s="53">
        <f t="shared" ref="AV337:AY337" si="1458">SUM(AV38,AV47)</f>
        <v>300864.67501732003</v>
      </c>
      <c r="AW337" s="53">
        <f t="shared" si="1458"/>
        <v>312534.0118327777</v>
      </c>
      <c r="AX337" s="53">
        <f t="shared" si="1458"/>
        <v>326335.21634259087</v>
      </c>
      <c r="AY337" s="53">
        <f t="shared" si="1458"/>
        <v>1229732.9755934605</v>
      </c>
      <c r="AZ337" s="53">
        <f>SUM(AZ38,AZ47)</f>
        <v>303343.89708615351</v>
      </c>
      <c r="BA337" s="53">
        <f t="shared" ref="BA337:BD337" si="1459">SUM(BA38,BA47)</f>
        <v>315575.49702838779</v>
      </c>
      <c r="BB337" s="53">
        <f t="shared" si="1459"/>
        <v>329044.9307841371</v>
      </c>
      <c r="BC337" s="53">
        <f t="shared" si="1459"/>
        <v>348030.04370132129</v>
      </c>
      <c r="BD337" s="53">
        <f t="shared" si="1459"/>
        <v>1295994.3685999995</v>
      </c>
      <c r="BE337" s="53">
        <f>SUM(BE38,BE47)</f>
        <v>326569.8708504439</v>
      </c>
      <c r="BF337" s="53">
        <f t="shared" ref="BF337:BI337" si="1460">SUM(BF38,BF47)</f>
        <v>341171.01737587654</v>
      </c>
      <c r="BG337" s="53">
        <f t="shared" si="1460"/>
        <v>354217.0105102064</v>
      </c>
      <c r="BH337" s="53">
        <f t="shared" si="1460"/>
        <v>358385.21336348535</v>
      </c>
      <c r="BI337" s="53">
        <f t="shared" si="1460"/>
        <v>1380343.1121000121</v>
      </c>
      <c r="BJ337" s="53">
        <f>SUM(BJ38,BJ47)</f>
        <v>348608.53816877201</v>
      </c>
      <c r="BK337" s="53">
        <f t="shared" ref="BK337:BN337" si="1461">SUM(BK38,BK47)</f>
        <v>343345.60041376005</v>
      </c>
      <c r="BL337" s="53">
        <f t="shared" si="1461"/>
        <v>346623.70076951192</v>
      </c>
      <c r="BM337" s="53">
        <f t="shared" si="1461"/>
        <v>350208.24640486337</v>
      </c>
      <c r="BN337" s="53">
        <f t="shared" si="1461"/>
        <v>1388786.0857569075</v>
      </c>
      <c r="BO337" s="53">
        <f>SUM(BO38,BO47)</f>
        <v>344195.62589306518</v>
      </c>
      <c r="BP337" s="53">
        <f t="shared" ref="BP337:BS337" si="1462">SUM(BP38,BP47)</f>
        <v>346551.68728537252</v>
      </c>
      <c r="BQ337" s="53">
        <f t="shared" si="1462"/>
        <v>347183.35534348455</v>
      </c>
      <c r="BR337" s="53">
        <f t="shared" si="1462"/>
        <v>362803.98147807765</v>
      </c>
      <c r="BS337" s="53">
        <f t="shared" si="1462"/>
        <v>1400734.65</v>
      </c>
      <c r="BT337" s="53">
        <f>SUM(BT38,BT47)</f>
        <v>358638.88218390651</v>
      </c>
      <c r="BU337" s="53">
        <f t="shared" ref="BU337:BX337" si="1463">SUM(BU38,BU47)</f>
        <v>365553.98123761249</v>
      </c>
      <c r="BV337" s="53">
        <f t="shared" si="1463"/>
        <v>369278.88176509389</v>
      </c>
      <c r="BW337" s="53">
        <f t="shared" si="1463"/>
        <v>377272.29794421984</v>
      </c>
      <c r="BX337" s="53">
        <f t="shared" si="1463"/>
        <v>1470744.0431308327</v>
      </c>
      <c r="BY337" s="53">
        <f>SUM(BY38,BY47)</f>
        <v>369744.88002796471</v>
      </c>
      <c r="BZ337" s="53">
        <f t="shared" ref="BZ337:CC337" si="1464">SUM(BZ38,BZ47)</f>
        <v>375133.95846581762</v>
      </c>
      <c r="CA337" s="53">
        <f t="shared" si="1464"/>
        <v>377572.03242871631</v>
      </c>
      <c r="CB337" s="53">
        <f t="shared" si="1464"/>
        <v>387398.22</v>
      </c>
      <c r="CC337" s="53">
        <f t="shared" si="1464"/>
        <v>1509849.0909224988</v>
      </c>
      <c r="CD337" s="53">
        <f>SUM(CD38,CD47)</f>
        <v>389732.51491708099</v>
      </c>
      <c r="CE337" s="53">
        <f t="shared" ref="CE337:CH337" si="1465">SUM(CE38,CE47)</f>
        <v>389415.54213807971</v>
      </c>
      <c r="CF337" s="53">
        <f t="shared" si="1465"/>
        <v>390501.06748958933</v>
      </c>
      <c r="CG337" s="53">
        <f t="shared" si="1465"/>
        <v>405390.84058871574</v>
      </c>
      <c r="CH337" s="53">
        <f t="shared" si="1465"/>
        <v>1575039.9651334656</v>
      </c>
      <c r="CI337" s="53">
        <f>SUM(CI38,CI47)</f>
        <v>404761.60185316886</v>
      </c>
      <c r="CJ337" s="53">
        <f t="shared" ref="CJ337:CM337" si="1466">SUM(CJ38,CJ47)</f>
        <v>405070.13362837298</v>
      </c>
      <c r="CK337" s="53">
        <f t="shared" si="1466"/>
        <v>404823.49301108817</v>
      </c>
      <c r="CL337" s="53">
        <f t="shared" si="1466"/>
        <v>420222.84058871609</v>
      </c>
      <c r="CM337" s="53">
        <f t="shared" si="1466"/>
        <v>1634878.0690813463</v>
      </c>
      <c r="CN337" s="53">
        <f>SUM(CN38,CN47)</f>
        <v>0</v>
      </c>
      <c r="CO337" s="53">
        <f t="shared" ref="CO337:CR337" si="1467">SUM(CO38,CO47)</f>
        <v>0</v>
      </c>
      <c r="CP337" s="53">
        <f t="shared" si="1467"/>
        <v>0</v>
      </c>
      <c r="CQ337" s="53">
        <f t="shared" si="1467"/>
        <v>0</v>
      </c>
      <c r="CR337" s="53">
        <f t="shared" si="1467"/>
        <v>0</v>
      </c>
    </row>
    <row r="338" spans="1:96" s="54" customFormat="1" ht="17.5" customHeight="1" x14ac:dyDescent="0.4">
      <c r="A338" s="52" t="s">
        <v>107</v>
      </c>
      <c r="B338" s="53">
        <f>SUM(B49)</f>
        <v>99971.495696315324</v>
      </c>
      <c r="C338" s="53">
        <f t="shared" ref="C338:F338" si="1468">SUM(C49)</f>
        <v>120969.28163091881</v>
      </c>
      <c r="D338" s="53">
        <f t="shared" si="1468"/>
        <v>132681.09447257957</v>
      </c>
      <c r="E338" s="53">
        <f t="shared" si="1468"/>
        <v>136314.13764422931</v>
      </c>
      <c r="F338" s="53">
        <f t="shared" si="1468"/>
        <v>489936.00944404304</v>
      </c>
      <c r="G338" s="53">
        <f>SUM(G49)</f>
        <v>118402.11281127211</v>
      </c>
      <c r="H338" s="53">
        <f t="shared" ref="H338:K338" si="1469">SUM(H49)</f>
        <v>134187.00795834023</v>
      </c>
      <c r="I338" s="53">
        <f t="shared" si="1469"/>
        <v>137229.62298723866</v>
      </c>
      <c r="J338" s="53">
        <f t="shared" si="1469"/>
        <v>156211.14638205906</v>
      </c>
      <c r="K338" s="53">
        <f t="shared" si="1469"/>
        <v>546029.89013891004</v>
      </c>
      <c r="L338" s="53">
        <f>SUM(L49)</f>
        <v>122182.43677928289</v>
      </c>
      <c r="M338" s="53">
        <f t="shared" ref="M338:P338" si="1470">SUM(M49)</f>
        <v>135119.70738183032</v>
      </c>
      <c r="N338" s="53">
        <f t="shared" si="1470"/>
        <v>141343.85847364916</v>
      </c>
      <c r="O338" s="53">
        <f t="shared" si="1470"/>
        <v>167129.22957338954</v>
      </c>
      <c r="P338" s="53">
        <f t="shared" si="1470"/>
        <v>565775.23220815184</v>
      </c>
      <c r="Q338" s="53">
        <f>SUM(Q49)</f>
        <v>127611.00366812843</v>
      </c>
      <c r="R338" s="53" t="e">
        <f t="shared" ref="R338:U338" si="1471">SUM(R49)</f>
        <v>#DIV/0!</v>
      </c>
      <c r="S338" s="53">
        <f t="shared" si="1471"/>
        <v>164636.79348915332</v>
      </c>
      <c r="T338" s="53">
        <f t="shared" si="1471"/>
        <v>178879.42089378482</v>
      </c>
      <c r="U338" s="53" t="e">
        <f t="shared" si="1471"/>
        <v>#DIV/0!</v>
      </c>
      <c r="V338" s="53">
        <f>SUM(V49)</f>
        <v>137225.63856159133</v>
      </c>
      <c r="W338" s="53">
        <f t="shared" ref="W338:Z338" si="1472">SUM(W49)</f>
        <v>172053.62338017384</v>
      </c>
      <c r="X338" s="53">
        <f t="shared" si="1472"/>
        <v>178921.25875763505</v>
      </c>
      <c r="Y338" s="53">
        <f t="shared" si="1472"/>
        <v>191433.83421230406</v>
      </c>
      <c r="Z338" s="53">
        <f t="shared" si="1472"/>
        <v>679634.35491170431</v>
      </c>
      <c r="AA338" s="53">
        <f>SUM(AA49)</f>
        <v>155021.36496339121</v>
      </c>
      <c r="AB338" s="53">
        <f t="shared" ref="AB338:AE338" si="1473">SUM(AB49)</f>
        <v>184253.42029538788</v>
      </c>
      <c r="AC338" s="53">
        <f t="shared" si="1473"/>
        <v>194052.48679314787</v>
      </c>
      <c r="AD338" s="53">
        <f t="shared" si="1473"/>
        <v>207870.93005263794</v>
      </c>
      <c r="AE338" s="53">
        <f t="shared" si="1473"/>
        <v>741198.20210456487</v>
      </c>
      <c r="AF338" s="53">
        <f>SUM(AF49)</f>
        <v>165423.65907776242</v>
      </c>
      <c r="AG338" s="53">
        <f t="shared" ref="AG338:AJ338" si="1474">SUM(AG49)</f>
        <v>186626.32786824837</v>
      </c>
      <c r="AH338" s="53">
        <f t="shared" si="1474"/>
        <v>202395.87665804027</v>
      </c>
      <c r="AI338" s="53">
        <f t="shared" si="1474"/>
        <v>223277.30726222589</v>
      </c>
      <c r="AJ338" s="53">
        <f t="shared" si="1474"/>
        <v>777723.17086627695</v>
      </c>
      <c r="AK338" s="53">
        <f>SUM(AK49)</f>
        <v>181236.70322544279</v>
      </c>
      <c r="AL338" s="53">
        <f t="shared" ref="AL338:AO338" si="1475">SUM(AL49)</f>
        <v>199726.7740336883</v>
      </c>
      <c r="AM338" s="53">
        <f t="shared" si="1475"/>
        <v>215716.97681897343</v>
      </c>
      <c r="AN338" s="53">
        <f t="shared" si="1475"/>
        <v>236329.74592189546</v>
      </c>
      <c r="AO338" s="53">
        <f t="shared" si="1475"/>
        <v>833010.20000000007</v>
      </c>
      <c r="AP338" s="53">
        <f>SUM(AP49)</f>
        <v>193939.73930781262</v>
      </c>
      <c r="AQ338" s="53">
        <f t="shared" ref="AQ338:AT338" si="1476">SUM(AQ49)</f>
        <v>205270.68776509177</v>
      </c>
      <c r="AR338" s="53">
        <f t="shared" si="1476"/>
        <v>217763.56707636616</v>
      </c>
      <c r="AS338" s="53">
        <f t="shared" si="1476"/>
        <v>239492.50585072927</v>
      </c>
      <c r="AT338" s="53">
        <f t="shared" si="1476"/>
        <v>856466.49999999988</v>
      </c>
      <c r="AU338" s="53">
        <f>SUM(AU49)</f>
        <v>198433.76734795814</v>
      </c>
      <c r="AV338" s="53">
        <f t="shared" ref="AV338:AY338" si="1477">SUM(AV49)</f>
        <v>208830.89518380348</v>
      </c>
      <c r="AW338" s="53">
        <f t="shared" si="1477"/>
        <v>227444.46235742161</v>
      </c>
      <c r="AX338" s="53">
        <f t="shared" si="1477"/>
        <v>243837.81511081668</v>
      </c>
      <c r="AY338" s="53">
        <f t="shared" si="1477"/>
        <v>878546.94</v>
      </c>
      <c r="AZ338" s="53">
        <f>SUM(AZ49)</f>
        <v>198720.18415800226</v>
      </c>
      <c r="BA338" s="53">
        <f t="shared" ref="BA338:BD338" si="1478">SUM(BA49)</f>
        <v>209887.92558743339</v>
      </c>
      <c r="BB338" s="53">
        <f t="shared" si="1478"/>
        <v>227477.08566793555</v>
      </c>
      <c r="BC338" s="53">
        <f t="shared" si="1478"/>
        <v>244012.93458662881</v>
      </c>
      <c r="BD338" s="53">
        <f t="shared" si="1478"/>
        <v>880098.13</v>
      </c>
      <c r="BE338" s="53">
        <f>SUM(BE49)</f>
        <v>199124.68827230146</v>
      </c>
      <c r="BF338" s="53">
        <f t="shared" ref="BF338:BI338" si="1479">SUM(BF49)</f>
        <v>210402.64875439327</v>
      </c>
      <c r="BG338" s="53">
        <f t="shared" si="1479"/>
        <v>231127.84801420764</v>
      </c>
      <c r="BH338" s="53">
        <f t="shared" si="1479"/>
        <v>239288.08495910856</v>
      </c>
      <c r="BI338" s="53">
        <f t="shared" si="1479"/>
        <v>879943.27000001096</v>
      </c>
      <c r="BJ338" s="53">
        <f>SUM(BJ49)</f>
        <v>128382.75296526626</v>
      </c>
      <c r="BK338" s="53">
        <f t="shared" ref="BK338:BN338" si="1480">SUM(BK49)</f>
        <v>154201.20667469327</v>
      </c>
      <c r="BL338" s="53">
        <f t="shared" si="1480"/>
        <v>163838.61755583351</v>
      </c>
      <c r="BM338" s="53">
        <f t="shared" si="1480"/>
        <v>207436.90443495996</v>
      </c>
      <c r="BN338" s="53">
        <f t="shared" si="1480"/>
        <v>653859.48163075303</v>
      </c>
      <c r="BO338" s="53">
        <f>SUM(BO49)</f>
        <v>94098.339912161537</v>
      </c>
      <c r="BP338" s="53">
        <f t="shared" ref="BP338:BS338" si="1481">SUM(BP49)</f>
        <v>183891.79179357557</v>
      </c>
      <c r="BQ338" s="53">
        <f t="shared" si="1481"/>
        <v>148691.67793169303</v>
      </c>
      <c r="BR338" s="53">
        <f t="shared" si="1481"/>
        <v>245017.65036256984</v>
      </c>
      <c r="BS338" s="53">
        <f t="shared" si="1481"/>
        <v>671699.46</v>
      </c>
      <c r="BT338" s="53">
        <f>SUM(BT49)</f>
        <v>96752.922873967604</v>
      </c>
      <c r="BU338" s="53">
        <f t="shared" ref="BU338:BX338" si="1482">SUM(BU49)</f>
        <v>135541.69913641721</v>
      </c>
      <c r="BV338" s="53">
        <f t="shared" si="1482"/>
        <v>167181.98009710194</v>
      </c>
      <c r="BW338" s="53">
        <f t="shared" si="1482"/>
        <v>237960.99754656723</v>
      </c>
      <c r="BX338" s="53">
        <f t="shared" si="1482"/>
        <v>637437.59965405404</v>
      </c>
      <c r="BY338" s="53">
        <f>SUM(BY49)</f>
        <v>98872.684685811095</v>
      </c>
      <c r="BZ338" s="53">
        <f t="shared" ref="BZ338:CC338" si="1483">SUM(BZ49)</f>
        <v>163719.650329175</v>
      </c>
      <c r="CA338" s="53">
        <f t="shared" si="1483"/>
        <v>152953.26544508801</v>
      </c>
      <c r="CB338" s="53">
        <f t="shared" si="1483"/>
        <v>225360.47</v>
      </c>
      <c r="CC338" s="53">
        <f t="shared" si="1483"/>
        <v>640906.07046007412</v>
      </c>
      <c r="CD338" s="53">
        <f>SUM(CD49)</f>
        <v>106619.27032055389</v>
      </c>
      <c r="CE338" s="53">
        <f t="shared" ref="CE338:CH338" si="1484">SUM(CE49)</f>
        <v>165421.01674045299</v>
      </c>
      <c r="CF338" s="53">
        <f t="shared" si="1484"/>
        <v>154794.490143698</v>
      </c>
      <c r="CG338" s="53">
        <f t="shared" si="1484"/>
        <v>229261.86218090399</v>
      </c>
      <c r="CH338" s="53">
        <f t="shared" si="1484"/>
        <v>656096.63938560884</v>
      </c>
      <c r="CI338" s="53">
        <f>SUM(CI49)</f>
        <v>117943.64260335101</v>
      </c>
      <c r="CJ338" s="53">
        <f t="shared" ref="CJ338:CM338" si="1485">SUM(CJ49)</f>
        <v>143903.598637527</v>
      </c>
      <c r="CK338" s="53">
        <f t="shared" si="1485"/>
        <v>144867.94321357299</v>
      </c>
      <c r="CL338" s="53">
        <f t="shared" si="1485"/>
        <v>180783.86218090399</v>
      </c>
      <c r="CM338" s="53">
        <f t="shared" si="1485"/>
        <v>587499.04663535499</v>
      </c>
      <c r="CN338" s="53">
        <f>SUM(CN49)</f>
        <v>0</v>
      </c>
      <c r="CO338" s="53">
        <f t="shared" ref="CO338:CR338" si="1486">SUM(CO49)</f>
        <v>0</v>
      </c>
      <c r="CP338" s="53">
        <f t="shared" si="1486"/>
        <v>0</v>
      </c>
      <c r="CQ338" s="53">
        <f t="shared" si="1486"/>
        <v>0</v>
      </c>
      <c r="CR338" s="53">
        <f t="shared" si="1486"/>
        <v>0</v>
      </c>
    </row>
    <row r="339" spans="1:96" s="54" customFormat="1" ht="17.5" customHeight="1" x14ac:dyDescent="0.4">
      <c r="A339" s="52" t="s">
        <v>108</v>
      </c>
      <c r="B339" s="53">
        <f>SUM(B51,B55)</f>
        <v>104041.33354724167</v>
      </c>
      <c r="C339" s="53">
        <f t="shared" ref="C339:F339" si="1487">SUM(C51,C55)</f>
        <v>105094.57464944638</v>
      </c>
      <c r="D339" s="53">
        <f t="shared" si="1487"/>
        <v>110449.85579385322</v>
      </c>
      <c r="E339" s="53">
        <f t="shared" si="1487"/>
        <v>107235.98328393366</v>
      </c>
      <c r="F339" s="53">
        <f t="shared" si="1487"/>
        <v>426821.74727447488</v>
      </c>
      <c r="G339" s="53">
        <f>SUM(G51,G55)</f>
        <v>92699.399107631369</v>
      </c>
      <c r="H339" s="53">
        <f t="shared" ref="H339:K339" si="1488">SUM(H51,H55)</f>
        <v>94802.305019365071</v>
      </c>
      <c r="I339" s="53">
        <f t="shared" si="1488"/>
        <v>98139.091971168513</v>
      </c>
      <c r="J339" s="53">
        <f t="shared" si="1488"/>
        <v>101585.53933890079</v>
      </c>
      <c r="K339" s="53">
        <f t="shared" si="1488"/>
        <v>387226.33543706569</v>
      </c>
      <c r="L339" s="53">
        <f>SUM(L51,L55)</f>
        <v>94878.098489703654</v>
      </c>
      <c r="M339" s="53">
        <f t="shared" ref="M339:P339" si="1489">SUM(M51,M55)</f>
        <v>111669.94687006682</v>
      </c>
      <c r="N339" s="53">
        <f t="shared" si="1489"/>
        <v>114994.5876862172</v>
      </c>
      <c r="O339" s="53">
        <f t="shared" si="1489"/>
        <v>110584.15384177404</v>
      </c>
      <c r="P339" s="53">
        <f t="shared" si="1489"/>
        <v>432126.78688776167</v>
      </c>
      <c r="Q339" s="53">
        <f>SUM(Q51,Q55)</f>
        <v>120787.11694742182</v>
      </c>
      <c r="R339" s="53" t="e">
        <f t="shared" ref="R339:U339" si="1490">SUM(R51,R55)</f>
        <v>#DIV/0!</v>
      </c>
      <c r="S339" s="53">
        <f t="shared" si="1490"/>
        <v>129779.47163098454</v>
      </c>
      <c r="T339" s="53">
        <f t="shared" si="1490"/>
        <v>135658.39671751123</v>
      </c>
      <c r="U339" s="53" t="e">
        <f t="shared" si="1490"/>
        <v>#DIV/0!</v>
      </c>
      <c r="V339" s="53">
        <f>SUM(V51,V55)</f>
        <v>152054.18399475754</v>
      </c>
      <c r="W339" s="53">
        <f t="shared" ref="W339:Z339" si="1491">SUM(W51,W55)</f>
        <v>161365.48883240044</v>
      </c>
      <c r="X339" s="53">
        <f t="shared" si="1491"/>
        <v>161471.85920330926</v>
      </c>
      <c r="Y339" s="53">
        <f t="shared" si="1491"/>
        <v>161064.26714454556</v>
      </c>
      <c r="Z339" s="53">
        <f t="shared" si="1491"/>
        <v>635955.79917501286</v>
      </c>
      <c r="AA339" s="53">
        <f>SUM(AA51,AA55)</f>
        <v>177724.6943313838</v>
      </c>
      <c r="AB339" s="53">
        <f t="shared" ref="AB339:AE339" si="1492">SUM(AB51,AB55)</f>
        <v>153486.30916986259</v>
      </c>
      <c r="AC339" s="53">
        <f t="shared" si="1492"/>
        <v>162237.33180560375</v>
      </c>
      <c r="AD339" s="53">
        <f t="shared" si="1492"/>
        <v>174925.65183198344</v>
      </c>
      <c r="AE339" s="53">
        <f t="shared" si="1492"/>
        <v>668373.9871388335</v>
      </c>
      <c r="AF339" s="53">
        <f>SUM(AF51,AF55)</f>
        <v>182080.82562443218</v>
      </c>
      <c r="AG339" s="53">
        <f t="shared" ref="AG339:AJ339" si="1493">SUM(AG51,AG55)</f>
        <v>170404.9690127073</v>
      </c>
      <c r="AH339" s="53">
        <f t="shared" si="1493"/>
        <v>176618.55786052739</v>
      </c>
      <c r="AI339" s="53">
        <f t="shared" si="1493"/>
        <v>184351.51762161756</v>
      </c>
      <c r="AJ339" s="53">
        <f t="shared" si="1493"/>
        <v>713455.87011928449</v>
      </c>
      <c r="AK339" s="53">
        <f>SUM(AK51,AK55)</f>
        <v>174211.97941805105</v>
      </c>
      <c r="AL339" s="53">
        <f t="shared" ref="AL339:AO339" si="1494">SUM(AL51,AL55)</f>
        <v>185004.96892920384</v>
      </c>
      <c r="AM339" s="53">
        <f t="shared" si="1494"/>
        <v>194709.73801599702</v>
      </c>
      <c r="AN339" s="53">
        <f t="shared" si="1494"/>
        <v>210361.76063674808</v>
      </c>
      <c r="AO339" s="53">
        <f t="shared" si="1494"/>
        <v>764288.44700000004</v>
      </c>
      <c r="AP339" s="53">
        <f>SUM(AP51,AP55)</f>
        <v>193047.66719576667</v>
      </c>
      <c r="AQ339" s="53">
        <f t="shared" ref="AQ339:AT339" si="1495">SUM(AQ51,AQ55)</f>
        <v>198662.05592812836</v>
      </c>
      <c r="AR339" s="53">
        <f t="shared" si="1495"/>
        <v>207640.09112200278</v>
      </c>
      <c r="AS339" s="53">
        <f t="shared" si="1495"/>
        <v>221786.75375410222</v>
      </c>
      <c r="AT339" s="53">
        <f t="shared" si="1495"/>
        <v>821136.56800000009</v>
      </c>
      <c r="AU339" s="53">
        <f>SUM(AU51,AU55)</f>
        <v>206085.32983215494</v>
      </c>
      <c r="AV339" s="53">
        <f t="shared" ref="AV339:AY339" si="1496">SUM(AV51,AV55)</f>
        <v>213407.83501549717</v>
      </c>
      <c r="AW339" s="53">
        <f t="shared" si="1496"/>
        <v>221087.21667773681</v>
      </c>
      <c r="AX339" s="53">
        <f t="shared" si="1496"/>
        <v>233470.00823466532</v>
      </c>
      <c r="AY339" s="53">
        <f t="shared" si="1496"/>
        <v>874050.3897600543</v>
      </c>
      <c r="AZ339" s="53">
        <f>SUM(AZ51,AZ55)</f>
        <v>222219.23179212926</v>
      </c>
      <c r="BA339" s="53">
        <f t="shared" ref="BA339:BD339" si="1497">SUM(BA51,BA55)</f>
        <v>226499.39180398732</v>
      </c>
      <c r="BB339" s="53">
        <f t="shared" si="1497"/>
        <v>231332.02970286025</v>
      </c>
      <c r="BC339" s="53">
        <f t="shared" si="1497"/>
        <v>237319.4258010232</v>
      </c>
      <c r="BD339" s="53">
        <f t="shared" si="1497"/>
        <v>917370.07909999997</v>
      </c>
      <c r="BE339" s="53">
        <f>SUM(BE51,BE55)</f>
        <v>229050.37603288866</v>
      </c>
      <c r="BF339" s="53">
        <f t="shared" ref="BF339:BI339" si="1498">SUM(BF51,BF55)</f>
        <v>235938.91375902735</v>
      </c>
      <c r="BG339" s="53">
        <f t="shared" si="1498"/>
        <v>248221.12201252781</v>
      </c>
      <c r="BH339" s="53">
        <f t="shared" si="1498"/>
        <v>259094.37279555132</v>
      </c>
      <c r="BI339" s="53">
        <f t="shared" si="1498"/>
        <v>972304.78459999501</v>
      </c>
      <c r="BJ339" s="53">
        <f>SUM(BJ51,BJ55)</f>
        <v>233947.08481731085</v>
      </c>
      <c r="BK339" s="53">
        <f t="shared" ref="BK339:BN339" si="1499">SUM(BK51,BK55)</f>
        <v>238320.21176815996</v>
      </c>
      <c r="BL339" s="53">
        <f t="shared" si="1499"/>
        <v>250678.49846849931</v>
      </c>
      <c r="BM339" s="53">
        <f t="shared" si="1499"/>
        <v>253959.46194603006</v>
      </c>
      <c r="BN339" s="53">
        <f t="shared" si="1499"/>
        <v>976905.2570000001</v>
      </c>
      <c r="BO339" s="53">
        <f>SUM(BO51,BO55)</f>
        <v>248111.7907032237</v>
      </c>
      <c r="BP339" s="53">
        <f t="shared" ref="BP339:BS339" si="1500">SUM(BP51,BP55)</f>
        <v>250653.34407309745</v>
      </c>
      <c r="BQ339" s="53">
        <f t="shared" si="1500"/>
        <v>265866.76444868831</v>
      </c>
      <c r="BR339" s="53">
        <f t="shared" si="1500"/>
        <v>269039.65077499062</v>
      </c>
      <c r="BS339" s="53">
        <f t="shared" si="1500"/>
        <v>1033671.55</v>
      </c>
      <c r="BT339" s="53">
        <f>SUM(BT51,BT55)</f>
        <v>242193.79444898054</v>
      </c>
      <c r="BU339" s="53">
        <f t="shared" ref="BU339:BX339" si="1501">SUM(BU51,BU55)</f>
        <v>262899.22765175381</v>
      </c>
      <c r="BV339" s="53">
        <f t="shared" si="1501"/>
        <v>262795.01741687785</v>
      </c>
      <c r="BW339" s="53">
        <f t="shared" si="1501"/>
        <v>281971.75755548547</v>
      </c>
      <c r="BX339" s="53">
        <f t="shared" si="1501"/>
        <v>1049859.7970730977</v>
      </c>
      <c r="BY339" s="53">
        <f>SUM(BY51,BY55)</f>
        <v>251803.9585090965</v>
      </c>
      <c r="BZ339" s="53">
        <f t="shared" ref="BZ339:CC339" si="1502">SUM(BZ51,BZ55)</f>
        <v>257710.37665378067</v>
      </c>
      <c r="CA339" s="53">
        <f t="shared" si="1502"/>
        <v>273339.21091789799</v>
      </c>
      <c r="CB339" s="53">
        <f t="shared" si="1502"/>
        <v>274851.78999999998</v>
      </c>
      <c r="CC339" s="53">
        <f t="shared" si="1502"/>
        <v>1057705.3360807751</v>
      </c>
      <c r="CD339" s="53">
        <f>SUM(CD51,CD55)</f>
        <v>257119.54217585572</v>
      </c>
      <c r="CE339" s="53">
        <f t="shared" ref="CE339:CH339" si="1503">SUM(CE51,CE55)</f>
        <v>264292.78417374013</v>
      </c>
      <c r="CF339" s="53">
        <f t="shared" si="1503"/>
        <v>275767.10608533095</v>
      </c>
      <c r="CG339" s="53">
        <f t="shared" si="1503"/>
        <v>283564.49490127753</v>
      </c>
      <c r="CH339" s="53">
        <f t="shared" si="1503"/>
        <v>1080743.9273362043</v>
      </c>
      <c r="CI339" s="53">
        <f>SUM(CI51,CI55)</f>
        <v>262010.0036589356</v>
      </c>
      <c r="CJ339" s="53">
        <f t="shared" ref="CJ339:CM339" si="1504">SUM(CJ51,CJ55)</f>
        <v>266588.36309888156</v>
      </c>
      <c r="CK339" s="53">
        <f t="shared" si="1504"/>
        <v>277774.46363829338</v>
      </c>
      <c r="CL339" s="53">
        <f t="shared" si="1504"/>
        <v>285449.49490127718</v>
      </c>
      <c r="CM339" s="53">
        <f t="shared" si="1504"/>
        <v>1091822.3252973875</v>
      </c>
      <c r="CN339" s="53">
        <f>SUM(CN51,CN55)</f>
        <v>0</v>
      </c>
      <c r="CO339" s="53">
        <f t="shared" ref="CO339:CR339" si="1505">SUM(CO51,CO55)</f>
        <v>0</v>
      </c>
      <c r="CP339" s="53">
        <f t="shared" si="1505"/>
        <v>0</v>
      </c>
      <c r="CQ339" s="53">
        <f t="shared" si="1505"/>
        <v>0</v>
      </c>
      <c r="CR339" s="53">
        <f t="shared" si="1505"/>
        <v>0</v>
      </c>
    </row>
    <row r="340" spans="1:96" s="54" customFormat="1" ht="17.5" customHeight="1" x14ac:dyDescent="0.4">
      <c r="A340" s="52" t="s">
        <v>109</v>
      </c>
      <c r="B340" s="53">
        <f>B57-B59</f>
        <v>-171583.22794367609</v>
      </c>
      <c r="C340" s="53">
        <f t="shared" ref="C340:F340" si="1506">C57-C59</f>
        <v>-190622.83383176156</v>
      </c>
      <c r="D340" s="53">
        <f t="shared" si="1506"/>
        <v>-210707.17083737502</v>
      </c>
      <c r="E340" s="53">
        <f t="shared" si="1506"/>
        <v>-209951.66329108496</v>
      </c>
      <c r="F340" s="53">
        <f t="shared" si="1506"/>
        <v>-782864.89590389759</v>
      </c>
      <c r="G340" s="53">
        <f>G57-G59</f>
        <v>-172815.91055340259</v>
      </c>
      <c r="H340" s="53">
        <f t="shared" ref="H340:K340" si="1507">H57-H59</f>
        <v>-191655.7023981672</v>
      </c>
      <c r="I340" s="53">
        <f t="shared" si="1507"/>
        <v>-202060.10650637621</v>
      </c>
      <c r="J340" s="53">
        <f t="shared" si="1507"/>
        <v>-223933.5655128306</v>
      </c>
      <c r="K340" s="53">
        <f t="shared" si="1507"/>
        <v>-790465.28497077664</v>
      </c>
      <c r="L340" s="53">
        <f>L57-L59</f>
        <v>-176190.45369880649</v>
      </c>
      <c r="M340" s="53">
        <f t="shared" ref="M340:P340" si="1508">M57-M59</f>
        <v>-201352.16798280296</v>
      </c>
      <c r="N340" s="53">
        <f t="shared" si="1508"/>
        <v>-215598.28888768787</v>
      </c>
      <c r="O340" s="53">
        <f t="shared" si="1508"/>
        <v>-242034.57770516668</v>
      </c>
      <c r="P340" s="53">
        <f t="shared" si="1508"/>
        <v>-835175.48827446403</v>
      </c>
      <c r="Q340" s="53">
        <f>Q57-Q59</f>
        <v>-197781.87193598959</v>
      </c>
      <c r="R340" s="53" t="e">
        <f t="shared" ref="R340:U340" si="1509">R57-R59</f>
        <v>#DIV/0!</v>
      </c>
      <c r="S340" s="53">
        <f t="shared" si="1509"/>
        <v>-248711.53526995581</v>
      </c>
      <c r="T340" s="53">
        <f t="shared" si="1509"/>
        <v>-260158.42261398505</v>
      </c>
      <c r="U340" s="53" t="e">
        <f t="shared" si="1509"/>
        <v>#DIV/0!</v>
      </c>
      <c r="V340" s="53">
        <f>V57-V59</f>
        <v>-224195.11324474472</v>
      </c>
      <c r="W340" s="53">
        <f t="shared" ref="W340:Z340" si="1510">W57-W59</f>
        <v>-269546.10012067779</v>
      </c>
      <c r="X340" s="53">
        <f t="shared" si="1510"/>
        <v>-288226.36690937501</v>
      </c>
      <c r="Y340" s="53">
        <f t="shared" si="1510"/>
        <v>-301479.31286869629</v>
      </c>
      <c r="Z340" s="53">
        <f t="shared" si="1510"/>
        <v>-1083446.8931434937</v>
      </c>
      <c r="AA340" s="53">
        <f>AA57-AA59</f>
        <v>-272566.29715685919</v>
      </c>
      <c r="AB340" s="53">
        <f t="shared" ref="AB340:AE340" si="1511">AB57-AB59</f>
        <v>-277606.83755570673</v>
      </c>
      <c r="AC340" s="53">
        <f t="shared" si="1511"/>
        <v>-299512.5243952297</v>
      </c>
      <c r="AD340" s="53">
        <f t="shared" si="1511"/>
        <v>-320776.74172192742</v>
      </c>
      <c r="AE340" s="53">
        <f t="shared" si="1511"/>
        <v>-1170462.4008297231</v>
      </c>
      <c r="AF340" s="53">
        <f>AF57-AF59</f>
        <v>-279224.64659147518</v>
      </c>
      <c r="AG340" s="53">
        <f t="shared" ref="AG340:AJ340" si="1512">AG57-AG59</f>
        <v>-291488.22505933733</v>
      </c>
      <c r="AH340" s="53">
        <f t="shared" si="1512"/>
        <v>-318072.14563557162</v>
      </c>
      <c r="AI340" s="53">
        <f t="shared" si="1512"/>
        <v>-354706.2181037339</v>
      </c>
      <c r="AJ340" s="53">
        <f t="shared" si="1512"/>
        <v>-1243491.2353901181</v>
      </c>
      <c r="AK340" s="53">
        <f>AK57-AK59</f>
        <v>-293005.26547068375</v>
      </c>
      <c r="AL340" s="53">
        <f t="shared" ref="AL340:AO340" si="1513">AL57-AL59</f>
        <v>-322419.02802670468</v>
      </c>
      <c r="AM340" s="53">
        <f t="shared" si="1513"/>
        <v>-350227.54548407166</v>
      </c>
      <c r="AN340" s="53">
        <f t="shared" si="1513"/>
        <v>-394370.96501853992</v>
      </c>
      <c r="AO340" s="53">
        <f t="shared" si="1513"/>
        <v>-1360022.804</v>
      </c>
      <c r="AP340" s="53">
        <f>AP57-AP59</f>
        <v>-326757.14074841654</v>
      </c>
      <c r="AQ340" s="53">
        <f t="shared" ref="AQ340:AT340" si="1514">AQ57-AQ59</f>
        <v>-339716.59983782907</v>
      </c>
      <c r="AR340" s="53">
        <f t="shared" si="1514"/>
        <v>-360029.06268328597</v>
      </c>
      <c r="AS340" s="53">
        <f t="shared" si="1514"/>
        <v>-396698.90113046765</v>
      </c>
      <c r="AT340" s="53">
        <f t="shared" si="1514"/>
        <v>-1423201.7043999992</v>
      </c>
      <c r="AU340" s="53">
        <f>AU57-AU59</f>
        <v>-333780.49192763073</v>
      </c>
      <c r="AV340" s="53">
        <f t="shared" ref="AV340:AY340" si="1515">AV57-AV59</f>
        <v>-352568.06698803569</v>
      </c>
      <c r="AW340" s="53">
        <f t="shared" si="1515"/>
        <v>-381487.12786577246</v>
      </c>
      <c r="AX340" s="53">
        <f t="shared" si="1515"/>
        <v>-413703.8342062697</v>
      </c>
      <c r="AY340" s="53">
        <f t="shared" si="1515"/>
        <v>-1481539.5209877086</v>
      </c>
      <c r="AZ340" s="53">
        <f>AZ57-AZ59</f>
        <v>-343824.57136778062</v>
      </c>
      <c r="BA340" s="53">
        <f t="shared" ref="BA340:BD340" si="1516">BA57-BA59</f>
        <v>-361005.96937710495</v>
      </c>
      <c r="BB340" s="53">
        <f t="shared" si="1516"/>
        <v>-382528.18209405668</v>
      </c>
      <c r="BC340" s="53">
        <f t="shared" si="1516"/>
        <v>-415378.09373044397</v>
      </c>
      <c r="BD340" s="53">
        <f t="shared" si="1516"/>
        <v>-1502736.8165693863</v>
      </c>
      <c r="BE340" s="53">
        <f>BE57-BE59</f>
        <v>-349619.67968048743</v>
      </c>
      <c r="BF340" s="53">
        <f t="shared" ref="BF340:BI340" si="1517">BF57-BF59</f>
        <v>-369778.34834693477</v>
      </c>
      <c r="BG340" s="53">
        <f t="shared" si="1517"/>
        <v>-405877.77175745368</v>
      </c>
      <c r="BH340" s="53">
        <f t="shared" si="1517"/>
        <v>-421499.28792754491</v>
      </c>
      <c r="BI340" s="53">
        <f t="shared" si="1517"/>
        <v>-1546775.0877124206</v>
      </c>
      <c r="BJ340" s="53">
        <f>BJ57-BJ59</f>
        <v>-287958.03509563836</v>
      </c>
      <c r="BK340" s="53">
        <f t="shared" ref="BK340:BN340" si="1518">BK57-BK59</f>
        <v>-318667.63759868772</v>
      </c>
      <c r="BL340" s="53">
        <f t="shared" si="1518"/>
        <v>-338948.50404860522</v>
      </c>
      <c r="BM340" s="53">
        <f t="shared" si="1518"/>
        <v>-388658.80734472646</v>
      </c>
      <c r="BN340" s="53">
        <f t="shared" si="1518"/>
        <v>-1334232.9840876579</v>
      </c>
      <c r="BO340" s="53">
        <f>BO57-BO59</f>
        <v>-266749.37262978661</v>
      </c>
      <c r="BP340" s="53">
        <f t="shared" ref="BP340:BS340" si="1519">BP57-BP59</f>
        <v>-342368.59803940204</v>
      </c>
      <c r="BQ340" s="53">
        <f t="shared" si="1519"/>
        <v>-322876.70063117734</v>
      </c>
      <c r="BR340" s="53">
        <f t="shared" si="1519"/>
        <v>-424304.44184338755</v>
      </c>
      <c r="BS340" s="53">
        <f t="shared" si="1519"/>
        <v>-1356299.1131437535</v>
      </c>
      <c r="BT340" s="53">
        <f>BT57-BT59</f>
        <v>-261224.58671609173</v>
      </c>
      <c r="BU340" s="53">
        <f t="shared" ref="BU340:BX340" si="1520">BU57-BU59</f>
        <v>-301398.67555297585</v>
      </c>
      <c r="BV340" s="53">
        <f t="shared" si="1520"/>
        <v>-332438.56088403845</v>
      </c>
      <c r="BW340" s="53">
        <f t="shared" si="1520"/>
        <v>-414239.63131486013</v>
      </c>
      <c r="BX340" s="53">
        <f t="shared" si="1520"/>
        <v>-1309301.4544679662</v>
      </c>
      <c r="BY340" s="53">
        <f>BY57-BY59</f>
        <v>-259723.39423718132</v>
      </c>
      <c r="BZ340" s="53">
        <f t="shared" ref="BZ340:CC340" si="1521">BZ57-BZ59</f>
        <v>-309226.36686182651</v>
      </c>
      <c r="CA340" s="53">
        <f t="shared" si="1521"/>
        <v>-317527.27796625823</v>
      </c>
      <c r="CB340" s="53">
        <f t="shared" si="1521"/>
        <v>-391683.30922882596</v>
      </c>
      <c r="CC340" s="53">
        <f t="shared" si="1521"/>
        <v>-1278160.3482940921</v>
      </c>
      <c r="CD340" s="53">
        <f>CD57-CD59</f>
        <v>-269627.10302453593</v>
      </c>
      <c r="CE340" s="53">
        <f t="shared" ref="CE340:CH340" si="1522">CE57-CE59</f>
        <v>-315351.1109606942</v>
      </c>
      <c r="CF340" s="53">
        <f t="shared" si="1522"/>
        <v>-310223.9894096136</v>
      </c>
      <c r="CG340" s="53">
        <f t="shared" si="1522"/>
        <v>-397233.12865514384</v>
      </c>
      <c r="CH340" s="53">
        <f t="shared" si="1522"/>
        <v>-1292435.3320499877</v>
      </c>
      <c r="CI340" s="53">
        <f>CI57-CI59</f>
        <v>-275471.29026464181</v>
      </c>
      <c r="CJ340" s="53">
        <f t="shared" ref="CJ340:CM340" si="1523">CJ57-CJ59</f>
        <v>-292597.93839734053</v>
      </c>
      <c r="CK340" s="53">
        <f t="shared" si="1523"/>
        <v>-296091.4582775475</v>
      </c>
      <c r="CL340" s="53">
        <f t="shared" si="1523"/>
        <v>-337802.16676617577</v>
      </c>
      <c r="CM340" s="53">
        <f t="shared" si="1523"/>
        <v>-1201962.8537057056</v>
      </c>
      <c r="CN340" s="53">
        <f>CN57-CN59</f>
        <v>0</v>
      </c>
      <c r="CO340" s="53">
        <f t="shared" ref="CO340:CR340" si="1524">CO57-CO59</f>
        <v>0</v>
      </c>
      <c r="CP340" s="53">
        <f t="shared" si="1524"/>
        <v>0</v>
      </c>
      <c r="CQ340" s="53">
        <f t="shared" si="1524"/>
        <v>0</v>
      </c>
      <c r="CR340" s="53">
        <f t="shared" si="1524"/>
        <v>0</v>
      </c>
    </row>
    <row r="341" spans="1:96" s="9" customFormat="1" ht="23.25" customHeight="1" thickBot="1" x14ac:dyDescent="0.35">
      <c r="A341" s="26" t="s">
        <v>95</v>
      </c>
      <c r="B341" s="55">
        <f>SUM(B337:B340)</f>
        <v>204690.51582291603</v>
      </c>
      <c r="C341" s="55">
        <f t="shared" ref="C341:F341" si="1525">SUM(C337:C340)</f>
        <v>209938.88655618537</v>
      </c>
      <c r="D341" s="55">
        <f t="shared" si="1525"/>
        <v>213142.98019550685</v>
      </c>
      <c r="E341" s="55">
        <f t="shared" si="1525"/>
        <v>221043.06663222247</v>
      </c>
      <c r="F341" s="55">
        <f t="shared" si="1525"/>
        <v>848815.44920683082</v>
      </c>
      <c r="G341" s="55">
        <f>SUM(G337:G340)</f>
        <v>219943.46734978622</v>
      </c>
      <c r="H341" s="55">
        <f t="shared" ref="H341:K341" si="1526">SUM(H337:H340)</f>
        <v>223262.23589538786</v>
      </c>
      <c r="I341" s="55">
        <f t="shared" si="1526"/>
        <v>228368.298166553</v>
      </c>
      <c r="J341" s="55">
        <f t="shared" si="1526"/>
        <v>237497.94534398874</v>
      </c>
      <c r="K341" s="55">
        <f t="shared" si="1526"/>
        <v>909071.94675571588</v>
      </c>
      <c r="L341" s="55">
        <f>SUM(L337:L340)</f>
        <v>235433.74864992427</v>
      </c>
      <c r="M341" s="55">
        <f t="shared" ref="M341:P341" si="1527">SUM(M337:M340)</f>
        <v>243376.10939622909</v>
      </c>
      <c r="N341" s="55">
        <f t="shared" si="1527"/>
        <v>247997.63320619901</v>
      </c>
      <c r="O341" s="55">
        <f t="shared" si="1527"/>
        <v>253746.26728271463</v>
      </c>
      <c r="P341" s="55">
        <f t="shared" si="1527"/>
        <v>980553.75853506697</v>
      </c>
      <c r="Q341" s="55">
        <f>SUM(Q337:Q340)</f>
        <v>251974.08932349592</v>
      </c>
      <c r="R341" s="55" t="e">
        <f t="shared" ref="R341:U341" si="1528">SUM(R337:R340)</f>
        <v>#DIV/0!</v>
      </c>
      <c r="S341" s="55">
        <f t="shared" si="1528"/>
        <v>266205.29508251214</v>
      </c>
      <c r="T341" s="55">
        <f t="shared" si="1528"/>
        <v>279570.86982108711</v>
      </c>
      <c r="U341" s="55" t="e">
        <f t="shared" si="1528"/>
        <v>#DIV/0!</v>
      </c>
      <c r="V341" s="55">
        <f>SUM(V337:V340)</f>
        <v>274233.9259423046</v>
      </c>
      <c r="W341" s="55">
        <f t="shared" ref="W341:Z341" si="1529">SUM(W337:W340)</f>
        <v>281611.88374948729</v>
      </c>
      <c r="X341" s="55">
        <f t="shared" si="1529"/>
        <v>283402.0250183802</v>
      </c>
      <c r="Y341" s="55">
        <f t="shared" si="1529"/>
        <v>288180.69946256909</v>
      </c>
      <c r="Z341" s="55">
        <f t="shared" si="1529"/>
        <v>1127428.5341727417</v>
      </c>
      <c r="AA341" s="55">
        <f>SUM(AA337:AA340)</f>
        <v>281348.40570648829</v>
      </c>
      <c r="AB341" s="55">
        <f t="shared" ref="AB341:AE341" si="1530">SUM(AB337:AB340)</f>
        <v>289039.51716479962</v>
      </c>
      <c r="AC341" s="55">
        <f t="shared" si="1530"/>
        <v>299404.42514953302</v>
      </c>
      <c r="AD341" s="55">
        <f t="shared" si="1530"/>
        <v>315696.29517753364</v>
      </c>
      <c r="AE341" s="55">
        <f t="shared" si="1530"/>
        <v>1185488.6431983542</v>
      </c>
      <c r="AF341" s="55">
        <f>SUM(AF337:AF340)</f>
        <v>306375.51883717318</v>
      </c>
      <c r="AG341" s="55">
        <f t="shared" ref="AG341:AJ341" si="1531">SUM(AG337:AG340)</f>
        <v>310953.56020430394</v>
      </c>
      <c r="AH341" s="55">
        <f t="shared" si="1531"/>
        <v>318470.5912024405</v>
      </c>
      <c r="AI341" s="55">
        <f t="shared" si="1531"/>
        <v>326450.93984819943</v>
      </c>
      <c r="AJ341" s="55">
        <f t="shared" si="1531"/>
        <v>1262250.6100921172</v>
      </c>
      <c r="AK341" s="55">
        <f>SUM(AK337:AK340)</f>
        <v>319315.71473029017</v>
      </c>
      <c r="AL341" s="55">
        <f t="shared" ref="AL341:AO341" si="1532">SUM(AL337:AL340)</f>
        <v>329059.29636226129</v>
      </c>
      <c r="AM341" s="55">
        <f t="shared" si="1532"/>
        <v>338923.55099182395</v>
      </c>
      <c r="AN341" s="55">
        <f t="shared" si="1532"/>
        <v>351044.05691562442</v>
      </c>
      <c r="AO341" s="55">
        <f t="shared" si="1532"/>
        <v>1338342.6189999999</v>
      </c>
      <c r="AP341" s="55">
        <f>SUM(AP337:AP340)</f>
        <v>338637.66417222761</v>
      </c>
      <c r="AQ341" s="55">
        <f t="shared" ref="AQ341:AT341" si="1533">SUM(AQ337:AQ340)</f>
        <v>351212.43363101041</v>
      </c>
      <c r="AR341" s="55">
        <f t="shared" si="1533"/>
        <v>358144.93817718368</v>
      </c>
      <c r="AS341" s="55">
        <f t="shared" si="1533"/>
        <v>369200.88961957837</v>
      </c>
      <c r="AT341" s="55">
        <f t="shared" si="1533"/>
        <v>1417195.9255999997</v>
      </c>
      <c r="AU341" s="55">
        <f>SUM(AU337:AU340)</f>
        <v>360737.67765325401</v>
      </c>
      <c r="AV341" s="55">
        <f t="shared" ref="AV341:AY341" si="1534">SUM(AV337:AV340)</f>
        <v>370535.33822858497</v>
      </c>
      <c r="AW341" s="55">
        <f t="shared" si="1534"/>
        <v>379578.56300216366</v>
      </c>
      <c r="AX341" s="55">
        <f t="shared" si="1534"/>
        <v>389939.20548180316</v>
      </c>
      <c r="AY341" s="55">
        <f t="shared" si="1534"/>
        <v>1500790.7843658058</v>
      </c>
      <c r="AZ341" s="55">
        <f>SUM(AZ337:AZ340)</f>
        <v>380458.74166850437</v>
      </c>
      <c r="BA341" s="55">
        <f t="shared" ref="BA341:BD341" si="1535">SUM(BA337:BA340)</f>
        <v>390956.84504270362</v>
      </c>
      <c r="BB341" s="55">
        <f t="shared" si="1535"/>
        <v>405325.86406087625</v>
      </c>
      <c r="BC341" s="55">
        <f t="shared" si="1535"/>
        <v>413984.31035852933</v>
      </c>
      <c r="BD341" s="55">
        <f t="shared" si="1535"/>
        <v>1590725.761130613</v>
      </c>
      <c r="BE341" s="55">
        <f>SUM(BE337:BE340)</f>
        <v>405125.25547514664</v>
      </c>
      <c r="BF341" s="55">
        <f t="shared" ref="BF341:BI341" si="1536">SUM(BF337:BF340)</f>
        <v>417734.23154236248</v>
      </c>
      <c r="BG341" s="55">
        <f t="shared" si="1536"/>
        <v>427688.20877948811</v>
      </c>
      <c r="BH341" s="55">
        <f t="shared" si="1536"/>
        <v>435268.38319060032</v>
      </c>
      <c r="BI341" s="55">
        <f t="shared" si="1536"/>
        <v>1685816.078987598</v>
      </c>
      <c r="BJ341" s="55">
        <f>SUM(BJ337:BJ340)</f>
        <v>422980.34085571067</v>
      </c>
      <c r="BK341" s="55">
        <f t="shared" ref="BK341:BN341" si="1537">SUM(BK337:BK340)</f>
        <v>417199.38125792559</v>
      </c>
      <c r="BL341" s="55">
        <f t="shared" si="1537"/>
        <v>422192.31274523947</v>
      </c>
      <c r="BM341" s="55">
        <f t="shared" si="1537"/>
        <v>422945.80544112687</v>
      </c>
      <c r="BN341" s="55">
        <f t="shared" si="1537"/>
        <v>1685317.8403000028</v>
      </c>
      <c r="BO341" s="55">
        <f>SUM(BO337:BO340)</f>
        <v>419656.38387866376</v>
      </c>
      <c r="BP341" s="55">
        <f t="shared" ref="BP341:BS341" si="1538">SUM(BP337:BP340)</f>
        <v>438728.22511264344</v>
      </c>
      <c r="BQ341" s="55">
        <f t="shared" si="1538"/>
        <v>438865.09709268849</v>
      </c>
      <c r="BR341" s="55">
        <f t="shared" si="1538"/>
        <v>452556.84077225055</v>
      </c>
      <c r="BS341" s="55">
        <f t="shared" si="1538"/>
        <v>1749806.5468562467</v>
      </c>
      <c r="BT341" s="55">
        <f>SUM(BT337:BT340)</f>
        <v>436361.01279076294</v>
      </c>
      <c r="BU341" s="55">
        <f t="shared" ref="BU341:BX341" si="1539">SUM(BU337:BU340)</f>
        <v>462596.23247280763</v>
      </c>
      <c r="BV341" s="55">
        <f t="shared" si="1539"/>
        <v>466817.31839503534</v>
      </c>
      <c r="BW341" s="55">
        <f t="shared" si="1539"/>
        <v>482965.42173141247</v>
      </c>
      <c r="BX341" s="55">
        <f t="shared" si="1539"/>
        <v>1848739.9853900187</v>
      </c>
      <c r="BY341" s="55">
        <f>SUM(BY337:BY340)</f>
        <v>460698.128985691</v>
      </c>
      <c r="BZ341" s="55">
        <f t="shared" ref="BZ341:CC341" si="1540">SUM(BZ337:BZ340)</f>
        <v>487337.61858694674</v>
      </c>
      <c r="CA341" s="55">
        <f t="shared" si="1540"/>
        <v>486337.2308254441</v>
      </c>
      <c r="CB341" s="55">
        <f t="shared" si="1540"/>
        <v>495927.17077117402</v>
      </c>
      <c r="CC341" s="55">
        <f t="shared" si="1540"/>
        <v>1930300.1491692557</v>
      </c>
      <c r="CD341" s="55">
        <f>SUM(CD337:CD340)</f>
        <v>483844.2243889547</v>
      </c>
      <c r="CE341" s="55">
        <f t="shared" ref="CE341:CH341" si="1541">SUM(CE337:CE340)</f>
        <v>503778.23209157871</v>
      </c>
      <c r="CF341" s="55">
        <f t="shared" si="1541"/>
        <v>510838.67430900462</v>
      </c>
      <c r="CG341" s="55">
        <f t="shared" si="1541"/>
        <v>520984.0690157534</v>
      </c>
      <c r="CH341" s="55">
        <f t="shared" si="1541"/>
        <v>2019445.1998052909</v>
      </c>
      <c r="CI341" s="55">
        <f>SUM(CI337:CI340)</f>
        <v>509243.95785081369</v>
      </c>
      <c r="CJ341" s="55">
        <f t="shared" ref="CJ341:CM341" si="1542">SUM(CJ337:CJ340)</f>
        <v>522964.15696744103</v>
      </c>
      <c r="CK341" s="55">
        <f t="shared" si="1542"/>
        <v>531374.44158540713</v>
      </c>
      <c r="CL341" s="55">
        <f t="shared" si="1542"/>
        <v>548654.03090472147</v>
      </c>
      <c r="CM341" s="55">
        <f t="shared" si="1542"/>
        <v>2112236.5873083831</v>
      </c>
      <c r="CN341" s="55">
        <f>SUM(CN337:CN340)</f>
        <v>0</v>
      </c>
      <c r="CO341" s="55">
        <f t="shared" ref="CO341:CR341" si="1543">SUM(CO337:CO340)</f>
        <v>0</v>
      </c>
      <c r="CP341" s="55">
        <f t="shared" si="1543"/>
        <v>0</v>
      </c>
      <c r="CQ341" s="55">
        <f t="shared" si="1543"/>
        <v>0</v>
      </c>
      <c r="CR341" s="55">
        <f t="shared" si="1543"/>
        <v>0</v>
      </c>
    </row>
    <row r="342" spans="1:96" x14ac:dyDescent="0.3">
      <c r="B342" s="56">
        <f>B341-B61</f>
        <v>0</v>
      </c>
      <c r="C342" s="56">
        <f t="shared" ref="C342:F342" si="1544">C341-C61</f>
        <v>0</v>
      </c>
      <c r="D342" s="56">
        <f t="shared" si="1544"/>
        <v>0</v>
      </c>
      <c r="E342" s="56">
        <f t="shared" si="1544"/>
        <v>0</v>
      </c>
      <c r="F342" s="56">
        <f t="shared" si="1544"/>
        <v>0</v>
      </c>
      <c r="G342" s="56">
        <f>G341-G61</f>
        <v>0</v>
      </c>
      <c r="H342" s="56">
        <f t="shared" ref="H342:K342" si="1545">H341-H61</f>
        <v>0</v>
      </c>
      <c r="I342" s="56">
        <f t="shared" si="1545"/>
        <v>0</v>
      </c>
      <c r="J342" s="56">
        <f t="shared" si="1545"/>
        <v>0</v>
      </c>
      <c r="K342" s="56">
        <f t="shared" si="1545"/>
        <v>0</v>
      </c>
      <c r="L342" s="56">
        <f>L341-L61</f>
        <v>0</v>
      </c>
      <c r="M342" s="56">
        <f t="shared" ref="M342:P342" si="1546">M341-M61</f>
        <v>0</v>
      </c>
      <c r="N342" s="56">
        <f t="shared" si="1546"/>
        <v>0</v>
      </c>
      <c r="O342" s="56">
        <f t="shared" si="1546"/>
        <v>0</v>
      </c>
      <c r="P342" s="56">
        <f t="shared" si="1546"/>
        <v>0</v>
      </c>
      <c r="Q342" s="56">
        <f>Q341-Q61</f>
        <v>0</v>
      </c>
      <c r="R342" s="56" t="e">
        <f t="shared" ref="R342:U342" si="1547">R341-R61</f>
        <v>#DIV/0!</v>
      </c>
      <c r="S342" s="56">
        <f t="shared" si="1547"/>
        <v>0</v>
      </c>
      <c r="T342" s="56">
        <f t="shared" si="1547"/>
        <v>0</v>
      </c>
      <c r="U342" s="56" t="e">
        <f t="shared" si="1547"/>
        <v>#DIV/0!</v>
      </c>
      <c r="V342" s="56">
        <f>V341-V61</f>
        <v>0</v>
      </c>
      <c r="W342" s="56">
        <f t="shared" ref="W342:Z342" si="1548">W341-W61</f>
        <v>0</v>
      </c>
      <c r="X342" s="56">
        <f t="shared" si="1548"/>
        <v>0</v>
      </c>
      <c r="Y342" s="56">
        <f t="shared" si="1548"/>
        <v>0</v>
      </c>
      <c r="Z342" s="56">
        <f t="shared" si="1548"/>
        <v>0</v>
      </c>
      <c r="AA342" s="56">
        <f>AA341-AA61</f>
        <v>0</v>
      </c>
      <c r="AB342" s="56">
        <f t="shared" ref="AB342:AE342" si="1549">AB341-AB61</f>
        <v>0</v>
      </c>
      <c r="AC342" s="56">
        <f t="shared" si="1549"/>
        <v>0</v>
      </c>
      <c r="AD342" s="56">
        <f t="shared" si="1549"/>
        <v>0</v>
      </c>
      <c r="AE342" s="56">
        <f t="shared" si="1549"/>
        <v>0</v>
      </c>
      <c r="AF342" s="56">
        <f>AF341-AF61</f>
        <v>0</v>
      </c>
      <c r="AG342" s="56">
        <f t="shared" ref="AG342:AJ342" si="1550">AG341-AG61</f>
        <v>0</v>
      </c>
      <c r="AH342" s="56">
        <f t="shared" si="1550"/>
        <v>0</v>
      </c>
      <c r="AI342" s="56">
        <f t="shared" si="1550"/>
        <v>0</v>
      </c>
      <c r="AJ342" s="56">
        <f t="shared" si="1550"/>
        <v>0</v>
      </c>
      <c r="AK342" s="56">
        <f>AK341-AK61</f>
        <v>0</v>
      </c>
      <c r="AL342" s="56">
        <f t="shared" ref="AL342:AO342" si="1551">AL341-AL61</f>
        <v>0</v>
      </c>
      <c r="AM342" s="56">
        <f t="shared" si="1551"/>
        <v>0</v>
      </c>
      <c r="AN342" s="56">
        <f t="shared" si="1551"/>
        <v>0</v>
      </c>
      <c r="AO342" s="56">
        <f t="shared" si="1551"/>
        <v>0</v>
      </c>
      <c r="AP342" s="56">
        <f>AP341-AP61</f>
        <v>0</v>
      </c>
      <c r="AQ342" s="56">
        <f t="shared" ref="AQ342:AT342" si="1552">AQ341-AQ61</f>
        <v>0</v>
      </c>
      <c r="AR342" s="56">
        <f t="shared" si="1552"/>
        <v>0</v>
      </c>
      <c r="AS342" s="56">
        <f t="shared" si="1552"/>
        <v>0</v>
      </c>
      <c r="AT342" s="56">
        <f t="shared" si="1552"/>
        <v>0</v>
      </c>
      <c r="AU342" s="56">
        <f>AU341-AU61</f>
        <v>0</v>
      </c>
      <c r="AV342" s="56">
        <f t="shared" ref="AV342:AY342" si="1553">AV341-AV61</f>
        <v>0</v>
      </c>
      <c r="AW342" s="56">
        <f t="shared" si="1553"/>
        <v>0</v>
      </c>
      <c r="AX342" s="56">
        <f t="shared" si="1553"/>
        <v>0</v>
      </c>
      <c r="AY342" s="56">
        <f t="shared" si="1553"/>
        <v>0</v>
      </c>
      <c r="AZ342" s="56">
        <f>AZ341-AZ61</f>
        <v>0</v>
      </c>
      <c r="BA342" s="56">
        <f t="shared" ref="BA342:BD342" si="1554">BA341-BA61</f>
        <v>0</v>
      </c>
      <c r="BB342" s="56">
        <f t="shared" si="1554"/>
        <v>0</v>
      </c>
      <c r="BC342" s="56">
        <f t="shared" si="1554"/>
        <v>0</v>
      </c>
      <c r="BD342" s="56">
        <f t="shared" si="1554"/>
        <v>0</v>
      </c>
      <c r="BE342" s="56">
        <f>BE341-BE61</f>
        <v>0</v>
      </c>
      <c r="BF342" s="56">
        <f t="shared" ref="BF342:BI342" si="1555">BF341-BF61</f>
        <v>0</v>
      </c>
      <c r="BG342" s="56">
        <f t="shared" si="1555"/>
        <v>0</v>
      </c>
      <c r="BH342" s="56">
        <f t="shared" si="1555"/>
        <v>0</v>
      </c>
      <c r="BI342" s="56">
        <f t="shared" si="1555"/>
        <v>0</v>
      </c>
      <c r="BJ342" s="56">
        <f>BJ341-BJ61</f>
        <v>0</v>
      </c>
      <c r="BK342" s="56">
        <f t="shared" ref="BK342:BN342" si="1556">BK341-BK61</f>
        <v>0</v>
      </c>
      <c r="BL342" s="56">
        <f t="shared" si="1556"/>
        <v>0</v>
      </c>
      <c r="BM342" s="56">
        <f t="shared" si="1556"/>
        <v>0</v>
      </c>
      <c r="BN342" s="56">
        <f t="shared" si="1556"/>
        <v>0</v>
      </c>
      <c r="BO342" s="56">
        <f>BO341-BO61</f>
        <v>0</v>
      </c>
      <c r="BP342" s="56">
        <f t="shared" ref="BP342:BS342" si="1557">BP341-BP61</f>
        <v>0</v>
      </c>
      <c r="BQ342" s="56">
        <f t="shared" si="1557"/>
        <v>0</v>
      </c>
      <c r="BR342" s="56">
        <f t="shared" si="1557"/>
        <v>0</v>
      </c>
      <c r="BS342" s="56">
        <f t="shared" si="1557"/>
        <v>0</v>
      </c>
      <c r="BT342" s="56">
        <f>BT341-BT61</f>
        <v>0</v>
      </c>
      <c r="BU342" s="56">
        <f t="shared" ref="BU342:BX342" si="1558">BU341-BU61</f>
        <v>0</v>
      </c>
      <c r="BV342" s="56">
        <f t="shared" si="1558"/>
        <v>0</v>
      </c>
      <c r="BW342" s="56">
        <f t="shared" si="1558"/>
        <v>0</v>
      </c>
      <c r="BX342" s="56">
        <f t="shared" si="1558"/>
        <v>0</v>
      </c>
      <c r="BY342" s="56">
        <f>BY341-BY61</f>
        <v>0</v>
      </c>
      <c r="BZ342" s="56">
        <f t="shared" ref="BZ342:CC342" si="1559">BZ341-BZ61</f>
        <v>0</v>
      </c>
      <c r="CA342" s="56">
        <f t="shared" si="1559"/>
        <v>0</v>
      </c>
      <c r="CB342" s="56">
        <f t="shared" si="1559"/>
        <v>0</v>
      </c>
      <c r="CC342" s="56">
        <f t="shared" si="1559"/>
        <v>0</v>
      </c>
      <c r="CD342" s="56">
        <f>CD341-CD61</f>
        <v>0</v>
      </c>
      <c r="CE342" s="56">
        <f t="shared" ref="CE342:CH342" si="1560">CE341-CE61</f>
        <v>0</v>
      </c>
      <c r="CF342" s="56">
        <f t="shared" si="1560"/>
        <v>0</v>
      </c>
      <c r="CG342" s="56">
        <f t="shared" si="1560"/>
        <v>0</v>
      </c>
      <c r="CH342" s="56">
        <f t="shared" si="1560"/>
        <v>0</v>
      </c>
      <c r="CI342" s="56">
        <f>CI341-CI61</f>
        <v>0</v>
      </c>
      <c r="CJ342" s="56">
        <f t="shared" ref="CJ342:CM342" si="1561">CJ341-CJ61</f>
        <v>0</v>
      </c>
      <c r="CK342" s="56">
        <f t="shared" si="1561"/>
        <v>0</v>
      </c>
      <c r="CL342" s="56">
        <f t="shared" si="1561"/>
        <v>0</v>
      </c>
      <c r="CM342" s="56">
        <f t="shared" si="1561"/>
        <v>0</v>
      </c>
      <c r="CN342" s="56">
        <f>CN341-CN61</f>
        <v>0</v>
      </c>
      <c r="CO342" s="56">
        <f t="shared" ref="CO342:CR342" si="1562">CO341-CO61</f>
        <v>0</v>
      </c>
      <c r="CP342" s="56">
        <f t="shared" si="1562"/>
        <v>0</v>
      </c>
      <c r="CQ342" s="56">
        <f t="shared" si="1562"/>
        <v>0</v>
      </c>
      <c r="CR342" s="56">
        <f t="shared" si="1562"/>
        <v>0</v>
      </c>
    </row>
    <row r="343" spans="1:96" s="31" customFormat="1" ht="15" x14ac:dyDescent="0.4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30"/>
      <c r="BD343" s="30"/>
      <c r="BE343" s="30"/>
      <c r="BF343" s="30"/>
      <c r="BG343" s="30"/>
      <c r="BH343" s="30"/>
      <c r="BI343" s="30"/>
      <c r="BJ343" s="30"/>
      <c r="BK343" s="30"/>
      <c r="BL343" s="30"/>
      <c r="BM343" s="30"/>
      <c r="BN343" s="30"/>
      <c r="BO343" s="30"/>
      <c r="BP343" s="30"/>
      <c r="BQ343" s="30"/>
      <c r="BR343" s="30"/>
      <c r="BS343" s="30"/>
      <c r="BT343" s="30"/>
      <c r="BU343" s="30"/>
      <c r="BV343" s="30"/>
      <c r="BW343" s="30"/>
      <c r="BX343" s="30"/>
      <c r="BY343" s="30"/>
      <c r="BZ343" s="30"/>
      <c r="CA343" s="30"/>
      <c r="CB343" s="30"/>
      <c r="CC343" s="30"/>
      <c r="CD343" s="30"/>
      <c r="CE343" s="30"/>
      <c r="CF343" s="30"/>
      <c r="CG343" s="30"/>
      <c r="CH343" s="30"/>
      <c r="CI343" s="30"/>
      <c r="CJ343" s="30"/>
      <c r="CK343" s="30"/>
      <c r="CL343" s="30"/>
      <c r="CM343" s="30"/>
      <c r="CN343" s="30"/>
      <c r="CO343" s="30"/>
      <c r="CP343" s="30"/>
      <c r="CQ343" s="30"/>
      <c r="CR343" s="30"/>
    </row>
    <row r="344" spans="1:96" s="31" customFormat="1" ht="15" x14ac:dyDescent="0.4">
      <c r="A344" s="32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  <c r="AT344" s="33"/>
      <c r="AU344" s="33"/>
      <c r="AV344" s="33"/>
      <c r="AW344" s="33"/>
      <c r="AX344" s="33"/>
      <c r="AY344" s="33"/>
      <c r="AZ344" s="33"/>
      <c r="BA344" s="33"/>
      <c r="BB344" s="33"/>
      <c r="BC344" s="33"/>
      <c r="BD344" s="33"/>
      <c r="BE344" s="33"/>
      <c r="BF344" s="33"/>
      <c r="BG344" s="33"/>
      <c r="BH344" s="33"/>
      <c r="BI344" s="33"/>
      <c r="BJ344" s="33"/>
      <c r="BK344" s="33"/>
      <c r="BL344" s="33"/>
      <c r="BM344" s="33"/>
      <c r="BN344" s="33"/>
      <c r="BO344" s="33"/>
      <c r="BP344" s="33"/>
      <c r="BQ344" s="33"/>
      <c r="BR344" s="33"/>
      <c r="BS344" s="33"/>
      <c r="BT344" s="33"/>
      <c r="BU344" s="33"/>
      <c r="BV344" s="33"/>
      <c r="BW344" s="33"/>
      <c r="BX344" s="33"/>
      <c r="BY344" s="33"/>
      <c r="BZ344" s="33"/>
      <c r="CA344" s="33"/>
      <c r="CB344" s="33"/>
      <c r="CC344" s="33"/>
      <c r="CD344" s="33"/>
      <c r="CE344" s="33"/>
      <c r="CF344" s="33"/>
      <c r="CG344" s="33"/>
      <c r="CH344" s="33"/>
      <c r="CI344" s="33"/>
      <c r="CJ344" s="33"/>
      <c r="CK344" s="33"/>
      <c r="CL344" s="33"/>
      <c r="CM344" s="33"/>
      <c r="CN344" s="33"/>
      <c r="CO344" s="33"/>
      <c r="CP344" s="33"/>
      <c r="CQ344" s="33"/>
      <c r="CR344" s="33"/>
    </row>
    <row r="345" spans="1:96" ht="20" x14ac:dyDescent="0.4">
      <c r="A345" s="1" t="s">
        <v>111</v>
      </c>
    </row>
    <row r="346" spans="1:96" ht="20.5" thickBot="1" x14ac:dyDescent="0.45">
      <c r="A346" s="1" t="str">
        <f>A334</f>
        <v>Kabupaten/Kota :</v>
      </c>
      <c r="B346" s="35" t="str">
        <f>B334</f>
        <v>Kepuluauan Tanimbar</v>
      </c>
      <c r="L346" s="35"/>
      <c r="V346" s="35"/>
      <c r="AF346" s="35"/>
      <c r="AP346" s="35"/>
      <c r="AZ346" s="35"/>
      <c r="BJ346" s="35"/>
      <c r="BT346" s="35"/>
    </row>
    <row r="347" spans="1:96" s="9" customFormat="1" ht="24" customHeight="1" thickBot="1" x14ac:dyDescent="0.35">
      <c r="A347" s="5" t="s">
        <v>2</v>
      </c>
      <c r="B347" s="6" t="s">
        <v>3</v>
      </c>
      <c r="C347" s="6" t="s">
        <v>4</v>
      </c>
      <c r="D347" s="6" t="s">
        <v>5</v>
      </c>
      <c r="E347" s="6" t="s">
        <v>6</v>
      </c>
      <c r="F347" s="6">
        <v>2008</v>
      </c>
      <c r="G347" s="7" t="s">
        <v>7</v>
      </c>
      <c r="H347" s="7" t="s">
        <v>8</v>
      </c>
      <c r="I347" s="7" t="s">
        <v>9</v>
      </c>
      <c r="J347" s="7" t="s">
        <v>10</v>
      </c>
      <c r="K347" s="7">
        <v>2009</v>
      </c>
      <c r="L347" s="6" t="s">
        <v>11</v>
      </c>
      <c r="M347" s="6" t="s">
        <v>12</v>
      </c>
      <c r="N347" s="6" t="s">
        <v>13</v>
      </c>
      <c r="O347" s="6" t="s">
        <v>14</v>
      </c>
      <c r="P347" s="6">
        <v>2010</v>
      </c>
      <c r="Q347" s="7" t="s">
        <v>15</v>
      </c>
      <c r="R347" s="7" t="s">
        <v>16</v>
      </c>
      <c r="S347" s="7" t="s">
        <v>17</v>
      </c>
      <c r="T347" s="7" t="s">
        <v>18</v>
      </c>
      <c r="U347" s="7">
        <v>2011</v>
      </c>
      <c r="V347" s="6" t="s">
        <v>19</v>
      </c>
      <c r="W347" s="6" t="s">
        <v>20</v>
      </c>
      <c r="X347" s="6" t="s">
        <v>21</v>
      </c>
      <c r="Y347" s="6" t="s">
        <v>22</v>
      </c>
      <c r="Z347" s="6">
        <v>2012</v>
      </c>
      <c r="AA347" s="7" t="s">
        <v>23</v>
      </c>
      <c r="AB347" s="7" t="s">
        <v>24</v>
      </c>
      <c r="AC347" s="7" t="s">
        <v>25</v>
      </c>
      <c r="AD347" s="7" t="s">
        <v>26</v>
      </c>
      <c r="AE347" s="7">
        <v>2013</v>
      </c>
      <c r="AF347" s="6" t="s">
        <v>27</v>
      </c>
      <c r="AG347" s="6" t="s">
        <v>28</v>
      </c>
      <c r="AH347" s="6" t="s">
        <v>29</v>
      </c>
      <c r="AI347" s="6" t="s">
        <v>30</v>
      </c>
      <c r="AJ347" s="6">
        <v>2014</v>
      </c>
      <c r="AK347" s="7" t="s">
        <v>31</v>
      </c>
      <c r="AL347" s="7" t="s">
        <v>32</v>
      </c>
      <c r="AM347" s="7" t="s">
        <v>33</v>
      </c>
      <c r="AN347" s="7" t="s">
        <v>34</v>
      </c>
      <c r="AO347" s="7">
        <v>2015</v>
      </c>
      <c r="AP347" s="6" t="s">
        <v>35</v>
      </c>
      <c r="AQ347" s="6" t="s">
        <v>36</v>
      </c>
      <c r="AR347" s="6" t="s">
        <v>37</v>
      </c>
      <c r="AS347" s="6" t="s">
        <v>38</v>
      </c>
      <c r="AT347" s="6">
        <v>2016</v>
      </c>
      <c r="AU347" s="7" t="s">
        <v>39</v>
      </c>
      <c r="AV347" s="7" t="s">
        <v>40</v>
      </c>
      <c r="AW347" s="7" t="s">
        <v>41</v>
      </c>
      <c r="AX347" s="7" t="s">
        <v>42</v>
      </c>
      <c r="AY347" s="7">
        <v>2017</v>
      </c>
      <c r="AZ347" s="6" t="s">
        <v>43</v>
      </c>
      <c r="BA347" s="6" t="s">
        <v>44</v>
      </c>
      <c r="BB347" s="6" t="s">
        <v>45</v>
      </c>
      <c r="BC347" s="6" t="s">
        <v>46</v>
      </c>
      <c r="BD347" s="6">
        <v>2018</v>
      </c>
      <c r="BE347" s="7" t="s">
        <v>47</v>
      </c>
      <c r="BF347" s="7" t="s">
        <v>48</v>
      </c>
      <c r="BG347" s="7" t="s">
        <v>49</v>
      </c>
      <c r="BH347" s="7" t="s">
        <v>50</v>
      </c>
      <c r="BI347" s="7">
        <v>2019</v>
      </c>
      <c r="BJ347" s="6" t="s">
        <v>51</v>
      </c>
      <c r="BK347" s="6" t="s">
        <v>52</v>
      </c>
      <c r="BL347" s="6" t="s">
        <v>53</v>
      </c>
      <c r="BM347" s="6" t="s">
        <v>54</v>
      </c>
      <c r="BN347" s="6">
        <v>2020</v>
      </c>
      <c r="BO347" s="7" t="s">
        <v>55</v>
      </c>
      <c r="BP347" s="7" t="s">
        <v>56</v>
      </c>
      <c r="BQ347" s="7" t="s">
        <v>57</v>
      </c>
      <c r="BR347" s="7" t="s">
        <v>58</v>
      </c>
      <c r="BS347" s="7">
        <v>2021</v>
      </c>
      <c r="BT347" s="6" t="s">
        <v>59</v>
      </c>
      <c r="BU347" s="6" t="s">
        <v>60</v>
      </c>
      <c r="BV347" s="6" t="s">
        <v>61</v>
      </c>
      <c r="BW347" s="6" t="s">
        <v>62</v>
      </c>
      <c r="BX347" s="6">
        <v>2022</v>
      </c>
      <c r="BY347" s="7" t="s">
        <v>63</v>
      </c>
      <c r="BZ347" s="7" t="s">
        <v>64</v>
      </c>
      <c r="CA347" s="7" t="s">
        <v>65</v>
      </c>
      <c r="CB347" s="7" t="s">
        <v>66</v>
      </c>
      <c r="CC347" s="7">
        <v>2023</v>
      </c>
      <c r="CD347" s="8" t="s">
        <v>67</v>
      </c>
      <c r="CE347" s="8" t="s">
        <v>68</v>
      </c>
      <c r="CF347" s="8" t="s">
        <v>69</v>
      </c>
      <c r="CG347" s="8" t="s">
        <v>70</v>
      </c>
      <c r="CH347" s="8">
        <v>2024</v>
      </c>
      <c r="CI347" s="7" t="s">
        <v>71</v>
      </c>
      <c r="CJ347" s="7" t="s">
        <v>72</v>
      </c>
      <c r="CK347" s="7" t="s">
        <v>73</v>
      </c>
      <c r="CL347" s="7" t="s">
        <v>74</v>
      </c>
      <c r="CM347" s="7">
        <v>2025</v>
      </c>
      <c r="CN347" s="8" t="s">
        <v>75</v>
      </c>
      <c r="CO347" s="8" t="s">
        <v>76</v>
      </c>
      <c r="CP347" s="8" t="s">
        <v>77</v>
      </c>
      <c r="CQ347" s="8" t="s">
        <v>78</v>
      </c>
      <c r="CR347" s="8">
        <v>2026</v>
      </c>
    </row>
    <row r="348" spans="1:96" s="9" customFormat="1" ht="13.5" thickBot="1" x14ac:dyDescent="0.35">
      <c r="A348" s="10">
        <v>-1</v>
      </c>
      <c r="B348" s="11">
        <f>A348-1</f>
        <v>-2</v>
      </c>
      <c r="C348" s="11">
        <f>B348-1</f>
        <v>-3</v>
      </c>
      <c r="D348" s="11">
        <f t="shared" ref="D348:BO348" si="1563">C348-1</f>
        <v>-4</v>
      </c>
      <c r="E348" s="11">
        <f t="shared" si="1563"/>
        <v>-5</v>
      </c>
      <c r="F348" s="11">
        <f t="shared" si="1563"/>
        <v>-6</v>
      </c>
      <c r="G348" s="11">
        <f t="shared" si="1563"/>
        <v>-7</v>
      </c>
      <c r="H348" s="11">
        <f t="shared" si="1563"/>
        <v>-8</v>
      </c>
      <c r="I348" s="11">
        <f t="shared" si="1563"/>
        <v>-9</v>
      </c>
      <c r="J348" s="11">
        <f t="shared" si="1563"/>
        <v>-10</v>
      </c>
      <c r="K348" s="11">
        <f t="shared" si="1563"/>
        <v>-11</v>
      </c>
      <c r="L348" s="11">
        <f t="shared" si="1563"/>
        <v>-12</v>
      </c>
      <c r="M348" s="11">
        <f t="shared" si="1563"/>
        <v>-13</v>
      </c>
      <c r="N348" s="11">
        <f t="shared" si="1563"/>
        <v>-14</v>
      </c>
      <c r="O348" s="11">
        <f t="shared" si="1563"/>
        <v>-15</v>
      </c>
      <c r="P348" s="11">
        <f t="shared" si="1563"/>
        <v>-16</v>
      </c>
      <c r="Q348" s="11">
        <f t="shared" si="1563"/>
        <v>-17</v>
      </c>
      <c r="R348" s="11">
        <f t="shared" si="1563"/>
        <v>-18</v>
      </c>
      <c r="S348" s="11">
        <f t="shared" si="1563"/>
        <v>-19</v>
      </c>
      <c r="T348" s="11">
        <f t="shared" si="1563"/>
        <v>-20</v>
      </c>
      <c r="U348" s="11">
        <f t="shared" si="1563"/>
        <v>-21</v>
      </c>
      <c r="V348" s="11">
        <f t="shared" si="1563"/>
        <v>-22</v>
      </c>
      <c r="W348" s="11">
        <f t="shared" si="1563"/>
        <v>-23</v>
      </c>
      <c r="X348" s="11">
        <f t="shared" si="1563"/>
        <v>-24</v>
      </c>
      <c r="Y348" s="11">
        <f t="shared" si="1563"/>
        <v>-25</v>
      </c>
      <c r="Z348" s="11">
        <f t="shared" si="1563"/>
        <v>-26</v>
      </c>
      <c r="AA348" s="11">
        <f t="shared" si="1563"/>
        <v>-27</v>
      </c>
      <c r="AB348" s="11">
        <f t="shared" si="1563"/>
        <v>-28</v>
      </c>
      <c r="AC348" s="11">
        <f t="shared" si="1563"/>
        <v>-29</v>
      </c>
      <c r="AD348" s="11">
        <f t="shared" si="1563"/>
        <v>-30</v>
      </c>
      <c r="AE348" s="11">
        <f t="shared" si="1563"/>
        <v>-31</v>
      </c>
      <c r="AF348" s="11">
        <f t="shared" si="1563"/>
        <v>-32</v>
      </c>
      <c r="AG348" s="11">
        <f t="shared" si="1563"/>
        <v>-33</v>
      </c>
      <c r="AH348" s="11">
        <f t="shared" si="1563"/>
        <v>-34</v>
      </c>
      <c r="AI348" s="11">
        <f t="shared" si="1563"/>
        <v>-35</v>
      </c>
      <c r="AJ348" s="11">
        <f t="shared" si="1563"/>
        <v>-36</v>
      </c>
      <c r="AK348" s="11">
        <f t="shared" si="1563"/>
        <v>-37</v>
      </c>
      <c r="AL348" s="11">
        <f t="shared" si="1563"/>
        <v>-38</v>
      </c>
      <c r="AM348" s="11">
        <f t="shared" si="1563"/>
        <v>-39</v>
      </c>
      <c r="AN348" s="11">
        <f t="shared" si="1563"/>
        <v>-40</v>
      </c>
      <c r="AO348" s="11">
        <f t="shared" si="1563"/>
        <v>-41</v>
      </c>
      <c r="AP348" s="11">
        <f t="shared" si="1563"/>
        <v>-42</v>
      </c>
      <c r="AQ348" s="11">
        <f t="shared" si="1563"/>
        <v>-43</v>
      </c>
      <c r="AR348" s="11">
        <f t="shared" si="1563"/>
        <v>-44</v>
      </c>
      <c r="AS348" s="11">
        <f t="shared" si="1563"/>
        <v>-45</v>
      </c>
      <c r="AT348" s="11">
        <f t="shared" si="1563"/>
        <v>-46</v>
      </c>
      <c r="AU348" s="11">
        <f t="shared" si="1563"/>
        <v>-47</v>
      </c>
      <c r="AV348" s="11">
        <f t="shared" si="1563"/>
        <v>-48</v>
      </c>
      <c r="AW348" s="11">
        <f t="shared" si="1563"/>
        <v>-49</v>
      </c>
      <c r="AX348" s="11">
        <f t="shared" si="1563"/>
        <v>-50</v>
      </c>
      <c r="AY348" s="11">
        <f t="shared" si="1563"/>
        <v>-51</v>
      </c>
      <c r="AZ348" s="11">
        <f t="shared" si="1563"/>
        <v>-52</v>
      </c>
      <c r="BA348" s="11">
        <f t="shared" si="1563"/>
        <v>-53</v>
      </c>
      <c r="BB348" s="11">
        <f t="shared" si="1563"/>
        <v>-54</v>
      </c>
      <c r="BC348" s="11">
        <f t="shared" si="1563"/>
        <v>-55</v>
      </c>
      <c r="BD348" s="11">
        <f t="shared" si="1563"/>
        <v>-56</v>
      </c>
      <c r="BE348" s="11">
        <f t="shared" si="1563"/>
        <v>-57</v>
      </c>
      <c r="BF348" s="11">
        <f t="shared" si="1563"/>
        <v>-58</v>
      </c>
      <c r="BG348" s="11">
        <f t="shared" si="1563"/>
        <v>-59</v>
      </c>
      <c r="BH348" s="11">
        <f t="shared" si="1563"/>
        <v>-60</v>
      </c>
      <c r="BI348" s="11">
        <f t="shared" si="1563"/>
        <v>-61</v>
      </c>
      <c r="BJ348" s="11">
        <f t="shared" si="1563"/>
        <v>-62</v>
      </c>
      <c r="BK348" s="11">
        <f t="shared" si="1563"/>
        <v>-63</v>
      </c>
      <c r="BL348" s="11">
        <f t="shared" si="1563"/>
        <v>-64</v>
      </c>
      <c r="BM348" s="11">
        <f t="shared" si="1563"/>
        <v>-65</v>
      </c>
      <c r="BN348" s="11">
        <f t="shared" si="1563"/>
        <v>-66</v>
      </c>
      <c r="BO348" s="11">
        <f t="shared" si="1563"/>
        <v>-67</v>
      </c>
      <c r="BP348" s="11">
        <f t="shared" ref="BP348:CR348" si="1564">BO348-1</f>
        <v>-68</v>
      </c>
      <c r="BQ348" s="11">
        <f t="shared" si="1564"/>
        <v>-69</v>
      </c>
      <c r="BR348" s="11">
        <f t="shared" si="1564"/>
        <v>-70</v>
      </c>
      <c r="BS348" s="11">
        <f t="shared" si="1564"/>
        <v>-71</v>
      </c>
      <c r="BT348" s="11">
        <f t="shared" si="1564"/>
        <v>-72</v>
      </c>
      <c r="BU348" s="11">
        <f t="shared" si="1564"/>
        <v>-73</v>
      </c>
      <c r="BV348" s="11">
        <f t="shared" si="1564"/>
        <v>-74</v>
      </c>
      <c r="BW348" s="11">
        <f t="shared" si="1564"/>
        <v>-75</v>
      </c>
      <c r="BX348" s="11">
        <f t="shared" si="1564"/>
        <v>-76</v>
      </c>
      <c r="BY348" s="11">
        <f t="shared" si="1564"/>
        <v>-77</v>
      </c>
      <c r="BZ348" s="11">
        <f t="shared" si="1564"/>
        <v>-78</v>
      </c>
      <c r="CA348" s="11">
        <f t="shared" si="1564"/>
        <v>-79</v>
      </c>
      <c r="CB348" s="11">
        <f t="shared" si="1564"/>
        <v>-80</v>
      </c>
      <c r="CC348" s="11">
        <f t="shared" si="1564"/>
        <v>-81</v>
      </c>
      <c r="CD348" s="11">
        <f t="shared" si="1564"/>
        <v>-82</v>
      </c>
      <c r="CE348" s="11">
        <f t="shared" si="1564"/>
        <v>-83</v>
      </c>
      <c r="CF348" s="11">
        <f t="shared" si="1564"/>
        <v>-84</v>
      </c>
      <c r="CG348" s="11">
        <f t="shared" si="1564"/>
        <v>-85</v>
      </c>
      <c r="CH348" s="11">
        <f t="shared" si="1564"/>
        <v>-86</v>
      </c>
      <c r="CI348" s="11">
        <f t="shared" si="1564"/>
        <v>-87</v>
      </c>
      <c r="CJ348" s="11">
        <f t="shared" si="1564"/>
        <v>-88</v>
      </c>
      <c r="CK348" s="11">
        <f t="shared" si="1564"/>
        <v>-89</v>
      </c>
      <c r="CL348" s="11">
        <f t="shared" si="1564"/>
        <v>-90</v>
      </c>
      <c r="CM348" s="11">
        <f t="shared" si="1564"/>
        <v>-91</v>
      </c>
      <c r="CN348" s="11">
        <f t="shared" si="1564"/>
        <v>-92</v>
      </c>
      <c r="CO348" s="11">
        <f t="shared" si="1564"/>
        <v>-93</v>
      </c>
      <c r="CP348" s="11">
        <f t="shared" si="1564"/>
        <v>-94</v>
      </c>
      <c r="CQ348" s="11">
        <f t="shared" si="1564"/>
        <v>-95</v>
      </c>
      <c r="CR348" s="11">
        <f t="shared" si="1564"/>
        <v>-96</v>
      </c>
    </row>
    <row r="349" spans="1:96" s="54" customFormat="1" ht="17.5" customHeight="1" thickTop="1" x14ac:dyDescent="0.4">
      <c r="A349" s="52" t="s">
        <v>106</v>
      </c>
      <c r="B349" s="38"/>
      <c r="C349" s="57">
        <f>IFERROR(C337/B337*100-100,"")</f>
        <v>1.2985822063817949</v>
      </c>
      <c r="D349" s="57">
        <f t="shared" ref="D349:E349" si="1565">IFERROR(D337/C337*100-100,"")</f>
        <v>3.5652795469357272</v>
      </c>
      <c r="E349" s="57">
        <f t="shared" si="1565"/>
        <v>3.7214685546263127</v>
      </c>
      <c r="F349" s="38"/>
      <c r="G349" s="57">
        <f>IFERROR(G337/E337*100-100,"")</f>
        <v>-3.0871749483117839</v>
      </c>
      <c r="H349" s="57">
        <f>IFERROR(H337/G337*100-100,"")</f>
        <v>2.3509905879516992</v>
      </c>
      <c r="I349" s="57">
        <f t="shared" ref="I349:J349" si="1566">IFERROR(I337/H337*100-100,"")</f>
        <v>4.9110589524128585</v>
      </c>
      <c r="J349" s="57">
        <f t="shared" si="1566"/>
        <v>4.3961596749628029</v>
      </c>
      <c r="K349" s="57">
        <f>IFERROR(K337/F337*100-100,"")</f>
        <v>7.183773263313185</v>
      </c>
      <c r="L349" s="57">
        <f>IFERROR(L337/J337*100-100,"")</f>
        <v>-4.4546202006769704</v>
      </c>
      <c r="M349" s="57">
        <f>IFERROR(M337/L337*100-100,"")</f>
        <v>1.7346281029990251</v>
      </c>
      <c r="N349" s="57">
        <f t="shared" ref="N349:O349" si="1567">IFERROR(N337/M337*100-100,"")</f>
        <v>4.7079507069724968</v>
      </c>
      <c r="O349" s="57">
        <f t="shared" si="1567"/>
        <v>5.2157277270608944</v>
      </c>
      <c r="P349" s="57">
        <f>IFERROR(P337/K337*100-100,"")</f>
        <v>6.7268040248117416</v>
      </c>
      <c r="Q349" s="57">
        <f>IFERROR(Q337/O337*100-100,"")</f>
        <v>-7.6625924877886575</v>
      </c>
      <c r="R349" s="57" t="str">
        <f>IFERROR(R337/Q337*100-100,"")</f>
        <v/>
      </c>
      <c r="S349" s="57" t="str">
        <f t="shared" ref="S349:T349" si="1568">IFERROR(S337/R337*100-100,"")</f>
        <v/>
      </c>
      <c r="T349" s="57">
        <f t="shared" si="1568"/>
        <v>2.1273911867316002</v>
      </c>
      <c r="U349" s="57" t="str">
        <f>IFERROR(U337/P337*100-100,"")</f>
        <v/>
      </c>
      <c r="V349" s="57">
        <f>IFERROR(V337/T337*100-100,"")</f>
        <v>-7.1238301563722359</v>
      </c>
      <c r="W349" s="57">
        <f>IFERROR(W337/V337*100-100,"")</f>
        <v>4.1069506093619879</v>
      </c>
      <c r="X349" s="57">
        <f t="shared" ref="X349:Y349" si="1569">IFERROR(X337/W337*100-100,"")</f>
        <v>6.1984349447920408</v>
      </c>
      <c r="Y349" s="57">
        <f t="shared" si="1569"/>
        <v>2.5630332716692408</v>
      </c>
      <c r="Z349" s="57" t="str">
        <f>IFERROR(Z337/U337*100-100,"")</f>
        <v/>
      </c>
      <c r="AA349" s="57">
        <f>IFERROR(AA337/Y337*100-100,"")</f>
        <v>-6.7436070742272705</v>
      </c>
      <c r="AB349" s="57">
        <f>IFERROR(AB337/AA337*100-100,"")</f>
        <v>3.4986793615181995</v>
      </c>
      <c r="AC349" s="57">
        <f t="shared" ref="AC349:AD349" si="1570">IFERROR(AC337/AB337*100-100,"")</f>
        <v>5.9939312265232729</v>
      </c>
      <c r="AD349" s="57">
        <f t="shared" si="1570"/>
        <v>4.554034837632031</v>
      </c>
      <c r="AE349" s="57">
        <f>IFERROR(AE337/Z337*100-100,"")</f>
        <v>5.7069610193468066</v>
      </c>
      <c r="AF349" s="57">
        <f>IFERROR(AF337/AD337*100-100,"")</f>
        <v>-6.1419867632076688</v>
      </c>
      <c r="AG349" s="57">
        <f>IFERROR(AG337/AF337*100-100,"")</f>
        <v>3.0722135042155116</v>
      </c>
      <c r="AH349" s="57">
        <f t="shared" ref="AH349:AI349" si="1571">IFERROR(AH337/AG337*100-100,"")</f>
        <v>4.9377734491374099</v>
      </c>
      <c r="AI349" s="57">
        <f t="shared" si="1571"/>
        <v>6.2129213001212804</v>
      </c>
      <c r="AJ349" s="57">
        <f>IFERROR(AJ337/AE337*100-100,"")</f>
        <v>7.2047203260377159</v>
      </c>
      <c r="AK349" s="57">
        <f>IFERROR(AK337/AI337*100-100,"")</f>
        <v>-6.0893273189595334</v>
      </c>
      <c r="AL349" s="57">
        <f>IFERROR(AL337/AK337*100-100,"")</f>
        <v>3.8440438935943462</v>
      </c>
      <c r="AM349" s="57">
        <f t="shared" ref="AM349:AN349" si="1572">IFERROR(AM337/AL337*100-100,"")</f>
        <v>4.4903294170879064</v>
      </c>
      <c r="AN349" s="57">
        <f t="shared" si="1572"/>
        <v>7.1752365605245387</v>
      </c>
      <c r="AO349" s="57">
        <f>IFERROR(AO337/AJ337*100-100,"")</f>
        <v>8.5262313106620127</v>
      </c>
      <c r="AP349" s="57">
        <f>IFERROR(AP337/AN337*100-100,"")</f>
        <v>-6.8009767938479513</v>
      </c>
      <c r="AQ349" s="57">
        <f>IFERROR(AQ337/AP337*100-100,"")</f>
        <v>3.0850083034388263</v>
      </c>
      <c r="AR349" s="57">
        <f t="shared" ref="AR349:AS349" si="1573">IFERROR(AR337/AQ337*100-100,"")</f>
        <v>2.0118911261869101</v>
      </c>
      <c r="AS349" s="57">
        <f t="shared" si="1573"/>
        <v>4.0476054969784485</v>
      </c>
      <c r="AT349" s="57">
        <f>IFERROR(AT337/AO337*100-100,"")</f>
        <v>5.6061800560585908</v>
      </c>
      <c r="AU349" s="57">
        <f>IFERROR(AU337/AS337*100-100,"")</f>
        <v>-4.7998927352249439</v>
      </c>
      <c r="AV349" s="57">
        <f>IFERROR(AV337/AU337*100-100,"")</f>
        <v>3.7467715074385808</v>
      </c>
      <c r="AW349" s="57">
        <f t="shared" ref="AW349:AX349" si="1574">IFERROR(AW337/AV337*100-100,"")</f>
        <v>3.8785998438619913</v>
      </c>
      <c r="AX349" s="57">
        <f t="shared" si="1574"/>
        <v>4.4159048254874591</v>
      </c>
      <c r="AY349" s="57">
        <f>IFERROR(AY337/AT337*100-100,"")</f>
        <v>5.7566844377331421</v>
      </c>
      <c r="AZ349" s="57">
        <f>IFERROR(AZ337/AX337*100-100,"")</f>
        <v>-7.0453074339058617</v>
      </c>
      <c r="BA349" s="57">
        <f>IFERROR(BA337/AZ337*100-100,"")</f>
        <v>4.0322551598130048</v>
      </c>
      <c r="BB349" s="57">
        <f t="shared" ref="BB349:BC349" si="1575">IFERROR(BB337/BA337*100-100,"")</f>
        <v>4.2682127993409154</v>
      </c>
      <c r="BC349" s="57">
        <f t="shared" si="1575"/>
        <v>5.76976307519503</v>
      </c>
      <c r="BD349" s="57">
        <f>IFERROR(BD337/AY337*100-100,"")</f>
        <v>5.3882748793136841</v>
      </c>
      <c r="BE349" s="57">
        <f>IFERROR(BE337/BC337*100-100,"")</f>
        <v>-6.1661839945330854</v>
      </c>
      <c r="BF349" s="57">
        <f>IFERROR(BF337/BE337*100-100,"")</f>
        <v>4.4710635697680061</v>
      </c>
      <c r="BG349" s="57">
        <f t="shared" ref="BG349:BH349" si="1576">IFERROR(BG337/BF337*100-100,"")</f>
        <v>3.8238866931527014</v>
      </c>
      <c r="BH349" s="57">
        <f t="shared" si="1576"/>
        <v>1.1767370650198785</v>
      </c>
      <c r="BI349" s="57">
        <f>IFERROR(BI337/BD337*100-100,"")</f>
        <v>6.5084189826480952</v>
      </c>
      <c r="BJ349" s="57">
        <f>IFERROR(BJ337/BH337*100-100,"")</f>
        <v>-2.7279795120334711</v>
      </c>
      <c r="BK349" s="57">
        <f>IFERROR(BK337/BJ337*100-100,"")</f>
        <v>-1.5096984665544824</v>
      </c>
      <c r="BL349" s="57">
        <f t="shared" ref="BL349:BM349" si="1577">IFERROR(BL337/BK337*100-100,"")</f>
        <v>0.9547523986914257</v>
      </c>
      <c r="BM349" s="57">
        <f t="shared" si="1577"/>
        <v>1.0341317190352868</v>
      </c>
      <c r="BN349" s="57">
        <f>IFERROR(BN337/BI337*100-100,"")</f>
        <v>0.61165760765456412</v>
      </c>
      <c r="BO349" s="57">
        <f>IFERROR(BO337/BM337*100-100,"")</f>
        <v>-1.7168700547522775</v>
      </c>
      <c r="BP349" s="57">
        <f>IFERROR(BP337/BO337*100-100,"")</f>
        <v>0.68451229913053169</v>
      </c>
      <c r="BQ349" s="57">
        <f t="shared" ref="BQ349:BR349" si="1578">IFERROR(BQ337/BP337*100-100,"")</f>
        <v>0.18227239436056664</v>
      </c>
      <c r="BR349" s="57">
        <f t="shared" si="1578"/>
        <v>4.4992439568823528</v>
      </c>
      <c r="BS349" s="57">
        <f>IFERROR(BS337/BN337*100-100,"")</f>
        <v>0.860360307871332</v>
      </c>
      <c r="BT349" s="57">
        <f>IFERROR(BT337/BR337*100-100,"")</f>
        <v>-1.1480302055127254</v>
      </c>
      <c r="BU349" s="57">
        <f>IFERROR(BU337/BT337*100-100,"")</f>
        <v>1.9281509610996466</v>
      </c>
      <c r="BV349" s="57">
        <f t="shared" ref="BV349:BW349" si="1579">IFERROR(BV337/BU337*100-100,"")</f>
        <v>1.0189741375187396</v>
      </c>
      <c r="BW349" s="57">
        <f t="shared" si="1579"/>
        <v>2.1646014905912523</v>
      </c>
      <c r="BX349" s="57">
        <f>IFERROR(BX337/BS337*100-100,"")</f>
        <v>4.9980482121173111</v>
      </c>
      <c r="BY349" s="57">
        <f>IFERROR(BY337/BW337*100-100,"")</f>
        <v>-1.9952214772387151</v>
      </c>
      <c r="BZ349" s="57">
        <f>IFERROR(BZ337/BY337*100-100,"")</f>
        <v>1.4575126604715365</v>
      </c>
      <c r="CA349" s="57">
        <f t="shared" ref="CA349:CB349" si="1580">IFERROR(CA337/BZ337*100-100,"")</f>
        <v>0.64992089035864353</v>
      </c>
      <c r="CB349" s="57">
        <f t="shared" si="1580"/>
        <v>2.6024670069118088</v>
      </c>
      <c r="CC349" s="57">
        <f>IFERROR(CC337/BX337*100-100,"")</f>
        <v>2.6588615452367605</v>
      </c>
      <c r="CD349" s="57">
        <f>IFERROR(CD337/CB337*100-100,"")</f>
        <v>0.60255695472247339</v>
      </c>
      <c r="CE349" s="57">
        <f>IFERROR(CE337/CD337*100-100,"")</f>
        <v>-8.1330853051539975E-2</v>
      </c>
      <c r="CF349" s="57">
        <f t="shared" ref="CF349:CG349" si="1581">IFERROR(CF337/CE337*100-100,"")</f>
        <v>0.27875758259405359</v>
      </c>
      <c r="CG349" s="57">
        <f t="shared" si="1581"/>
        <v>3.812991650662596</v>
      </c>
      <c r="CH349" s="57">
        <f>IFERROR(CH337/CC337*100-100,"")</f>
        <v>4.317707948622612</v>
      </c>
      <c r="CI349" s="57">
        <f>IFERROR(CI337/CG337*100-100,"")</f>
        <v>-0.15521779787454193</v>
      </c>
      <c r="CJ349" s="57">
        <f>IFERROR(CJ337/CI337*100-100,"")</f>
        <v>7.622555444773127E-2</v>
      </c>
      <c r="CK349" s="57">
        <f t="shared" ref="CK349:CL353" si="1582">IFERROR(CK337/CJ337*100-100,"")</f>
        <v>-6.0888373841720522E-2</v>
      </c>
      <c r="CL349" s="57">
        <f t="shared" si="1582"/>
        <v>3.8039658872283155</v>
      </c>
      <c r="CM349" s="57">
        <f>IFERROR(CM337/CH337*100-100,"")</f>
        <v>3.7991482929012648</v>
      </c>
      <c r="CN349" s="57">
        <f>IFERROR(CN337/CL337*100-100,"")</f>
        <v>-100</v>
      </c>
      <c r="CO349" s="57" t="str">
        <f>IFERROR(CO337/CN337*100-100,"")</f>
        <v/>
      </c>
      <c r="CP349" s="57" t="str">
        <f t="shared" ref="CP349:CQ353" si="1583">IFERROR(CP337/CO337*100-100,"")</f>
        <v/>
      </c>
      <c r="CQ349" s="57" t="str">
        <f t="shared" si="1583"/>
        <v/>
      </c>
      <c r="CR349" s="57">
        <f>IFERROR(CR337/CM337*100-100,"")</f>
        <v>-100</v>
      </c>
    </row>
    <row r="350" spans="1:96" s="54" customFormat="1" ht="17.5" customHeight="1" x14ac:dyDescent="0.4">
      <c r="A350" s="52" t="s">
        <v>107</v>
      </c>
      <c r="B350" s="38"/>
      <c r="C350" s="57">
        <f t="shared" ref="C350:E353" si="1584">IFERROR(C338/B338*100-100,"")</f>
        <v>21.003772913820072</v>
      </c>
      <c r="D350" s="57">
        <f t="shared" si="1584"/>
        <v>9.6816420530576437</v>
      </c>
      <c r="E350" s="57">
        <f t="shared" si="1584"/>
        <v>2.7381769694404738</v>
      </c>
      <c r="F350" s="38"/>
      <c r="G350" s="57">
        <f t="shared" ref="G350:G353" si="1585">IFERROR(G338/E338*100-100,"")</f>
        <v>-13.140254666545587</v>
      </c>
      <c r="H350" s="57">
        <f t="shared" ref="H350:J353" si="1586">IFERROR(H338/G338*100-100,"")</f>
        <v>13.331599219203596</v>
      </c>
      <c r="I350" s="57">
        <f t="shared" si="1586"/>
        <v>2.2674438272318014</v>
      </c>
      <c r="J350" s="57">
        <f t="shared" si="1586"/>
        <v>13.831943119588345</v>
      </c>
      <c r="K350" s="57">
        <f t="shared" ref="K350:K353" si="1587">IFERROR(K338/F338*100-100,"")</f>
        <v>11.449225942489875</v>
      </c>
      <c r="L350" s="57">
        <f t="shared" ref="L350:L353" si="1588">IFERROR(L338/J338*100-100,"")</f>
        <v>-21.783790971963825</v>
      </c>
      <c r="M350" s="57">
        <f t="shared" ref="M350:O353" si="1589">IFERROR(M338/L338*100-100,"")</f>
        <v>10.588486318960918</v>
      </c>
      <c r="N350" s="57">
        <f t="shared" si="1589"/>
        <v>4.6063976990641464</v>
      </c>
      <c r="O350" s="57">
        <f t="shared" si="1589"/>
        <v>18.243007781302055</v>
      </c>
      <c r="P350" s="57">
        <f t="shared" ref="P350:P353" si="1590">IFERROR(P338/K338*100-100,"")</f>
        <v>3.6161650535685226</v>
      </c>
      <c r="Q350" s="57">
        <f t="shared" ref="Q350:Q353" si="1591">IFERROR(Q338/O338*100-100,"")</f>
        <v>-23.64531088076842</v>
      </c>
      <c r="R350" s="57" t="str">
        <f t="shared" ref="R350:T353" si="1592">IFERROR(R338/Q338*100-100,"")</f>
        <v/>
      </c>
      <c r="S350" s="57" t="str">
        <f t="shared" si="1592"/>
        <v/>
      </c>
      <c r="T350" s="57">
        <f t="shared" si="1592"/>
        <v>8.6509382883297263</v>
      </c>
      <c r="U350" s="57" t="str">
        <f t="shared" ref="U350:U353" si="1593">IFERROR(U338/P338*100-100,"")</f>
        <v/>
      </c>
      <c r="V350" s="57">
        <f t="shared" ref="V350:V353" si="1594">IFERROR(V338/T338*100-100,"")</f>
        <v>-23.285955491172288</v>
      </c>
      <c r="W350" s="57">
        <f t="shared" ref="W350:Y353" si="1595">IFERROR(W338/V338*100-100,"")</f>
        <v>25.38008580878315</v>
      </c>
      <c r="X350" s="57">
        <f t="shared" si="1595"/>
        <v>3.9915668397673301</v>
      </c>
      <c r="Y350" s="57">
        <f t="shared" si="1595"/>
        <v>6.9933419547525233</v>
      </c>
      <c r="Z350" s="57" t="str">
        <f t="shared" ref="Z350:Z353" si="1596">IFERROR(Z338/U338*100-100,"")</f>
        <v/>
      </c>
      <c r="AA350" s="57">
        <f t="shared" ref="AA350:AA353" si="1597">IFERROR(AA338/Y338*100-100,"")</f>
        <v>-19.020916233924808</v>
      </c>
      <c r="AB350" s="57">
        <f t="shared" ref="AB350:AD353" si="1598">IFERROR(AB338/AA338*100-100,"")</f>
        <v>18.856791345438026</v>
      </c>
      <c r="AC350" s="57">
        <f t="shared" si="1598"/>
        <v>5.3182548698691647</v>
      </c>
      <c r="AD350" s="57">
        <f t="shared" si="1598"/>
        <v>7.1209823114608923</v>
      </c>
      <c r="AE350" s="57">
        <f t="shared" ref="AE350:AE353" si="1599">IFERROR(AE338/Z338*100-100,"")</f>
        <v>9.0583777509097132</v>
      </c>
      <c r="AF350" s="57">
        <f t="shared" ref="AF350:AF353" si="1600">IFERROR(AF338/AD338*100-100,"")</f>
        <v>-20.420013016792126</v>
      </c>
      <c r="AG350" s="57">
        <f t="shared" ref="AG350:AI353" si="1601">IFERROR(AG338/AF338*100-100,"")</f>
        <v>12.817192479413706</v>
      </c>
      <c r="AH350" s="57">
        <f t="shared" si="1601"/>
        <v>8.4497985733956256</v>
      </c>
      <c r="AI350" s="57">
        <f t="shared" si="1601"/>
        <v>10.317122536772843</v>
      </c>
      <c r="AJ350" s="57">
        <f t="shared" ref="AJ350:AJ353" si="1602">IFERROR(AJ338/AE338*100-100,"")</f>
        <v>4.9278274904071253</v>
      </c>
      <c r="AK350" s="57">
        <f t="shared" ref="AK350:AK353" si="1603">IFERROR(AK338/AI338*100-100,"")</f>
        <v>-18.828874529290573</v>
      </c>
      <c r="AL350" s="57">
        <f t="shared" ref="AL350:AN353" si="1604">IFERROR(AL338/AK338*100-100,"")</f>
        <v>10.202166823375421</v>
      </c>
      <c r="AM350" s="57">
        <f t="shared" si="1604"/>
        <v>8.006038680917186</v>
      </c>
      <c r="AN350" s="57">
        <f t="shared" si="1604"/>
        <v>9.5554691183253482</v>
      </c>
      <c r="AO350" s="57">
        <f t="shared" ref="AO350:AO353" si="1605">IFERROR(AO338/AJ338*100-100,"")</f>
        <v>7.1088314203292811</v>
      </c>
      <c r="AP350" s="57">
        <f t="shared" ref="AP350:AP353" si="1606">IFERROR(AP338/AN338*100-100,"")</f>
        <v>-17.936805393973685</v>
      </c>
      <c r="AQ350" s="57">
        <f t="shared" ref="AQ350:AS353" si="1607">IFERROR(AQ338/AP338*100-100,"")</f>
        <v>5.8425098939084137</v>
      </c>
      <c r="AR350" s="57">
        <f t="shared" si="1607"/>
        <v>6.0860512756556062</v>
      </c>
      <c r="AS350" s="57">
        <f t="shared" si="1607"/>
        <v>9.9782250383247799</v>
      </c>
      <c r="AT350" s="57">
        <f t="shared" ref="AT350:AT353" si="1608">IFERROR(AT338/AO338*100-100,"")</f>
        <v>2.815847873171279</v>
      </c>
      <c r="AU350" s="57">
        <f t="shared" ref="AU350:AU353" si="1609">IFERROR(AU338/AS338*100-100,"")</f>
        <v>-17.144059834741626</v>
      </c>
      <c r="AV350" s="57">
        <f t="shared" ref="AV350:AX353" si="1610">IFERROR(AV338/AU338*100-100,"")</f>
        <v>5.2395960500078331</v>
      </c>
      <c r="AW350" s="57">
        <f t="shared" si="1610"/>
        <v>8.9132248162970882</v>
      </c>
      <c r="AX350" s="57">
        <f t="shared" si="1610"/>
        <v>7.2076288793672347</v>
      </c>
      <c r="AY350" s="57">
        <f t="shared" ref="AY350:AY353" si="1611">IFERROR(AY338/AT338*100-100,"")</f>
        <v>2.5780856577577822</v>
      </c>
      <c r="AZ350" s="57">
        <f t="shared" ref="AZ350:AZ353" si="1612">IFERROR(AZ338/AX338*100-100,"")</f>
        <v>-18.5031312441468</v>
      </c>
      <c r="BA350" s="57">
        <f t="shared" ref="BA350:BC353" si="1613">IFERROR(BA338/AZ338*100-100,"")</f>
        <v>5.6198324678240539</v>
      </c>
      <c r="BB350" s="57">
        <f t="shared" si="1613"/>
        <v>8.3802629576111656</v>
      </c>
      <c r="BC350" s="57">
        <f t="shared" si="1613"/>
        <v>7.2692371937768741</v>
      </c>
      <c r="BD350" s="57">
        <f t="shared" ref="BD350:BD353" si="1614">IFERROR(BD338/AY338*100-100,"")</f>
        <v>0.17656313275647051</v>
      </c>
      <c r="BE350" s="57">
        <f t="shared" ref="BE350:BE353" si="1615">IFERROR(BE338/BC338*100-100,"")</f>
        <v>-18.39584708506149</v>
      </c>
      <c r="BF350" s="57">
        <f t="shared" ref="BF350:BH353" si="1616">IFERROR(BF338/BE338*100-100,"")</f>
        <v>5.663768054049271</v>
      </c>
      <c r="BG350" s="57">
        <f t="shared" si="1616"/>
        <v>9.8502558701184739</v>
      </c>
      <c r="BH350" s="57">
        <f t="shared" si="1616"/>
        <v>3.5306160702881897</v>
      </c>
      <c r="BI350" s="57">
        <f t="shared" ref="BI350:BI353" si="1617">IFERROR(BI338/BD338*100-100,"")</f>
        <v>-1.7595765143724407E-2</v>
      </c>
      <c r="BJ350" s="57">
        <f t="shared" ref="BJ350:BJ353" si="1618">IFERROR(BJ338/BH338*100-100,"")</f>
        <v>-46.348037769116111</v>
      </c>
      <c r="BK350" s="57">
        <f t="shared" ref="BK350:BM353" si="1619">IFERROR(BK338/BJ338*100-100,"")</f>
        <v>20.110531292635642</v>
      </c>
      <c r="BL350" s="57">
        <f t="shared" si="1619"/>
        <v>6.249893297833637</v>
      </c>
      <c r="BM350" s="57">
        <f t="shared" si="1619"/>
        <v>26.610507052324749</v>
      </c>
      <c r="BN350" s="57">
        <f t="shared" ref="BN350:BN353" si="1620">IFERROR(BN338/BI338*100-100,"")</f>
        <v>-25.692995909753947</v>
      </c>
      <c r="BO350" s="57">
        <f t="shared" ref="BO350:BO353" si="1621">IFERROR(BO338/BM338*100-100,"")</f>
        <v>-54.637608882335954</v>
      </c>
      <c r="BP350" s="57">
        <f t="shared" ref="BP350:BR353" si="1622">IFERROR(BP338/BO338*100-100,"")</f>
        <v>95.425117983201403</v>
      </c>
      <c r="BQ350" s="57">
        <f t="shared" si="1622"/>
        <v>-19.141753701217837</v>
      </c>
      <c r="BR350" s="57">
        <f t="shared" si="1622"/>
        <v>64.782356195568411</v>
      </c>
      <c r="BS350" s="57">
        <f t="shared" ref="BS350:BS353" si="1623">IFERROR(BS338/BN338*100-100,"")</f>
        <v>2.728411664957946</v>
      </c>
      <c r="BT350" s="57">
        <f t="shared" ref="BT350:BT353" si="1624">IFERROR(BT338/BR338*100-100,"")</f>
        <v>-60.511855888424563</v>
      </c>
      <c r="BU350" s="57">
        <f t="shared" ref="BU350:BW353" si="1625">IFERROR(BU338/BT338*100-100,"")</f>
        <v>40.090547251969525</v>
      </c>
      <c r="BV350" s="57">
        <f t="shared" si="1625"/>
        <v>23.343577041069906</v>
      </c>
      <c r="BW350" s="57">
        <f t="shared" si="1625"/>
        <v>42.336511033279834</v>
      </c>
      <c r="BX350" s="57">
        <f t="shared" ref="BX350:BX353" si="1626">IFERROR(BX338/BS338*100-100,"")</f>
        <v>-5.1007723522579482</v>
      </c>
      <c r="BY350" s="57">
        <f t="shared" ref="BY350:BY353" si="1627">IFERROR(BY338/BW338*100-100,"")</f>
        <v>-58.450046139824899</v>
      </c>
      <c r="BZ350" s="57">
        <f t="shared" ref="BZ350:CB353" si="1628">IFERROR(BZ338/BY338*100-100,"")</f>
        <v>65.586330389863377</v>
      </c>
      <c r="CA350" s="57">
        <f t="shared" si="1628"/>
        <v>-6.5761103584328993</v>
      </c>
      <c r="CB350" s="57">
        <f t="shared" si="1628"/>
        <v>47.33943034443223</v>
      </c>
      <c r="CC350" s="57">
        <f t="shared" ref="CC350:CC353" si="1629">IFERROR(CC338/BX338*100-100,"")</f>
        <v>0.5441271126620677</v>
      </c>
      <c r="CD350" s="57">
        <f t="shared" ref="CD350:CD353" si="1630">IFERROR(CD338/CB338*100-100,"")</f>
        <v>-52.68945333644632</v>
      </c>
      <c r="CE350" s="57">
        <f t="shared" ref="CE350:CG353" si="1631">IFERROR(CE338/CD338*100-100,"")</f>
        <v>55.151143168687952</v>
      </c>
      <c r="CF350" s="57">
        <f t="shared" si="1631"/>
        <v>-6.4239277488108399</v>
      </c>
      <c r="CG350" s="57">
        <f t="shared" si="1631"/>
        <v>48.107249791692738</v>
      </c>
      <c r="CH350" s="57">
        <f t="shared" ref="CH350:CH353" si="1632">IFERROR(CH338/CC338*100-100,"")</f>
        <v>2.3701708605490666</v>
      </c>
      <c r="CI350" s="57">
        <f t="shared" ref="CI350:CI353" si="1633">IFERROR(CI338/CG338*100-100,"")</f>
        <v>-48.555053386818848</v>
      </c>
      <c r="CJ350" s="57">
        <f t="shared" ref="CJ350:CJ353" si="1634">IFERROR(CJ338/CI338*100-100,"")</f>
        <v>22.010475055005998</v>
      </c>
      <c r="CK350" s="57">
        <f t="shared" si="1582"/>
        <v>0.67013235608864363</v>
      </c>
      <c r="CL350" s="57">
        <f t="shared" si="1582"/>
        <v>24.792178428585544</v>
      </c>
      <c r="CM350" s="57">
        <f t="shared" ref="CM350:CM353" si="1635">IFERROR(CM338/CH338*100-100,"")</f>
        <v>-10.455409863780275</v>
      </c>
      <c r="CN350" s="57">
        <f t="shared" ref="CN350:CN353" si="1636">IFERROR(CN338/CL338*100-100,"")</f>
        <v>-100</v>
      </c>
      <c r="CO350" s="57" t="str">
        <f t="shared" ref="CO350:CO353" si="1637">IFERROR(CO338/CN338*100-100,"")</f>
        <v/>
      </c>
      <c r="CP350" s="57" t="str">
        <f t="shared" si="1583"/>
        <v/>
      </c>
      <c r="CQ350" s="57" t="str">
        <f t="shared" si="1583"/>
        <v/>
      </c>
      <c r="CR350" s="57">
        <f t="shared" ref="CR350:CR353" si="1638">IFERROR(CR338/CM338*100-100,"")</f>
        <v>-100</v>
      </c>
    </row>
    <row r="351" spans="1:96" s="54" customFormat="1" ht="17.5" customHeight="1" x14ac:dyDescent="0.4">
      <c r="A351" s="52" t="s">
        <v>108</v>
      </c>
      <c r="B351" s="38"/>
      <c r="C351" s="57">
        <f t="shared" si="1584"/>
        <v>1.0123294908811289</v>
      </c>
      <c r="D351" s="57">
        <f t="shared" si="1584"/>
        <v>5.0956780235991346</v>
      </c>
      <c r="E351" s="57">
        <f t="shared" si="1584"/>
        <v>-2.9098023594689124</v>
      </c>
      <c r="F351" s="38"/>
      <c r="G351" s="57">
        <f t="shared" si="1585"/>
        <v>-13.555696260846602</v>
      </c>
      <c r="H351" s="57">
        <f t="shared" si="1586"/>
        <v>2.2685216214746617</v>
      </c>
      <c r="I351" s="57">
        <f t="shared" si="1586"/>
        <v>3.5197318790105783</v>
      </c>
      <c r="J351" s="57">
        <f t="shared" si="1586"/>
        <v>3.5117987119187717</v>
      </c>
      <c r="K351" s="57">
        <f t="shared" si="1587"/>
        <v>-9.2768028082567895</v>
      </c>
      <c r="L351" s="57">
        <f t="shared" si="1588"/>
        <v>-6.6027516247370244</v>
      </c>
      <c r="M351" s="57">
        <f t="shared" si="1589"/>
        <v>17.698339920024281</v>
      </c>
      <c r="N351" s="57">
        <f t="shared" si="1589"/>
        <v>2.9772028279182052</v>
      </c>
      <c r="O351" s="57">
        <f t="shared" si="1589"/>
        <v>-3.8353403696509645</v>
      </c>
      <c r="P351" s="57">
        <f t="shared" si="1590"/>
        <v>11.595402311678129</v>
      </c>
      <c r="Q351" s="57">
        <f t="shared" si="1591"/>
        <v>9.2264241766920634</v>
      </c>
      <c r="R351" s="57" t="str">
        <f t="shared" si="1592"/>
        <v/>
      </c>
      <c r="S351" s="57" t="str">
        <f t="shared" si="1592"/>
        <v/>
      </c>
      <c r="T351" s="57">
        <f t="shared" si="1592"/>
        <v>4.5299345209563313</v>
      </c>
      <c r="U351" s="57" t="str">
        <f t="shared" si="1593"/>
        <v/>
      </c>
      <c r="V351" s="57">
        <f t="shared" si="1594"/>
        <v>12.086083629152824</v>
      </c>
      <c r="W351" s="57">
        <f t="shared" si="1595"/>
        <v>6.1236755168565082</v>
      </c>
      <c r="X351" s="57">
        <f t="shared" si="1595"/>
        <v>6.5918909723805541E-2</v>
      </c>
      <c r="Y351" s="57">
        <f t="shared" si="1595"/>
        <v>-0.25242296755281757</v>
      </c>
      <c r="Z351" s="57" t="str">
        <f t="shared" si="1596"/>
        <v/>
      </c>
      <c r="AA351" s="57">
        <f t="shared" si="1597"/>
        <v>10.343962371173546</v>
      </c>
      <c r="AB351" s="57">
        <f t="shared" si="1598"/>
        <v>-13.63816393254082</v>
      </c>
      <c r="AC351" s="57">
        <f t="shared" si="1598"/>
        <v>5.701500468068744</v>
      </c>
      <c r="AD351" s="57">
        <f t="shared" si="1598"/>
        <v>7.8208386967206138</v>
      </c>
      <c r="AE351" s="57">
        <f t="shared" si="1599"/>
        <v>5.0975536359405567</v>
      </c>
      <c r="AF351" s="57">
        <f t="shared" si="1600"/>
        <v>4.0904085350050821</v>
      </c>
      <c r="AG351" s="57">
        <f t="shared" si="1601"/>
        <v>-6.4124580782646632</v>
      </c>
      <c r="AH351" s="57">
        <f t="shared" si="1601"/>
        <v>3.64636599731827</v>
      </c>
      <c r="AI351" s="57">
        <f t="shared" si="1601"/>
        <v>4.3783393176592256</v>
      </c>
      <c r="AJ351" s="57">
        <f t="shared" si="1602"/>
        <v>6.7450086101400899</v>
      </c>
      <c r="AK351" s="57">
        <f t="shared" si="1603"/>
        <v>-5.500111056518648</v>
      </c>
      <c r="AL351" s="57">
        <f t="shared" si="1604"/>
        <v>6.1953199471163742</v>
      </c>
      <c r="AM351" s="57">
        <f t="shared" si="1604"/>
        <v>5.245680233868157</v>
      </c>
      <c r="AN351" s="57">
        <f t="shared" si="1604"/>
        <v>8.0386439734540147</v>
      </c>
      <c r="AO351" s="57">
        <f t="shared" si="1605"/>
        <v>7.1248382709664639</v>
      </c>
      <c r="AP351" s="57">
        <f t="shared" si="1606"/>
        <v>-8.2306277474447143</v>
      </c>
      <c r="AQ351" s="57">
        <f t="shared" si="1607"/>
        <v>2.9082914152328101</v>
      </c>
      <c r="AR351" s="57">
        <f t="shared" si="1607"/>
        <v>4.5192501164502517</v>
      </c>
      <c r="AS351" s="57">
        <f t="shared" si="1607"/>
        <v>6.813068977024912</v>
      </c>
      <c r="AT351" s="57">
        <f t="shared" si="1608"/>
        <v>7.4380453117067731</v>
      </c>
      <c r="AU351" s="57">
        <f t="shared" si="1609"/>
        <v>-7.0795138375827662</v>
      </c>
      <c r="AV351" s="57">
        <f t="shared" si="1610"/>
        <v>3.5531423752025404</v>
      </c>
      <c r="AW351" s="57">
        <f t="shared" si="1610"/>
        <v>3.5984534783748643</v>
      </c>
      <c r="AX351" s="57">
        <f t="shared" si="1610"/>
        <v>5.6008627468398657</v>
      </c>
      <c r="AY351" s="57">
        <f t="shared" si="1611"/>
        <v>6.4439733683927471</v>
      </c>
      <c r="AZ351" s="57">
        <f t="shared" si="1612"/>
        <v>-4.8189386412441024</v>
      </c>
      <c r="BA351" s="57">
        <f t="shared" si="1613"/>
        <v>1.9260979247115273</v>
      </c>
      <c r="BB351" s="57">
        <f t="shared" si="1613"/>
        <v>2.1336206955712527</v>
      </c>
      <c r="BC351" s="57">
        <f t="shared" si="1613"/>
        <v>2.5882261552166312</v>
      </c>
      <c r="BD351" s="57">
        <f t="shared" si="1614"/>
        <v>4.9562004487908098</v>
      </c>
      <c r="BE351" s="57">
        <f t="shared" si="1615"/>
        <v>-3.4843543634171681</v>
      </c>
      <c r="BF351" s="57">
        <f t="shared" si="1616"/>
        <v>3.0074334936475111</v>
      </c>
      <c r="BG351" s="57">
        <f t="shared" si="1616"/>
        <v>5.2056729675566231</v>
      </c>
      <c r="BH351" s="57">
        <f t="shared" si="1616"/>
        <v>4.3804695969727732</v>
      </c>
      <c r="BI351" s="57">
        <f t="shared" si="1617"/>
        <v>5.9882818015919668</v>
      </c>
      <c r="BJ351" s="57">
        <f t="shared" si="1618"/>
        <v>-9.7058410442915886</v>
      </c>
      <c r="BK351" s="57">
        <f t="shared" si="1619"/>
        <v>1.8692803777674953</v>
      </c>
      <c r="BL351" s="57">
        <f t="shared" si="1619"/>
        <v>5.185580613851414</v>
      </c>
      <c r="BM351" s="57">
        <f t="shared" si="1619"/>
        <v>1.3088332256557749</v>
      </c>
      <c r="BN351" s="57">
        <f t="shared" si="1620"/>
        <v>0.47315126623568915</v>
      </c>
      <c r="BO351" s="57">
        <f t="shared" si="1621"/>
        <v>-2.3026002646237487</v>
      </c>
      <c r="BP351" s="57">
        <f t="shared" si="1622"/>
        <v>1.0243581583407462</v>
      </c>
      <c r="BQ351" s="57">
        <f t="shared" si="1622"/>
        <v>6.0695062465052132</v>
      </c>
      <c r="BR351" s="57">
        <f t="shared" si="1622"/>
        <v>1.1934121712737351</v>
      </c>
      <c r="BS351" s="57">
        <f t="shared" si="1623"/>
        <v>5.810828900063953</v>
      </c>
      <c r="BT351" s="57">
        <f t="shared" si="1624"/>
        <v>-9.9784014172923605</v>
      </c>
      <c r="BU351" s="57">
        <f t="shared" si="1625"/>
        <v>8.5491179697153541</v>
      </c>
      <c r="BV351" s="57">
        <f t="shared" si="1625"/>
        <v>-3.9638851664491881E-2</v>
      </c>
      <c r="BW351" s="57">
        <f t="shared" si="1625"/>
        <v>7.2972236411115432</v>
      </c>
      <c r="BX351" s="57">
        <f t="shared" si="1626"/>
        <v>1.5660919634576089</v>
      </c>
      <c r="BY351" s="57">
        <f t="shared" si="1627"/>
        <v>-10.698872577851233</v>
      </c>
      <c r="BZ351" s="57">
        <f t="shared" si="1628"/>
        <v>2.3456414981144036</v>
      </c>
      <c r="CA351" s="57">
        <f t="shared" si="1628"/>
        <v>6.0644955267415526</v>
      </c>
      <c r="CB351" s="57">
        <f t="shared" si="1628"/>
        <v>0.55337069168474784</v>
      </c>
      <c r="CC351" s="57">
        <f t="shared" si="1629"/>
        <v>0.74729397482882121</v>
      </c>
      <c r="CD351" s="57">
        <f t="shared" si="1630"/>
        <v>-6.4515671606665705</v>
      </c>
      <c r="CE351" s="57">
        <f t="shared" si="1631"/>
        <v>2.7898470638137383</v>
      </c>
      <c r="CF351" s="57">
        <f t="shared" si="1631"/>
        <v>4.3415191782337388</v>
      </c>
      <c r="CG351" s="57">
        <f t="shared" si="1631"/>
        <v>2.8275267948505274</v>
      </c>
      <c r="CH351" s="57">
        <f t="shared" si="1632"/>
        <v>2.1781672522137825</v>
      </c>
      <c r="CI351" s="57">
        <f t="shared" si="1633"/>
        <v>-7.6012658953816015</v>
      </c>
      <c r="CJ351" s="57">
        <f t="shared" si="1634"/>
        <v>1.7473987160832678</v>
      </c>
      <c r="CK351" s="57">
        <f t="shared" si="1582"/>
        <v>4.1960198147368999</v>
      </c>
      <c r="CL351" s="57">
        <f t="shared" si="1582"/>
        <v>2.763044220284371</v>
      </c>
      <c r="CM351" s="57">
        <f t="shared" si="1635"/>
        <v>1.0250714976015587</v>
      </c>
      <c r="CN351" s="57">
        <f t="shared" si="1636"/>
        <v>-100</v>
      </c>
      <c r="CO351" s="57" t="str">
        <f t="shared" si="1637"/>
        <v/>
      </c>
      <c r="CP351" s="57" t="str">
        <f t="shared" si="1583"/>
        <v/>
      </c>
      <c r="CQ351" s="57" t="str">
        <f t="shared" si="1583"/>
        <v/>
      </c>
      <c r="CR351" s="57">
        <f t="shared" si="1638"/>
        <v>-100</v>
      </c>
    </row>
    <row r="352" spans="1:96" s="54" customFormat="1" ht="17.5" customHeight="1" x14ac:dyDescent="0.4">
      <c r="A352" s="52" t="s">
        <v>109</v>
      </c>
      <c r="B352" s="38"/>
      <c r="C352" s="58">
        <f t="shared" si="1584"/>
        <v>11.096425983042707</v>
      </c>
      <c r="D352" s="58">
        <f t="shared" si="1584"/>
        <v>10.536165370062307</v>
      </c>
      <c r="E352" s="58">
        <f t="shared" si="1584"/>
        <v>-0.35855806107005606</v>
      </c>
      <c r="F352" s="38"/>
      <c r="G352" s="58">
        <f t="shared" si="1585"/>
        <v>-17.687763057249967</v>
      </c>
      <c r="H352" s="58">
        <f t="shared" si="1586"/>
        <v>10.90165354823786</v>
      </c>
      <c r="I352" s="58">
        <f t="shared" si="1586"/>
        <v>5.4286952999675009</v>
      </c>
      <c r="J352" s="58">
        <f t="shared" si="1586"/>
        <v>10.825223931951228</v>
      </c>
      <c r="K352" s="58">
        <f t="shared" si="1587"/>
        <v>0.97084300326221751</v>
      </c>
      <c r="L352" s="58">
        <f t="shared" si="1588"/>
        <v>-21.320212405267398</v>
      </c>
      <c r="M352" s="58">
        <f t="shared" si="1589"/>
        <v>14.280974795041871</v>
      </c>
      <c r="N352" s="58">
        <f t="shared" si="1589"/>
        <v>7.075225982221184</v>
      </c>
      <c r="O352" s="58">
        <f t="shared" si="1589"/>
        <v>12.261826823333607</v>
      </c>
      <c r="P352" s="58">
        <f t="shared" si="1590"/>
        <v>5.6561880899475909</v>
      </c>
      <c r="Q352" s="58">
        <f t="shared" si="1591"/>
        <v>-18.28362963207816</v>
      </c>
      <c r="R352" s="58" t="str">
        <f t="shared" si="1592"/>
        <v/>
      </c>
      <c r="S352" s="58" t="str">
        <f t="shared" si="1592"/>
        <v/>
      </c>
      <c r="T352" s="58">
        <f t="shared" si="1592"/>
        <v>4.6024754467478175</v>
      </c>
      <c r="U352" s="58" t="str">
        <f t="shared" si="1593"/>
        <v/>
      </c>
      <c r="V352" s="58">
        <f t="shared" si="1594"/>
        <v>-13.823619088666433</v>
      </c>
      <c r="W352" s="58">
        <f t="shared" si="1595"/>
        <v>20.228356550495036</v>
      </c>
      <c r="X352" s="58">
        <f t="shared" si="1595"/>
        <v>6.9302678763795598</v>
      </c>
      <c r="Y352" s="58">
        <f t="shared" si="1595"/>
        <v>4.5981032552404599</v>
      </c>
      <c r="Z352" s="58" t="str">
        <f t="shared" si="1596"/>
        <v/>
      </c>
      <c r="AA352" s="58">
        <f t="shared" si="1597"/>
        <v>-9.5903813222599581</v>
      </c>
      <c r="AB352" s="58">
        <f t="shared" si="1598"/>
        <v>1.8492896779335695</v>
      </c>
      <c r="AC352" s="58">
        <f t="shared" si="1598"/>
        <v>7.8909032041140534</v>
      </c>
      <c r="AD352" s="58">
        <f t="shared" si="1598"/>
        <v>7.099608729095408</v>
      </c>
      <c r="AE352" s="58">
        <f t="shared" si="1599"/>
        <v>8.0313588268054588</v>
      </c>
      <c r="AF352" s="58">
        <f t="shared" si="1600"/>
        <v>-12.953587254300572</v>
      </c>
      <c r="AG352" s="58">
        <f t="shared" si="1601"/>
        <v>4.3920114565690938</v>
      </c>
      <c r="AH352" s="58">
        <f t="shared" si="1601"/>
        <v>9.1200667096664745</v>
      </c>
      <c r="AI352" s="58">
        <f t="shared" si="1601"/>
        <v>11.517535556268243</v>
      </c>
      <c r="AJ352" s="58">
        <f t="shared" si="1602"/>
        <v>6.2393148646745118</v>
      </c>
      <c r="AK352" s="58">
        <f t="shared" si="1603"/>
        <v>-17.394945305132964</v>
      </c>
      <c r="AL352" s="58">
        <f t="shared" si="1604"/>
        <v>10.038646407521256</v>
      </c>
      <c r="AM352" s="58">
        <f t="shared" si="1604"/>
        <v>8.6249616306962196</v>
      </c>
      <c r="AN352" s="58">
        <f t="shared" si="1604"/>
        <v>12.604211206018888</v>
      </c>
      <c r="AO352" s="58">
        <f t="shared" si="1605"/>
        <v>9.3713220723524273</v>
      </c>
      <c r="AP352" s="58">
        <f t="shared" si="1606"/>
        <v>-17.144726733862058</v>
      </c>
      <c r="AQ352" s="58">
        <f t="shared" si="1607"/>
        <v>3.9660829017323636</v>
      </c>
      <c r="AR352" s="58">
        <f t="shared" si="1607"/>
        <v>5.9792376513698571</v>
      </c>
      <c r="AS352" s="58">
        <f t="shared" si="1607"/>
        <v>10.185243983883538</v>
      </c>
      <c r="AT352" s="58">
        <f t="shared" si="1608"/>
        <v>4.6454294894307679</v>
      </c>
      <c r="AU352" s="58">
        <f t="shared" si="1609"/>
        <v>-15.860494955629861</v>
      </c>
      <c r="AV352" s="58">
        <f t="shared" si="1610"/>
        <v>5.6287217242397816</v>
      </c>
      <c r="AW352" s="58">
        <f t="shared" si="1610"/>
        <v>8.2024050348037179</v>
      </c>
      <c r="AX352" s="58">
        <f t="shared" si="1610"/>
        <v>8.4450310343977719</v>
      </c>
      <c r="AY352" s="58">
        <f t="shared" si="1611"/>
        <v>4.0990547163730184</v>
      </c>
      <c r="AZ352" s="58">
        <f t="shared" si="1612"/>
        <v>-16.891132510908221</v>
      </c>
      <c r="BA352" s="58">
        <f t="shared" si="1613"/>
        <v>4.9971408212549733</v>
      </c>
      <c r="BB352" s="58">
        <f t="shared" si="1613"/>
        <v>5.9617331962923146</v>
      </c>
      <c r="BC352" s="58">
        <f t="shared" si="1613"/>
        <v>8.5875794710231617</v>
      </c>
      <c r="BD352" s="58">
        <f t="shared" si="1614"/>
        <v>1.4307613993007635</v>
      </c>
      <c r="BE352" s="58">
        <f t="shared" si="1615"/>
        <v>-15.830977859085152</v>
      </c>
      <c r="BF352" s="58">
        <f t="shared" si="1616"/>
        <v>5.7658849996287529</v>
      </c>
      <c r="BG352" s="58">
        <f t="shared" si="1616"/>
        <v>9.7624492001488363</v>
      </c>
      <c r="BH352" s="58">
        <f t="shared" si="1616"/>
        <v>3.848822787818591</v>
      </c>
      <c r="BI352" s="58">
        <f t="shared" si="1617"/>
        <v>2.9305378465119105</v>
      </c>
      <c r="BJ352" s="58">
        <f t="shared" si="1618"/>
        <v>-31.682438537087648</v>
      </c>
      <c r="BK352" s="58">
        <f t="shared" si="1619"/>
        <v>10.664610380762568</v>
      </c>
      <c r="BL352" s="58">
        <f t="shared" si="1619"/>
        <v>6.3642692438879038</v>
      </c>
      <c r="BM352" s="58">
        <f t="shared" si="1619"/>
        <v>14.666034132722643</v>
      </c>
      <c r="BN352" s="58">
        <f t="shared" si="1620"/>
        <v>-13.740983114687893</v>
      </c>
      <c r="BO352" s="58">
        <f t="shared" si="1621"/>
        <v>-31.366698093840057</v>
      </c>
      <c r="BP352" s="58">
        <f t="shared" si="1622"/>
        <v>28.348417341758875</v>
      </c>
      <c r="BQ352" s="58">
        <f t="shared" si="1622"/>
        <v>-5.6932491822691844</v>
      </c>
      <c r="BR352" s="58">
        <f t="shared" si="1622"/>
        <v>31.41376909945302</v>
      </c>
      <c r="BS352" s="58">
        <f t="shared" si="1623"/>
        <v>1.6538437678621989</v>
      </c>
      <c r="BT352" s="58">
        <f t="shared" si="1624"/>
        <v>-38.434633024060879</v>
      </c>
      <c r="BU352" s="58">
        <f t="shared" si="1625"/>
        <v>15.37913767686301</v>
      </c>
      <c r="BV352" s="58">
        <f t="shared" si="1625"/>
        <v>10.298613712921508</v>
      </c>
      <c r="BW352" s="58">
        <f t="shared" si="1625"/>
        <v>24.60637244166017</v>
      </c>
      <c r="BX352" s="58">
        <f t="shared" si="1626"/>
        <v>-3.4651396745996408</v>
      </c>
      <c r="BY352" s="58">
        <f t="shared" si="1627"/>
        <v>-37.301171929692131</v>
      </c>
      <c r="BZ352" s="58">
        <f t="shared" si="1628"/>
        <v>19.059882060311708</v>
      </c>
      <c r="CA352" s="58">
        <f t="shared" si="1628"/>
        <v>2.6844124544336978</v>
      </c>
      <c r="CB352" s="58">
        <f t="shared" si="1628"/>
        <v>23.354223844178776</v>
      </c>
      <c r="CC352" s="58">
        <f t="shared" si="1629"/>
        <v>-2.3784519651762253</v>
      </c>
      <c r="CD352" s="58">
        <f t="shared" si="1630"/>
        <v>-31.161962567310567</v>
      </c>
      <c r="CE352" s="58">
        <f t="shared" si="1631"/>
        <v>16.958238776165402</v>
      </c>
      <c r="CF352" s="58">
        <f t="shared" si="1631"/>
        <v>-1.6258454062398044</v>
      </c>
      <c r="CG352" s="58">
        <f t="shared" si="1631"/>
        <v>28.047198867862249</v>
      </c>
      <c r="CH352" s="58">
        <f t="shared" si="1632"/>
        <v>1.1168382570268136</v>
      </c>
      <c r="CI352" s="58">
        <f t="shared" si="1633"/>
        <v>-30.652488326624194</v>
      </c>
      <c r="CJ352" s="58">
        <f t="shared" si="1634"/>
        <v>6.2172170886648104</v>
      </c>
      <c r="CK352" s="58">
        <f t="shared" si="1582"/>
        <v>1.1939659928371924</v>
      </c>
      <c r="CL352" s="58">
        <f t="shared" si="1582"/>
        <v>14.087102928018226</v>
      </c>
      <c r="CM352" s="58">
        <f t="shared" si="1635"/>
        <v>-7.0001551412850773</v>
      </c>
      <c r="CN352" s="58">
        <f t="shared" si="1636"/>
        <v>-100</v>
      </c>
      <c r="CO352" s="58" t="str">
        <f t="shared" si="1637"/>
        <v/>
      </c>
      <c r="CP352" s="58" t="str">
        <f t="shared" si="1583"/>
        <v/>
      </c>
      <c r="CQ352" s="58" t="str">
        <f t="shared" si="1583"/>
        <v/>
      </c>
      <c r="CR352" s="58">
        <f t="shared" si="1638"/>
        <v>-100</v>
      </c>
    </row>
    <row r="353" spans="1:96" s="9" customFormat="1" ht="23.25" customHeight="1" thickBot="1" x14ac:dyDescent="0.35">
      <c r="A353" s="26" t="s">
        <v>95</v>
      </c>
      <c r="B353" s="38"/>
      <c r="C353" s="59">
        <f t="shared" si="1584"/>
        <v>2.5640517403404601</v>
      </c>
      <c r="D353" s="59">
        <f t="shared" si="1584"/>
        <v>1.5262030259763009</v>
      </c>
      <c r="E353" s="59">
        <f t="shared" si="1584"/>
        <v>3.7064727299342479</v>
      </c>
      <c r="F353" s="38"/>
      <c r="G353" s="59">
        <f t="shared" si="1585"/>
        <v>-0.49745929568820202</v>
      </c>
      <c r="H353" s="59">
        <f t="shared" si="1586"/>
        <v>1.5089188988385018</v>
      </c>
      <c r="I353" s="59">
        <f t="shared" si="1586"/>
        <v>2.2870246061486483</v>
      </c>
      <c r="J353" s="59">
        <f t="shared" si="1586"/>
        <v>3.9977734434826715</v>
      </c>
      <c r="K353" s="59">
        <f t="shared" si="1587"/>
        <v>7.098892651540595</v>
      </c>
      <c r="L353" s="59">
        <f t="shared" si="1588"/>
        <v>-0.86914296924747703</v>
      </c>
      <c r="M353" s="59">
        <f t="shared" si="1589"/>
        <v>3.3735013743142872</v>
      </c>
      <c r="N353" s="59">
        <f t="shared" si="1589"/>
        <v>1.8989225447949991</v>
      </c>
      <c r="O353" s="59">
        <f t="shared" si="1589"/>
        <v>2.3180197335737773</v>
      </c>
      <c r="P353" s="59">
        <f t="shared" si="1590"/>
        <v>7.8631633100608269</v>
      </c>
      <c r="Q353" s="59">
        <f t="shared" si="1591"/>
        <v>-0.69840552856062743</v>
      </c>
      <c r="R353" s="59" t="str">
        <f t="shared" si="1592"/>
        <v/>
      </c>
      <c r="S353" s="59" t="str">
        <f t="shared" si="1592"/>
        <v/>
      </c>
      <c r="T353" s="59">
        <f t="shared" si="1592"/>
        <v>5.0207771916904278</v>
      </c>
      <c r="U353" s="59" t="str">
        <f t="shared" si="1593"/>
        <v/>
      </c>
      <c r="V353" s="59">
        <f t="shared" si="1594"/>
        <v>-1.9089770984358694</v>
      </c>
      <c r="W353" s="59">
        <f t="shared" si="1595"/>
        <v>2.6903884272636986</v>
      </c>
      <c r="X353" s="59">
        <f t="shared" si="1595"/>
        <v>0.63567674952432185</v>
      </c>
      <c r="Y353" s="59">
        <f t="shared" si="1595"/>
        <v>1.6861821802010724</v>
      </c>
      <c r="Z353" s="59" t="str">
        <f t="shared" si="1596"/>
        <v/>
      </c>
      <c r="AA353" s="59">
        <f t="shared" si="1597"/>
        <v>-2.3708366899040811</v>
      </c>
      <c r="AB353" s="59">
        <f t="shared" si="1598"/>
        <v>2.7336609350951733</v>
      </c>
      <c r="AC353" s="59">
        <f t="shared" si="1598"/>
        <v>3.5859830124279171</v>
      </c>
      <c r="AD353" s="59">
        <f t="shared" si="1598"/>
        <v>5.4414259307837227</v>
      </c>
      <c r="AE353" s="59">
        <f t="shared" si="1599"/>
        <v>5.149781761396909</v>
      </c>
      <c r="AF353" s="59">
        <f t="shared" si="1600"/>
        <v>-2.9524503400076014</v>
      </c>
      <c r="AG353" s="59">
        <f t="shared" si="1601"/>
        <v>1.4942582176625621</v>
      </c>
      <c r="AH353" s="59">
        <f t="shared" si="1601"/>
        <v>2.4174127458768169</v>
      </c>
      <c r="AI353" s="59">
        <f t="shared" si="1601"/>
        <v>2.5058353475050126</v>
      </c>
      <c r="AJ353" s="59">
        <f t="shared" si="1602"/>
        <v>6.4751330461222665</v>
      </c>
      <c r="AK353" s="59">
        <f t="shared" si="1603"/>
        <v>-2.1856959950022343</v>
      </c>
      <c r="AL353" s="59">
        <f t="shared" si="1604"/>
        <v>3.0513943356032627</v>
      </c>
      <c r="AM353" s="59">
        <f t="shared" si="1604"/>
        <v>2.9977134026030257</v>
      </c>
      <c r="AN353" s="59">
        <f t="shared" si="1604"/>
        <v>3.5761769544580488</v>
      </c>
      <c r="AO353" s="59">
        <f t="shared" si="1605"/>
        <v>6.0282806203064183</v>
      </c>
      <c r="AP353" s="59">
        <f t="shared" si="1606"/>
        <v>-3.5341412278569777</v>
      </c>
      <c r="AQ353" s="59">
        <f t="shared" si="1607"/>
        <v>3.7133404783903075</v>
      </c>
      <c r="AR353" s="59">
        <f t="shared" si="1607"/>
        <v>1.9738778819706368</v>
      </c>
      <c r="AS353" s="59">
        <f t="shared" si="1607"/>
        <v>3.0870048027664723</v>
      </c>
      <c r="AT353" s="59">
        <f t="shared" si="1608"/>
        <v>5.8918624783030964</v>
      </c>
      <c r="AU353" s="59">
        <f t="shared" si="1609"/>
        <v>-2.2923054099476303</v>
      </c>
      <c r="AV353" s="59">
        <f t="shared" si="1610"/>
        <v>2.7160069996205323</v>
      </c>
      <c r="AW353" s="59">
        <f t="shared" si="1610"/>
        <v>2.4405836206639719</v>
      </c>
      <c r="AX353" s="59">
        <f t="shared" si="1610"/>
        <v>2.7295120139807239</v>
      </c>
      <c r="AY353" s="59">
        <f t="shared" si="1611"/>
        <v>5.8986098714907342</v>
      </c>
      <c r="AZ353" s="59">
        <f t="shared" si="1612"/>
        <v>-2.4312671513973214</v>
      </c>
      <c r="BA353" s="59">
        <f t="shared" si="1613"/>
        <v>2.7593276811461322</v>
      </c>
      <c r="BB353" s="59">
        <f t="shared" si="1613"/>
        <v>3.6753465760659907</v>
      </c>
      <c r="BC353" s="59">
        <f t="shared" si="1613"/>
        <v>2.1361692073893011</v>
      </c>
      <c r="BD353" s="59">
        <f t="shared" si="1614"/>
        <v>5.9925059309856579</v>
      </c>
      <c r="BE353" s="59">
        <f t="shared" si="1615"/>
        <v>-2.139949428448233</v>
      </c>
      <c r="BF353" s="59">
        <f t="shared" si="1616"/>
        <v>3.1123648542788374</v>
      </c>
      <c r="BG353" s="59">
        <f t="shared" si="1616"/>
        <v>2.3828493059746307</v>
      </c>
      <c r="BH353" s="59">
        <f t="shared" si="1616"/>
        <v>1.7723599237734646</v>
      </c>
      <c r="BI353" s="59">
        <f t="shared" si="1617"/>
        <v>5.9777945501680421</v>
      </c>
      <c r="BJ353" s="59">
        <f t="shared" si="1618"/>
        <v>-2.823095545055665</v>
      </c>
      <c r="BK353" s="59">
        <f t="shared" si="1619"/>
        <v>-1.3667206343656346</v>
      </c>
      <c r="BL353" s="59">
        <f t="shared" si="1619"/>
        <v>1.1967734641071104</v>
      </c>
      <c r="BM353" s="59">
        <f t="shared" si="1619"/>
        <v>0.17847143899612661</v>
      </c>
      <c r="BN353" s="59">
        <f t="shared" si="1620"/>
        <v>-2.9554747626704625E-2</v>
      </c>
      <c r="BO353" s="59">
        <f t="shared" si="1621"/>
        <v>-0.77774067508065059</v>
      </c>
      <c r="BP353" s="59">
        <f t="shared" si="1622"/>
        <v>4.5446326963285202</v>
      </c>
      <c r="BQ353" s="59">
        <f t="shared" si="1622"/>
        <v>3.1197441197193143E-2</v>
      </c>
      <c r="BR353" s="59">
        <f t="shared" si="1622"/>
        <v>3.1198069225063705</v>
      </c>
      <c r="BS353" s="59">
        <f t="shared" si="1623"/>
        <v>3.8265011509499089</v>
      </c>
      <c r="BT353" s="59">
        <f t="shared" si="1624"/>
        <v>-3.5787389610221823</v>
      </c>
      <c r="BU353" s="59">
        <f t="shared" si="1625"/>
        <v>6.0122739917244985</v>
      </c>
      <c r="BV353" s="59">
        <f t="shared" si="1625"/>
        <v>0.91247736706887395</v>
      </c>
      <c r="BW353" s="59">
        <f t="shared" si="1625"/>
        <v>3.4591911439566729</v>
      </c>
      <c r="BX353" s="59">
        <f t="shared" si="1626"/>
        <v>5.6539643603185112</v>
      </c>
      <c r="BY353" s="59">
        <f t="shared" si="1627"/>
        <v>-4.6105356085108724</v>
      </c>
      <c r="BZ353" s="59">
        <f t="shared" si="1628"/>
        <v>5.7824175800121651</v>
      </c>
      <c r="CA353" s="59">
        <f t="shared" si="1628"/>
        <v>-0.20527612138855034</v>
      </c>
      <c r="CB353" s="59">
        <f t="shared" si="1628"/>
        <v>1.9718704096441968</v>
      </c>
      <c r="CC353" s="59">
        <f t="shared" si="1629"/>
        <v>4.4116622361056699</v>
      </c>
      <c r="CD353" s="59">
        <f t="shared" si="1630"/>
        <v>-2.4364356490954435</v>
      </c>
      <c r="CE353" s="59">
        <f t="shared" si="1631"/>
        <v>4.1199226316690272</v>
      </c>
      <c r="CF353" s="59">
        <f t="shared" si="1631"/>
        <v>1.4014980734900746</v>
      </c>
      <c r="CG353" s="59">
        <f t="shared" si="1631"/>
        <v>1.9860271386993276</v>
      </c>
      <c r="CH353" s="59">
        <f t="shared" si="1632"/>
        <v>4.6181963294361594</v>
      </c>
      <c r="CI353" s="59">
        <f t="shared" si="1633"/>
        <v>-2.2534491672881956</v>
      </c>
      <c r="CJ353" s="59">
        <f t="shared" si="1634"/>
        <v>2.694229142066078</v>
      </c>
      <c r="CK353" s="59">
        <f t="shared" si="1582"/>
        <v>1.608195228280195</v>
      </c>
      <c r="CL353" s="59">
        <f t="shared" si="1582"/>
        <v>3.2518668507576223</v>
      </c>
      <c r="CM353" s="59">
        <f t="shared" si="1635"/>
        <v>4.5948950489985521</v>
      </c>
      <c r="CN353" s="59">
        <f t="shared" si="1636"/>
        <v>-100</v>
      </c>
      <c r="CO353" s="59" t="str">
        <f t="shared" si="1637"/>
        <v/>
      </c>
      <c r="CP353" s="59" t="str">
        <f t="shared" si="1583"/>
        <v/>
      </c>
      <c r="CQ353" s="59" t="str">
        <f t="shared" si="1583"/>
        <v/>
      </c>
      <c r="CR353" s="59">
        <f t="shared" si="1638"/>
        <v>-100</v>
      </c>
    </row>
    <row r="355" spans="1:96" s="31" customFormat="1" ht="15" x14ac:dyDescent="0.4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  <c r="BA355" s="30"/>
      <c r="BB355" s="30"/>
      <c r="BC355" s="30"/>
      <c r="BD355" s="30"/>
      <c r="BE355" s="30"/>
      <c r="BF355" s="30"/>
      <c r="BG355" s="30"/>
      <c r="BH355" s="30"/>
      <c r="BI355" s="30"/>
      <c r="BJ355" s="30"/>
      <c r="BK355" s="30"/>
      <c r="BL355" s="30"/>
      <c r="BM355" s="30"/>
      <c r="BN355" s="30"/>
      <c r="BO355" s="30"/>
      <c r="BP355" s="30"/>
      <c r="BQ355" s="30"/>
      <c r="BR355" s="30"/>
      <c r="BS355" s="30"/>
      <c r="BT355" s="30"/>
      <c r="BU355" s="30"/>
      <c r="BV355" s="30"/>
      <c r="BW355" s="30"/>
      <c r="BX355" s="30"/>
      <c r="BY355" s="30"/>
      <c r="BZ355" s="30"/>
      <c r="CA355" s="30"/>
      <c r="CB355" s="30"/>
      <c r="CC355" s="30"/>
      <c r="CD355" s="30"/>
      <c r="CE355" s="30"/>
      <c r="CF355" s="30"/>
      <c r="CG355" s="30"/>
      <c r="CH355" s="30"/>
      <c r="CI355" s="30"/>
      <c r="CJ355" s="30"/>
      <c r="CK355" s="30"/>
      <c r="CL355" s="30"/>
      <c r="CM355" s="30"/>
      <c r="CN355" s="30"/>
      <c r="CO355" s="30"/>
      <c r="CP355" s="30"/>
      <c r="CQ355" s="30"/>
      <c r="CR355" s="30"/>
    </row>
    <row r="356" spans="1:96" s="31" customFormat="1" ht="15" x14ac:dyDescent="0.4">
      <c r="A356" s="32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  <c r="AT356" s="33"/>
      <c r="AU356" s="33"/>
      <c r="AV356" s="33"/>
      <c r="AW356" s="33"/>
      <c r="AX356" s="33"/>
      <c r="AY356" s="33"/>
      <c r="AZ356" s="33"/>
      <c r="BA356" s="33"/>
      <c r="BB356" s="33"/>
      <c r="BC356" s="33"/>
      <c r="BD356" s="33"/>
      <c r="BE356" s="33"/>
      <c r="BF356" s="33"/>
      <c r="BG356" s="33"/>
      <c r="BH356" s="33"/>
      <c r="BI356" s="33"/>
      <c r="BJ356" s="33"/>
      <c r="BK356" s="33"/>
      <c r="BL356" s="33"/>
      <c r="BM356" s="33"/>
      <c r="BN356" s="33"/>
      <c r="BO356" s="33"/>
      <c r="BP356" s="33"/>
      <c r="BQ356" s="33"/>
      <c r="BR356" s="33"/>
      <c r="BS356" s="33"/>
      <c r="BT356" s="33"/>
      <c r="BU356" s="33"/>
      <c r="BV356" s="33"/>
      <c r="BW356" s="33"/>
      <c r="BX356" s="33"/>
      <c r="BY356" s="33"/>
      <c r="BZ356" s="33"/>
      <c r="CA356" s="33"/>
      <c r="CB356" s="33"/>
      <c r="CC356" s="33"/>
      <c r="CD356" s="33"/>
      <c r="CE356" s="33"/>
      <c r="CF356" s="33"/>
      <c r="CG356" s="33"/>
      <c r="CH356" s="33"/>
      <c r="CI356" s="33"/>
      <c r="CJ356" s="33"/>
      <c r="CK356" s="33"/>
      <c r="CL356" s="33"/>
      <c r="CM356" s="33"/>
      <c r="CN356" s="33"/>
      <c r="CO356" s="33"/>
      <c r="CP356" s="33"/>
      <c r="CQ356" s="33"/>
      <c r="CR356" s="33"/>
    </row>
    <row r="357" spans="1:96" ht="20" x14ac:dyDescent="0.4">
      <c r="A357" s="1" t="s">
        <v>112</v>
      </c>
    </row>
    <row r="358" spans="1:96" ht="20.5" thickBot="1" x14ac:dyDescent="0.45">
      <c r="A358" s="1" t="str">
        <f>A346</f>
        <v>Kabupaten/Kota :</v>
      </c>
      <c r="B358" s="35" t="str">
        <f>B346</f>
        <v>Kepuluauan Tanimbar</v>
      </c>
      <c r="L358" s="35"/>
      <c r="V358" s="35"/>
      <c r="AF358" s="35"/>
      <c r="AP358" s="35"/>
      <c r="AZ358" s="35"/>
      <c r="BJ358" s="35"/>
      <c r="BT358" s="35"/>
    </row>
    <row r="359" spans="1:96" s="9" customFormat="1" ht="24" customHeight="1" thickBot="1" x14ac:dyDescent="0.35">
      <c r="A359" s="5" t="s">
        <v>2</v>
      </c>
      <c r="B359" s="6" t="s">
        <v>3</v>
      </c>
      <c r="C359" s="6" t="s">
        <v>4</v>
      </c>
      <c r="D359" s="6" t="s">
        <v>5</v>
      </c>
      <c r="E359" s="6" t="s">
        <v>6</v>
      </c>
      <c r="F359" s="6">
        <v>2008</v>
      </c>
      <c r="G359" s="7" t="s">
        <v>7</v>
      </c>
      <c r="H359" s="7" t="s">
        <v>8</v>
      </c>
      <c r="I359" s="7" t="s">
        <v>9</v>
      </c>
      <c r="J359" s="7" t="s">
        <v>10</v>
      </c>
      <c r="K359" s="7">
        <v>2009</v>
      </c>
      <c r="L359" s="6" t="s">
        <v>11</v>
      </c>
      <c r="M359" s="6" t="s">
        <v>12</v>
      </c>
      <c r="N359" s="6" t="s">
        <v>13</v>
      </c>
      <c r="O359" s="6" t="s">
        <v>14</v>
      </c>
      <c r="P359" s="6">
        <v>2010</v>
      </c>
      <c r="Q359" s="7" t="s">
        <v>15</v>
      </c>
      <c r="R359" s="7" t="s">
        <v>16</v>
      </c>
      <c r="S359" s="7" t="s">
        <v>17</v>
      </c>
      <c r="T359" s="7" t="s">
        <v>18</v>
      </c>
      <c r="U359" s="7">
        <v>2011</v>
      </c>
      <c r="V359" s="6" t="s">
        <v>19</v>
      </c>
      <c r="W359" s="6" t="s">
        <v>20</v>
      </c>
      <c r="X359" s="6" t="s">
        <v>21</v>
      </c>
      <c r="Y359" s="6" t="s">
        <v>22</v>
      </c>
      <c r="Z359" s="6">
        <v>2012</v>
      </c>
      <c r="AA359" s="7" t="s">
        <v>23</v>
      </c>
      <c r="AB359" s="7" t="s">
        <v>24</v>
      </c>
      <c r="AC359" s="7" t="s">
        <v>25</v>
      </c>
      <c r="AD359" s="7" t="s">
        <v>26</v>
      </c>
      <c r="AE359" s="7">
        <v>2013</v>
      </c>
      <c r="AF359" s="6" t="s">
        <v>27</v>
      </c>
      <c r="AG359" s="6" t="s">
        <v>28</v>
      </c>
      <c r="AH359" s="6" t="s">
        <v>29</v>
      </c>
      <c r="AI359" s="6" t="s">
        <v>30</v>
      </c>
      <c r="AJ359" s="6">
        <v>2014</v>
      </c>
      <c r="AK359" s="7" t="s">
        <v>31</v>
      </c>
      <c r="AL359" s="7" t="s">
        <v>32</v>
      </c>
      <c r="AM359" s="7" t="s">
        <v>33</v>
      </c>
      <c r="AN359" s="7" t="s">
        <v>34</v>
      </c>
      <c r="AO359" s="7">
        <v>2015</v>
      </c>
      <c r="AP359" s="6" t="s">
        <v>35</v>
      </c>
      <c r="AQ359" s="6" t="s">
        <v>36</v>
      </c>
      <c r="AR359" s="6" t="s">
        <v>37</v>
      </c>
      <c r="AS359" s="6" t="s">
        <v>38</v>
      </c>
      <c r="AT359" s="6">
        <v>2016</v>
      </c>
      <c r="AU359" s="7" t="s">
        <v>39</v>
      </c>
      <c r="AV359" s="7" t="s">
        <v>40</v>
      </c>
      <c r="AW359" s="7" t="s">
        <v>41</v>
      </c>
      <c r="AX359" s="7" t="s">
        <v>42</v>
      </c>
      <c r="AY359" s="7">
        <v>2017</v>
      </c>
      <c r="AZ359" s="6" t="s">
        <v>43</v>
      </c>
      <c r="BA359" s="6" t="s">
        <v>44</v>
      </c>
      <c r="BB359" s="6" t="s">
        <v>45</v>
      </c>
      <c r="BC359" s="6" t="s">
        <v>46</v>
      </c>
      <c r="BD359" s="6">
        <v>2018</v>
      </c>
      <c r="BE359" s="7" t="s">
        <v>47</v>
      </c>
      <c r="BF359" s="7" t="s">
        <v>48</v>
      </c>
      <c r="BG359" s="7" t="s">
        <v>49</v>
      </c>
      <c r="BH359" s="7" t="s">
        <v>50</v>
      </c>
      <c r="BI359" s="7">
        <v>2019</v>
      </c>
      <c r="BJ359" s="6" t="s">
        <v>51</v>
      </c>
      <c r="BK359" s="6" t="s">
        <v>52</v>
      </c>
      <c r="BL359" s="6" t="s">
        <v>53</v>
      </c>
      <c r="BM359" s="6" t="s">
        <v>54</v>
      </c>
      <c r="BN359" s="6">
        <v>2020</v>
      </c>
      <c r="BO359" s="7" t="s">
        <v>55</v>
      </c>
      <c r="BP359" s="7" t="s">
        <v>56</v>
      </c>
      <c r="BQ359" s="7" t="s">
        <v>57</v>
      </c>
      <c r="BR359" s="7" t="s">
        <v>58</v>
      </c>
      <c r="BS359" s="7">
        <v>2021</v>
      </c>
      <c r="BT359" s="6" t="s">
        <v>59</v>
      </c>
      <c r="BU359" s="6" t="s">
        <v>60</v>
      </c>
      <c r="BV359" s="6" t="s">
        <v>61</v>
      </c>
      <c r="BW359" s="6" t="s">
        <v>62</v>
      </c>
      <c r="BX359" s="6">
        <v>2022</v>
      </c>
      <c r="BY359" s="7" t="s">
        <v>63</v>
      </c>
      <c r="BZ359" s="7" t="s">
        <v>64</v>
      </c>
      <c r="CA359" s="7" t="s">
        <v>65</v>
      </c>
      <c r="CB359" s="7" t="s">
        <v>66</v>
      </c>
      <c r="CC359" s="7">
        <v>2023</v>
      </c>
      <c r="CD359" s="8" t="s">
        <v>67</v>
      </c>
      <c r="CE359" s="8" t="s">
        <v>68</v>
      </c>
      <c r="CF359" s="8" t="s">
        <v>69</v>
      </c>
      <c r="CG359" s="8" t="s">
        <v>70</v>
      </c>
      <c r="CH359" s="8">
        <v>2024</v>
      </c>
      <c r="CI359" s="7" t="s">
        <v>71</v>
      </c>
      <c r="CJ359" s="7" t="s">
        <v>72</v>
      </c>
      <c r="CK359" s="7" t="s">
        <v>73</v>
      </c>
      <c r="CL359" s="7" t="s">
        <v>74</v>
      </c>
      <c r="CM359" s="7">
        <v>2025</v>
      </c>
      <c r="CN359" s="8" t="s">
        <v>75</v>
      </c>
      <c r="CO359" s="8" t="s">
        <v>76</v>
      </c>
      <c r="CP359" s="8" t="s">
        <v>77</v>
      </c>
      <c r="CQ359" s="8" t="s">
        <v>78</v>
      </c>
      <c r="CR359" s="8">
        <v>2026</v>
      </c>
    </row>
    <row r="360" spans="1:96" s="9" customFormat="1" ht="13.5" thickBot="1" x14ac:dyDescent="0.35">
      <c r="A360" s="10">
        <v>-1</v>
      </c>
      <c r="B360" s="11">
        <f>A360-1</f>
        <v>-2</v>
      </c>
      <c r="C360" s="11">
        <f>B360-1</f>
        <v>-3</v>
      </c>
      <c r="D360" s="11">
        <f t="shared" ref="D360:BO360" si="1639">C360-1</f>
        <v>-4</v>
      </c>
      <c r="E360" s="11">
        <f t="shared" si="1639"/>
        <v>-5</v>
      </c>
      <c r="F360" s="11">
        <f t="shared" si="1639"/>
        <v>-6</v>
      </c>
      <c r="G360" s="11">
        <f t="shared" si="1639"/>
        <v>-7</v>
      </c>
      <c r="H360" s="11">
        <f t="shared" si="1639"/>
        <v>-8</v>
      </c>
      <c r="I360" s="11">
        <f t="shared" si="1639"/>
        <v>-9</v>
      </c>
      <c r="J360" s="11">
        <f t="shared" si="1639"/>
        <v>-10</v>
      </c>
      <c r="K360" s="11">
        <f t="shared" si="1639"/>
        <v>-11</v>
      </c>
      <c r="L360" s="11">
        <f t="shared" si="1639"/>
        <v>-12</v>
      </c>
      <c r="M360" s="11">
        <f t="shared" si="1639"/>
        <v>-13</v>
      </c>
      <c r="N360" s="11">
        <f t="shared" si="1639"/>
        <v>-14</v>
      </c>
      <c r="O360" s="11">
        <f t="shared" si="1639"/>
        <v>-15</v>
      </c>
      <c r="P360" s="11">
        <f t="shared" si="1639"/>
        <v>-16</v>
      </c>
      <c r="Q360" s="11">
        <f t="shared" si="1639"/>
        <v>-17</v>
      </c>
      <c r="R360" s="11">
        <f t="shared" si="1639"/>
        <v>-18</v>
      </c>
      <c r="S360" s="11">
        <f t="shared" si="1639"/>
        <v>-19</v>
      </c>
      <c r="T360" s="11">
        <f t="shared" si="1639"/>
        <v>-20</v>
      </c>
      <c r="U360" s="11">
        <f t="shared" si="1639"/>
        <v>-21</v>
      </c>
      <c r="V360" s="11">
        <f t="shared" si="1639"/>
        <v>-22</v>
      </c>
      <c r="W360" s="11">
        <f t="shared" si="1639"/>
        <v>-23</v>
      </c>
      <c r="X360" s="11">
        <f t="shared" si="1639"/>
        <v>-24</v>
      </c>
      <c r="Y360" s="11">
        <f t="shared" si="1639"/>
        <v>-25</v>
      </c>
      <c r="Z360" s="11">
        <f t="shared" si="1639"/>
        <v>-26</v>
      </c>
      <c r="AA360" s="11">
        <f t="shared" si="1639"/>
        <v>-27</v>
      </c>
      <c r="AB360" s="11">
        <f t="shared" si="1639"/>
        <v>-28</v>
      </c>
      <c r="AC360" s="11">
        <f t="shared" si="1639"/>
        <v>-29</v>
      </c>
      <c r="AD360" s="11">
        <f t="shared" si="1639"/>
        <v>-30</v>
      </c>
      <c r="AE360" s="11">
        <f t="shared" si="1639"/>
        <v>-31</v>
      </c>
      <c r="AF360" s="11">
        <f t="shared" si="1639"/>
        <v>-32</v>
      </c>
      <c r="AG360" s="11">
        <f t="shared" si="1639"/>
        <v>-33</v>
      </c>
      <c r="AH360" s="11">
        <f t="shared" si="1639"/>
        <v>-34</v>
      </c>
      <c r="AI360" s="11">
        <f t="shared" si="1639"/>
        <v>-35</v>
      </c>
      <c r="AJ360" s="11">
        <f t="shared" si="1639"/>
        <v>-36</v>
      </c>
      <c r="AK360" s="11">
        <f t="shared" si="1639"/>
        <v>-37</v>
      </c>
      <c r="AL360" s="11">
        <f t="shared" si="1639"/>
        <v>-38</v>
      </c>
      <c r="AM360" s="11">
        <f t="shared" si="1639"/>
        <v>-39</v>
      </c>
      <c r="AN360" s="11">
        <f t="shared" si="1639"/>
        <v>-40</v>
      </c>
      <c r="AO360" s="11">
        <f t="shared" si="1639"/>
        <v>-41</v>
      </c>
      <c r="AP360" s="11">
        <f t="shared" si="1639"/>
        <v>-42</v>
      </c>
      <c r="AQ360" s="11">
        <f t="shared" si="1639"/>
        <v>-43</v>
      </c>
      <c r="AR360" s="11">
        <f t="shared" si="1639"/>
        <v>-44</v>
      </c>
      <c r="AS360" s="11">
        <f t="shared" si="1639"/>
        <v>-45</v>
      </c>
      <c r="AT360" s="11">
        <f t="shared" si="1639"/>
        <v>-46</v>
      </c>
      <c r="AU360" s="11">
        <f t="shared" si="1639"/>
        <v>-47</v>
      </c>
      <c r="AV360" s="11">
        <f t="shared" si="1639"/>
        <v>-48</v>
      </c>
      <c r="AW360" s="11">
        <f t="shared" si="1639"/>
        <v>-49</v>
      </c>
      <c r="AX360" s="11">
        <f t="shared" si="1639"/>
        <v>-50</v>
      </c>
      <c r="AY360" s="11">
        <f t="shared" si="1639"/>
        <v>-51</v>
      </c>
      <c r="AZ360" s="11">
        <f t="shared" si="1639"/>
        <v>-52</v>
      </c>
      <c r="BA360" s="11">
        <f t="shared" si="1639"/>
        <v>-53</v>
      </c>
      <c r="BB360" s="11">
        <f t="shared" si="1639"/>
        <v>-54</v>
      </c>
      <c r="BC360" s="11">
        <f t="shared" si="1639"/>
        <v>-55</v>
      </c>
      <c r="BD360" s="11">
        <f t="shared" si="1639"/>
        <v>-56</v>
      </c>
      <c r="BE360" s="11">
        <f t="shared" si="1639"/>
        <v>-57</v>
      </c>
      <c r="BF360" s="11">
        <f t="shared" si="1639"/>
        <v>-58</v>
      </c>
      <c r="BG360" s="11">
        <f t="shared" si="1639"/>
        <v>-59</v>
      </c>
      <c r="BH360" s="11">
        <f t="shared" si="1639"/>
        <v>-60</v>
      </c>
      <c r="BI360" s="11">
        <f t="shared" si="1639"/>
        <v>-61</v>
      </c>
      <c r="BJ360" s="11">
        <f t="shared" si="1639"/>
        <v>-62</v>
      </c>
      <c r="BK360" s="11">
        <f t="shared" si="1639"/>
        <v>-63</v>
      </c>
      <c r="BL360" s="11">
        <f t="shared" si="1639"/>
        <v>-64</v>
      </c>
      <c r="BM360" s="11">
        <f t="shared" si="1639"/>
        <v>-65</v>
      </c>
      <c r="BN360" s="11">
        <f t="shared" si="1639"/>
        <v>-66</v>
      </c>
      <c r="BO360" s="11">
        <f t="shared" si="1639"/>
        <v>-67</v>
      </c>
      <c r="BP360" s="11">
        <f t="shared" ref="BP360:CR360" si="1640">BO360-1</f>
        <v>-68</v>
      </c>
      <c r="BQ360" s="11">
        <f t="shared" si="1640"/>
        <v>-69</v>
      </c>
      <c r="BR360" s="11">
        <f t="shared" si="1640"/>
        <v>-70</v>
      </c>
      <c r="BS360" s="11">
        <f t="shared" si="1640"/>
        <v>-71</v>
      </c>
      <c r="BT360" s="11">
        <f t="shared" si="1640"/>
        <v>-72</v>
      </c>
      <c r="BU360" s="11">
        <f t="shared" si="1640"/>
        <v>-73</v>
      </c>
      <c r="BV360" s="11">
        <f t="shared" si="1640"/>
        <v>-74</v>
      </c>
      <c r="BW360" s="11">
        <f t="shared" si="1640"/>
        <v>-75</v>
      </c>
      <c r="BX360" s="11">
        <f t="shared" si="1640"/>
        <v>-76</v>
      </c>
      <c r="BY360" s="11">
        <f t="shared" si="1640"/>
        <v>-77</v>
      </c>
      <c r="BZ360" s="11">
        <f t="shared" si="1640"/>
        <v>-78</v>
      </c>
      <c r="CA360" s="11">
        <f t="shared" si="1640"/>
        <v>-79</v>
      </c>
      <c r="CB360" s="11">
        <f t="shared" si="1640"/>
        <v>-80</v>
      </c>
      <c r="CC360" s="11">
        <f t="shared" si="1640"/>
        <v>-81</v>
      </c>
      <c r="CD360" s="11">
        <f t="shared" si="1640"/>
        <v>-82</v>
      </c>
      <c r="CE360" s="11">
        <f t="shared" si="1640"/>
        <v>-83</v>
      </c>
      <c r="CF360" s="11">
        <f t="shared" si="1640"/>
        <v>-84</v>
      </c>
      <c r="CG360" s="11">
        <f t="shared" si="1640"/>
        <v>-85</v>
      </c>
      <c r="CH360" s="11">
        <f t="shared" si="1640"/>
        <v>-86</v>
      </c>
      <c r="CI360" s="11">
        <f t="shared" si="1640"/>
        <v>-87</v>
      </c>
      <c r="CJ360" s="11">
        <f t="shared" si="1640"/>
        <v>-88</v>
      </c>
      <c r="CK360" s="11">
        <f t="shared" si="1640"/>
        <v>-89</v>
      </c>
      <c r="CL360" s="11">
        <f t="shared" si="1640"/>
        <v>-90</v>
      </c>
      <c r="CM360" s="11">
        <f t="shared" si="1640"/>
        <v>-91</v>
      </c>
      <c r="CN360" s="11">
        <f t="shared" si="1640"/>
        <v>-92</v>
      </c>
      <c r="CO360" s="11">
        <f t="shared" si="1640"/>
        <v>-93</v>
      </c>
      <c r="CP360" s="11">
        <f t="shared" si="1640"/>
        <v>-94</v>
      </c>
      <c r="CQ360" s="11">
        <f t="shared" si="1640"/>
        <v>-95</v>
      </c>
      <c r="CR360" s="11">
        <f t="shared" si="1640"/>
        <v>-96</v>
      </c>
    </row>
    <row r="361" spans="1:96" s="54" customFormat="1" ht="17.5" customHeight="1" thickTop="1" x14ac:dyDescent="0.4">
      <c r="A361" s="52" t="s">
        <v>106</v>
      </c>
      <c r="B361" s="38"/>
      <c r="C361" s="38"/>
      <c r="D361" s="38"/>
      <c r="E361" s="38"/>
      <c r="F361" s="38"/>
      <c r="G361" s="57">
        <f>IFERROR(G337/B337*100-100,"")</f>
        <v>5.4550688339656546</v>
      </c>
      <c r="H361" s="57">
        <f t="shared" ref="H361:BS364" si="1641">IFERROR(H337/C337*100-100,"")</f>
        <v>6.550659669519348</v>
      </c>
      <c r="I361" s="57">
        <f t="shared" si="1641"/>
        <v>7.9352326079649771</v>
      </c>
      <c r="J361" s="57">
        <f t="shared" si="1641"/>
        <v>8.6373335715055788</v>
      </c>
      <c r="K361" s="57">
        <f t="shared" si="1641"/>
        <v>7.183773263313185</v>
      </c>
      <c r="L361" s="57">
        <f t="shared" si="1641"/>
        <v>7.1044548638346896</v>
      </c>
      <c r="M361" s="57">
        <f t="shared" si="1641"/>
        <v>6.4594667931755509</v>
      </c>
      <c r="N361" s="57">
        <f t="shared" si="1641"/>
        <v>6.2533608237306453</v>
      </c>
      <c r="O361" s="57">
        <f t="shared" si="1641"/>
        <v>7.0875089401968694</v>
      </c>
      <c r="P361" s="57">
        <f t="shared" si="1641"/>
        <v>6.7268040248117416</v>
      </c>
      <c r="Q361" s="57">
        <f t="shared" si="1641"/>
        <v>3.4920052989165811</v>
      </c>
      <c r="R361" s="57" t="str">
        <f t="shared" si="1641"/>
        <v/>
      </c>
      <c r="S361" s="57">
        <f t="shared" si="1641"/>
        <v>6.3896799083500468</v>
      </c>
      <c r="T361" s="57">
        <f t="shared" si="1641"/>
        <v>3.2668850270826084</v>
      </c>
      <c r="U361" s="57" t="str">
        <f t="shared" si="1641"/>
        <v/>
      </c>
      <c r="V361" s="57">
        <f t="shared" si="1641"/>
        <v>3.8694177300713193</v>
      </c>
      <c r="W361" s="57" t="str">
        <f t="shared" si="1641"/>
        <v/>
      </c>
      <c r="X361" s="57">
        <f t="shared" si="1641"/>
        <v>4.8683361528666325</v>
      </c>
      <c r="Y361" s="57">
        <f t="shared" si="1641"/>
        <v>5.3156702135403862</v>
      </c>
      <c r="Z361" s="57" t="str">
        <f t="shared" si="1641"/>
        <v/>
      </c>
      <c r="AA361" s="57">
        <f t="shared" si="1641"/>
        <v>5.7468190086960504</v>
      </c>
      <c r="AB361" s="57">
        <f t="shared" si="1641"/>
        <v>5.1289664140572029</v>
      </c>
      <c r="AC361" s="57">
        <f t="shared" si="1641"/>
        <v>4.926522145075225</v>
      </c>
      <c r="AD361" s="57">
        <f t="shared" si="1641"/>
        <v>6.9634048623454561</v>
      </c>
      <c r="AE361" s="57">
        <f t="shared" si="1641"/>
        <v>5.7069610193468066</v>
      </c>
      <c r="AF361" s="57">
        <f t="shared" si="1641"/>
        <v>7.6534525350258917</v>
      </c>
      <c r="AG361" s="57">
        <f t="shared" si="1641"/>
        <v>7.2098669529666353</v>
      </c>
      <c r="AH361" s="57">
        <f t="shared" si="1641"/>
        <v>6.1415931991336095</v>
      </c>
      <c r="AI361" s="57">
        <f t="shared" si="1641"/>
        <v>7.8256683506906484</v>
      </c>
      <c r="AJ361" s="57">
        <f t="shared" si="1641"/>
        <v>7.2047203260377159</v>
      </c>
      <c r="AK361" s="57">
        <f t="shared" si="1641"/>
        <v>7.8861644082484048</v>
      </c>
      <c r="AL361" s="57">
        <f t="shared" si="1641"/>
        <v>8.6940428601883184</v>
      </c>
      <c r="AM361" s="57">
        <f t="shared" si="1641"/>
        <v>8.2305824760140922</v>
      </c>
      <c r="AN361" s="57">
        <f t="shared" si="1641"/>
        <v>9.2111782442512151</v>
      </c>
      <c r="AO361" s="57">
        <f t="shared" si="1641"/>
        <v>8.5262313106620127</v>
      </c>
      <c r="AP361" s="57">
        <f t="shared" si="1641"/>
        <v>8.3835824510293264</v>
      </c>
      <c r="AQ361" s="57">
        <f t="shared" si="1641"/>
        <v>7.5913656479820446</v>
      </c>
      <c r="AR361" s="57">
        <f t="shared" si="1641"/>
        <v>5.0393729240632439</v>
      </c>
      <c r="AS361" s="57">
        <f t="shared" si="1641"/>
        <v>1.9740714962732824</v>
      </c>
      <c r="AT361" s="57">
        <f t="shared" si="1641"/>
        <v>5.6061800560585908</v>
      </c>
      <c r="AU361" s="57">
        <f t="shared" si="1641"/>
        <v>4.1635653540866571</v>
      </c>
      <c r="AV361" s="57">
        <f t="shared" si="1641"/>
        <v>4.8322524491669867</v>
      </c>
      <c r="AW361" s="57">
        <f t="shared" si="1641"/>
        <v>6.7505707685314036</v>
      </c>
      <c r="AX361" s="57">
        <f t="shared" si="1641"/>
        <v>7.1284378356706526</v>
      </c>
      <c r="AY361" s="57">
        <f t="shared" si="1641"/>
        <v>5.7566844377331421</v>
      </c>
      <c r="AZ361" s="57">
        <f t="shared" si="1641"/>
        <v>4.6016784036259111</v>
      </c>
      <c r="BA361" s="57">
        <f t="shared" si="1641"/>
        <v>4.8895145334761878</v>
      </c>
      <c r="BB361" s="57">
        <f t="shared" si="1641"/>
        <v>5.282919082801655</v>
      </c>
      <c r="BC361" s="57">
        <f t="shared" si="1641"/>
        <v>6.6480190528854592</v>
      </c>
      <c r="BD361" s="57">
        <f t="shared" si="1641"/>
        <v>5.3882748793136841</v>
      </c>
      <c r="BE361" s="57">
        <f t="shared" si="1641"/>
        <v>7.6566477807509443</v>
      </c>
      <c r="BF361" s="57">
        <f t="shared" si="1641"/>
        <v>8.1107438912427057</v>
      </c>
      <c r="BG361" s="57">
        <f t="shared" si="1641"/>
        <v>7.6500433135628327</v>
      </c>
      <c r="BH361" s="57">
        <f t="shared" si="1641"/>
        <v>2.9753665953766983</v>
      </c>
      <c r="BI361" s="57">
        <f t="shared" si="1641"/>
        <v>6.5084189826480952</v>
      </c>
      <c r="BJ361" s="57">
        <f t="shared" si="1641"/>
        <v>6.7485304939294082</v>
      </c>
      <c r="BK361" s="57">
        <f t="shared" si="1641"/>
        <v>0.63738797469061126</v>
      </c>
      <c r="BL361" s="57">
        <f t="shared" si="1641"/>
        <v>-2.1436886189506339</v>
      </c>
      <c r="BM361" s="57">
        <f t="shared" si="1641"/>
        <v>-2.2816139320816973</v>
      </c>
      <c r="BN361" s="57">
        <f t="shared" si="1641"/>
        <v>0.61165760765456412</v>
      </c>
      <c r="BO361" s="57">
        <f t="shared" si="1641"/>
        <v>-1.265864656926567</v>
      </c>
      <c r="BP361" s="57">
        <f t="shared" si="1641"/>
        <v>0.93377834687524341</v>
      </c>
      <c r="BQ361" s="57">
        <f t="shared" si="1641"/>
        <v>0.16145883063684607</v>
      </c>
      <c r="BR361" s="57">
        <f t="shared" si="1641"/>
        <v>3.5966414847504353</v>
      </c>
      <c r="BS361" s="57">
        <f t="shared" si="1641"/>
        <v>0.860360307871332</v>
      </c>
      <c r="BT361" s="57">
        <f t="shared" ref="BT361:CR365" si="1642">IFERROR(BT337/BO337*100-100,"")</f>
        <v>4.196234700358616</v>
      </c>
      <c r="BU361" s="57">
        <f t="shared" si="1642"/>
        <v>5.4832495842365603</v>
      </c>
      <c r="BV361" s="57">
        <f t="shared" si="1642"/>
        <v>6.3642239990880967</v>
      </c>
      <c r="BW361" s="57">
        <f t="shared" si="1642"/>
        <v>3.9879155700545823</v>
      </c>
      <c r="BX361" s="57">
        <f t="shared" si="1642"/>
        <v>4.9980482121173111</v>
      </c>
      <c r="BY361" s="57">
        <f t="shared" si="1642"/>
        <v>3.096707690038798</v>
      </c>
      <c r="BZ361" s="57">
        <f t="shared" si="1642"/>
        <v>2.6206737499537809</v>
      </c>
      <c r="CA361" s="57">
        <f t="shared" si="1642"/>
        <v>2.24576900362743</v>
      </c>
      <c r="CB361" s="57">
        <f t="shared" si="1642"/>
        <v>2.6839823944023777</v>
      </c>
      <c r="CC361" s="57">
        <f t="shared" si="1642"/>
        <v>2.6588615452367605</v>
      </c>
      <c r="CD361" s="57">
        <f t="shared" si="1642"/>
        <v>5.405790848977972</v>
      </c>
      <c r="CE361" s="57">
        <f t="shared" si="1642"/>
        <v>3.8070623439875533</v>
      </c>
      <c r="CF361" s="57">
        <f t="shared" si="1642"/>
        <v>3.4242565525066908</v>
      </c>
      <c r="CG361" s="57">
        <f t="shared" si="1642"/>
        <v>4.6444768354164836</v>
      </c>
      <c r="CH361" s="57">
        <f t="shared" si="1642"/>
        <v>4.317707948622612</v>
      </c>
      <c r="CI361" s="57">
        <f t="shared" si="1642"/>
        <v>3.8562568841056049</v>
      </c>
      <c r="CJ361" s="57">
        <f t="shared" si="1642"/>
        <v>4.0200222631952442</v>
      </c>
      <c r="CK361" s="57">
        <f t="shared" si="1642"/>
        <v>3.6677045759627021</v>
      </c>
      <c r="CL361" s="57">
        <f t="shared" si="1642"/>
        <v>3.658691444153277</v>
      </c>
      <c r="CM361" s="57">
        <f t="shared" si="1642"/>
        <v>3.7991482929012648</v>
      </c>
      <c r="CN361" s="57">
        <f t="shared" si="1642"/>
        <v>-100</v>
      </c>
      <c r="CO361" s="57">
        <f t="shared" si="1642"/>
        <v>-100</v>
      </c>
      <c r="CP361" s="57">
        <f t="shared" si="1642"/>
        <v>-100</v>
      </c>
      <c r="CQ361" s="57">
        <f t="shared" si="1642"/>
        <v>-100</v>
      </c>
      <c r="CR361" s="57">
        <f t="shared" si="1642"/>
        <v>-100</v>
      </c>
    </row>
    <row r="362" spans="1:96" s="54" customFormat="1" ht="17.5" customHeight="1" x14ac:dyDescent="0.4">
      <c r="A362" s="52" t="s">
        <v>107</v>
      </c>
      <c r="B362" s="38"/>
      <c r="C362" s="38"/>
      <c r="D362" s="38"/>
      <c r="E362" s="38"/>
      <c r="F362" s="38"/>
      <c r="G362" s="57">
        <f t="shared" ref="G362:V365" si="1643">IFERROR(G338/B338*100-100,"")</f>
        <v>18.435872131936179</v>
      </c>
      <c r="H362" s="57">
        <f t="shared" si="1641"/>
        <v>10.926514689695452</v>
      </c>
      <c r="I362" s="57">
        <f t="shared" si="1641"/>
        <v>3.4281662604155798</v>
      </c>
      <c r="J362" s="57">
        <f t="shared" si="1641"/>
        <v>14.596438111034075</v>
      </c>
      <c r="K362" s="57">
        <f t="shared" si="1641"/>
        <v>11.449225942489875</v>
      </c>
      <c r="L362" s="57">
        <f t="shared" si="1641"/>
        <v>3.1927842149543864</v>
      </c>
      <c r="M362" s="57">
        <f t="shared" si="1641"/>
        <v>0.69507431284230847</v>
      </c>
      <c r="N362" s="57">
        <f t="shared" si="1641"/>
        <v>2.9980665958639889</v>
      </c>
      <c r="O362" s="57">
        <f t="shared" si="1641"/>
        <v>6.989311226631159</v>
      </c>
      <c r="P362" s="57">
        <f t="shared" si="1641"/>
        <v>3.6161650535685226</v>
      </c>
      <c r="Q362" s="57">
        <f t="shared" si="1641"/>
        <v>4.443001000751039</v>
      </c>
      <c r="R362" s="57" t="str">
        <f t="shared" si="1641"/>
        <v/>
      </c>
      <c r="S362" s="57">
        <f t="shared" si="1641"/>
        <v>16.479623003815675</v>
      </c>
      <c r="T362" s="57">
        <f t="shared" si="1641"/>
        <v>7.0306022174508627</v>
      </c>
      <c r="U362" s="57" t="str">
        <f t="shared" si="1641"/>
        <v/>
      </c>
      <c r="V362" s="57">
        <f t="shared" si="1641"/>
        <v>7.5343305961821443</v>
      </c>
      <c r="W362" s="57" t="str">
        <f t="shared" si="1641"/>
        <v/>
      </c>
      <c r="X362" s="57">
        <f t="shared" si="1641"/>
        <v>8.6763505081401036</v>
      </c>
      <c r="Y362" s="57">
        <f t="shared" si="1641"/>
        <v>7.0183664816165816</v>
      </c>
      <c r="Z362" s="57" t="str">
        <f t="shared" si="1641"/>
        <v/>
      </c>
      <c r="AA362" s="57">
        <f t="shared" si="1641"/>
        <v>12.968222693904679</v>
      </c>
      <c r="AB362" s="57">
        <f t="shared" si="1641"/>
        <v>7.0906945611119596</v>
      </c>
      <c r="AC362" s="57">
        <f t="shared" si="1641"/>
        <v>8.456920178506806</v>
      </c>
      <c r="AD362" s="57">
        <f t="shared" si="1641"/>
        <v>8.5863065470990847</v>
      </c>
      <c r="AE362" s="57">
        <f t="shared" si="1641"/>
        <v>9.0583777509097132</v>
      </c>
      <c r="AF362" s="57">
        <f t="shared" si="1641"/>
        <v>6.7102325649291998</v>
      </c>
      <c r="AG362" s="57">
        <f t="shared" si="1641"/>
        <v>1.2878499455024155</v>
      </c>
      <c r="AH362" s="57">
        <f t="shared" si="1641"/>
        <v>4.2995531790252812</v>
      </c>
      <c r="AI362" s="57">
        <f t="shared" si="1641"/>
        <v>7.4115111745960149</v>
      </c>
      <c r="AJ362" s="57">
        <f t="shared" si="1641"/>
        <v>4.9278274904071253</v>
      </c>
      <c r="AK362" s="57">
        <f t="shared" si="1641"/>
        <v>9.5591188321175764</v>
      </c>
      <c r="AL362" s="57">
        <f t="shared" si="1641"/>
        <v>7.0196131034032874</v>
      </c>
      <c r="AM362" s="57">
        <f t="shared" si="1641"/>
        <v>6.5817053098566447</v>
      </c>
      <c r="AN362" s="57">
        <f t="shared" si="1641"/>
        <v>5.8458420247518745</v>
      </c>
      <c r="AO362" s="57">
        <f t="shared" si="1641"/>
        <v>7.1088314203292811</v>
      </c>
      <c r="AP362" s="57">
        <f t="shared" si="1641"/>
        <v>7.0090858288060787</v>
      </c>
      <c r="AQ362" s="57">
        <f t="shared" si="1641"/>
        <v>2.7757488990776835</v>
      </c>
      <c r="AR362" s="57">
        <f t="shared" si="1641"/>
        <v>0.94873861462939146</v>
      </c>
      <c r="AS362" s="57">
        <f t="shared" si="1641"/>
        <v>1.3382826256154203</v>
      </c>
      <c r="AT362" s="57">
        <f t="shared" si="1641"/>
        <v>2.815847873171279</v>
      </c>
      <c r="AU362" s="57">
        <f t="shared" si="1641"/>
        <v>2.3172290816647774</v>
      </c>
      <c r="AV362" s="57">
        <f t="shared" si="1641"/>
        <v>1.7343963999311853</v>
      </c>
      <c r="AW362" s="57">
        <f t="shared" si="1641"/>
        <v>4.4455991472900962</v>
      </c>
      <c r="AX362" s="57">
        <f t="shared" si="1641"/>
        <v>1.8143821430453215</v>
      </c>
      <c r="AY362" s="57">
        <f t="shared" si="1641"/>
        <v>2.5780856577577822</v>
      </c>
      <c r="AZ362" s="57">
        <f t="shared" si="1641"/>
        <v>0.14433874530128321</v>
      </c>
      <c r="BA362" s="57">
        <f t="shared" si="1641"/>
        <v>0.50616571973201019</v>
      </c>
      <c r="BB362" s="57">
        <f t="shared" si="1641"/>
        <v>1.4343418246284045E-2</v>
      </c>
      <c r="BC362" s="57">
        <f t="shared" si="1641"/>
        <v>7.1818013843568451E-2</v>
      </c>
      <c r="BD362" s="57">
        <f t="shared" si="1641"/>
        <v>0.17656313275647051</v>
      </c>
      <c r="BE362" s="57">
        <f t="shared" si="1641"/>
        <v>0.20355461928194529</v>
      </c>
      <c r="BF362" s="57">
        <f t="shared" si="1641"/>
        <v>0.24523715002627</v>
      </c>
      <c r="BG362" s="57">
        <f t="shared" si="1641"/>
        <v>1.6048923501690098</v>
      </c>
      <c r="BH362" s="57">
        <f t="shared" si="1641"/>
        <v>-1.9363111367536305</v>
      </c>
      <c r="BI362" s="57">
        <f t="shared" si="1641"/>
        <v>-1.7595765143724407E-2</v>
      </c>
      <c r="BJ362" s="57">
        <f t="shared" si="1641"/>
        <v>-35.526451250633556</v>
      </c>
      <c r="BK362" s="57">
        <f t="shared" si="1641"/>
        <v>-26.711375741901875</v>
      </c>
      <c r="BL362" s="57">
        <f t="shared" si="1641"/>
        <v>-29.113424036309894</v>
      </c>
      <c r="BM362" s="57">
        <f t="shared" si="1641"/>
        <v>-13.310809240498372</v>
      </c>
      <c r="BN362" s="57">
        <f t="shared" si="1641"/>
        <v>-25.692995909753947</v>
      </c>
      <c r="BO362" s="57">
        <f t="shared" si="1641"/>
        <v>-26.704843338559897</v>
      </c>
      <c r="BP362" s="57">
        <f t="shared" si="1641"/>
        <v>19.254444085848377</v>
      </c>
      <c r="BQ362" s="57">
        <f t="shared" si="1641"/>
        <v>-9.2450362741730601</v>
      </c>
      <c r="BR362" s="57">
        <f t="shared" si="1641"/>
        <v>18.116711696010185</v>
      </c>
      <c r="BS362" s="57">
        <f t="shared" si="1641"/>
        <v>2.728411664957946</v>
      </c>
      <c r="BT362" s="57">
        <f t="shared" si="1642"/>
        <v>2.8210731074363764</v>
      </c>
      <c r="BU362" s="57">
        <f t="shared" si="1642"/>
        <v>-26.292686685783607</v>
      </c>
      <c r="BV362" s="57">
        <f t="shared" si="1642"/>
        <v>12.435330895857604</v>
      </c>
      <c r="BW362" s="57">
        <f t="shared" si="1642"/>
        <v>-2.8800589694499052</v>
      </c>
      <c r="BX362" s="57">
        <f t="shared" si="1642"/>
        <v>-5.1007723522579482</v>
      </c>
      <c r="BY362" s="57">
        <f t="shared" si="1642"/>
        <v>2.1909020925442633</v>
      </c>
      <c r="BZ362" s="57">
        <f t="shared" si="1642"/>
        <v>20.789138229997988</v>
      </c>
      <c r="CA362" s="57">
        <f t="shared" si="1642"/>
        <v>-8.5109140612820084</v>
      </c>
      <c r="CB362" s="57">
        <f t="shared" si="1642"/>
        <v>-5.295207061863735</v>
      </c>
      <c r="CC362" s="57">
        <f t="shared" si="1642"/>
        <v>0.5441271126620677</v>
      </c>
      <c r="CD362" s="57">
        <f t="shared" si="1642"/>
        <v>7.8349097724606196</v>
      </c>
      <c r="CE362" s="57">
        <f t="shared" si="1642"/>
        <v>1.0391949945270653</v>
      </c>
      <c r="CF362" s="57">
        <f t="shared" si="1642"/>
        <v>1.2037825366147672</v>
      </c>
      <c r="CG362" s="57">
        <f t="shared" si="1642"/>
        <v>1.7311785784365838</v>
      </c>
      <c r="CH362" s="57">
        <f t="shared" si="1642"/>
        <v>2.3701708605490666</v>
      </c>
      <c r="CI362" s="57">
        <f t="shared" si="1642"/>
        <v>10.621318499695292</v>
      </c>
      <c r="CJ362" s="57">
        <f t="shared" si="1642"/>
        <v>-13.007668872382155</v>
      </c>
      <c r="CK362" s="57">
        <f t="shared" si="1642"/>
        <v>-6.4127262675241639</v>
      </c>
      <c r="CL362" s="57">
        <f t="shared" si="1642"/>
        <v>-21.145252655126484</v>
      </c>
      <c r="CM362" s="57">
        <f t="shared" si="1642"/>
        <v>-10.455409863780275</v>
      </c>
      <c r="CN362" s="57">
        <f t="shared" si="1642"/>
        <v>-100</v>
      </c>
      <c r="CO362" s="57">
        <f t="shared" si="1642"/>
        <v>-100</v>
      </c>
      <c r="CP362" s="57">
        <f t="shared" si="1642"/>
        <v>-100</v>
      </c>
      <c r="CQ362" s="57">
        <f t="shared" si="1642"/>
        <v>-100</v>
      </c>
      <c r="CR362" s="57">
        <f t="shared" si="1642"/>
        <v>-100</v>
      </c>
    </row>
    <row r="363" spans="1:96" s="54" customFormat="1" ht="17.5" customHeight="1" x14ac:dyDescent="0.4">
      <c r="A363" s="52" t="s">
        <v>108</v>
      </c>
      <c r="B363" s="38"/>
      <c r="C363" s="38"/>
      <c r="D363" s="38"/>
      <c r="E363" s="38"/>
      <c r="F363" s="38"/>
      <c r="G363" s="57">
        <f t="shared" si="1643"/>
        <v>-10.901373572321916</v>
      </c>
      <c r="H363" s="57">
        <f t="shared" si="1641"/>
        <v>-9.7933405833861826</v>
      </c>
      <c r="I363" s="57">
        <f t="shared" si="1641"/>
        <v>-11.146020729680146</v>
      </c>
      <c r="J363" s="57">
        <f t="shared" si="1641"/>
        <v>-5.2691678408654354</v>
      </c>
      <c r="K363" s="57">
        <f t="shared" si="1641"/>
        <v>-9.2768028082567895</v>
      </c>
      <c r="L363" s="57">
        <f t="shared" si="1641"/>
        <v>2.3502842553948255</v>
      </c>
      <c r="M363" s="57">
        <f t="shared" si="1641"/>
        <v>17.792438535388186</v>
      </c>
      <c r="N363" s="57">
        <f t="shared" si="1641"/>
        <v>17.17510869165217</v>
      </c>
      <c r="O363" s="57">
        <f t="shared" si="1641"/>
        <v>8.8581648150263277</v>
      </c>
      <c r="P363" s="57">
        <f t="shared" si="1641"/>
        <v>11.595402311678129</v>
      </c>
      <c r="Q363" s="57">
        <f t="shared" si="1641"/>
        <v>27.307691522221916</v>
      </c>
      <c r="R363" s="57" t="str">
        <f t="shared" si="1641"/>
        <v/>
      </c>
      <c r="S363" s="57">
        <f t="shared" si="1641"/>
        <v>12.857025919437604</v>
      </c>
      <c r="T363" s="57">
        <f t="shared" si="1641"/>
        <v>22.674354330742446</v>
      </c>
      <c r="U363" s="57" t="str">
        <f t="shared" si="1641"/>
        <v/>
      </c>
      <c r="V363" s="57">
        <f t="shared" si="1641"/>
        <v>25.886094343112887</v>
      </c>
      <c r="W363" s="57" t="str">
        <f t="shared" si="1641"/>
        <v/>
      </c>
      <c r="X363" s="57">
        <f t="shared" si="1641"/>
        <v>24.420185391445415</v>
      </c>
      <c r="Y363" s="57">
        <f t="shared" si="1641"/>
        <v>18.727827426663708</v>
      </c>
      <c r="Z363" s="57" t="str">
        <f t="shared" si="1641"/>
        <v/>
      </c>
      <c r="AA363" s="57">
        <f t="shared" si="1641"/>
        <v>16.882475484864884</v>
      </c>
      <c r="AB363" s="57">
        <f t="shared" si="1641"/>
        <v>-4.8828158483883897</v>
      </c>
      <c r="AC363" s="57">
        <f t="shared" si="1641"/>
        <v>0.47405944668703626</v>
      </c>
      <c r="AD363" s="57">
        <f t="shared" si="1641"/>
        <v>8.6061203600163623</v>
      </c>
      <c r="AE363" s="57">
        <f t="shared" si="1641"/>
        <v>5.0975536359405567</v>
      </c>
      <c r="AF363" s="57">
        <f t="shared" si="1641"/>
        <v>2.4510557238185413</v>
      </c>
      <c r="AG363" s="57">
        <f t="shared" si="1641"/>
        <v>11.022911381705654</v>
      </c>
      <c r="AH363" s="57">
        <f t="shared" si="1641"/>
        <v>8.8643137155112584</v>
      </c>
      <c r="AI363" s="57">
        <f t="shared" si="1641"/>
        <v>5.3884983082342188</v>
      </c>
      <c r="AJ363" s="57">
        <f t="shared" si="1641"/>
        <v>6.7450086101400899</v>
      </c>
      <c r="AK363" s="57">
        <f t="shared" si="1641"/>
        <v>-4.32162265268488</v>
      </c>
      <c r="AL363" s="57">
        <f t="shared" si="1641"/>
        <v>8.5678252231059133</v>
      </c>
      <c r="AM363" s="57">
        <f t="shared" si="1641"/>
        <v>10.243079988092703</v>
      </c>
      <c r="AN363" s="57">
        <f t="shared" si="1641"/>
        <v>14.109047406117199</v>
      </c>
      <c r="AO363" s="57">
        <f t="shared" si="1641"/>
        <v>7.1248382709664639</v>
      </c>
      <c r="AP363" s="57">
        <f t="shared" si="1641"/>
        <v>10.811936033696171</v>
      </c>
      <c r="AQ363" s="57">
        <f t="shared" si="1641"/>
        <v>7.3820109146099213</v>
      </c>
      <c r="AR363" s="57">
        <f t="shared" si="1641"/>
        <v>6.6408353468912793</v>
      </c>
      <c r="AS363" s="57">
        <f t="shared" si="1641"/>
        <v>5.4311168925243862</v>
      </c>
      <c r="AT363" s="57">
        <f t="shared" si="1641"/>
        <v>7.4380453117067731</v>
      </c>
      <c r="AU363" s="57">
        <f t="shared" si="1641"/>
        <v>6.7535976092199803</v>
      </c>
      <c r="AV363" s="57">
        <f t="shared" si="1641"/>
        <v>7.4225442893349936</v>
      </c>
      <c r="AW363" s="57">
        <f t="shared" si="1641"/>
        <v>6.4761701283558608</v>
      </c>
      <c r="AX363" s="57">
        <f t="shared" si="1641"/>
        <v>5.2677873149793726</v>
      </c>
      <c r="AY363" s="57">
        <f t="shared" si="1641"/>
        <v>6.4439733683927471</v>
      </c>
      <c r="AZ363" s="57">
        <f t="shared" si="1641"/>
        <v>7.8287483990803679</v>
      </c>
      <c r="BA363" s="57">
        <f t="shared" si="1641"/>
        <v>6.134524905113949</v>
      </c>
      <c r="BB363" s="57">
        <f t="shared" si="1641"/>
        <v>4.6338332804001965</v>
      </c>
      <c r="BC363" s="57">
        <f t="shared" si="1641"/>
        <v>1.6487846106934398</v>
      </c>
      <c r="BD363" s="57">
        <f t="shared" si="1641"/>
        <v>4.9562004487908098</v>
      </c>
      <c r="BE363" s="57">
        <f t="shared" si="1641"/>
        <v>3.0740562757185046</v>
      </c>
      <c r="BF363" s="57">
        <f t="shared" si="1641"/>
        <v>4.1675705527761409</v>
      </c>
      <c r="BG363" s="57">
        <f t="shared" si="1641"/>
        <v>7.3008015065449996</v>
      </c>
      <c r="BH363" s="57">
        <f t="shared" si="1641"/>
        <v>9.1753748859922553</v>
      </c>
      <c r="BI363" s="57">
        <f t="shared" si="1641"/>
        <v>5.9882818015919668</v>
      </c>
      <c r="BJ363" s="57">
        <f t="shared" si="1641"/>
        <v>2.1378304935500694</v>
      </c>
      <c r="BK363" s="57">
        <f t="shared" si="1641"/>
        <v>1.0092858236877049</v>
      </c>
      <c r="BL363" s="57">
        <f t="shared" si="1641"/>
        <v>0.98999490295088322</v>
      </c>
      <c r="BM363" s="57">
        <f t="shared" si="1641"/>
        <v>-1.9818689206242084</v>
      </c>
      <c r="BN363" s="57">
        <f t="shared" si="1641"/>
        <v>0.47315126623568915</v>
      </c>
      <c r="BO363" s="57">
        <f t="shared" si="1641"/>
        <v>6.0546622741523208</v>
      </c>
      <c r="BP363" s="57">
        <f t="shared" si="1641"/>
        <v>5.1750257409704119</v>
      </c>
      <c r="BQ363" s="57">
        <f t="shared" si="1641"/>
        <v>6.0588626758898414</v>
      </c>
      <c r="BR363" s="57">
        <f t="shared" si="1641"/>
        <v>5.9380299176115443</v>
      </c>
      <c r="BS363" s="57">
        <f t="shared" si="1641"/>
        <v>5.810828900063953</v>
      </c>
      <c r="BT363" s="57">
        <f t="shared" si="1642"/>
        <v>-2.3852136319155903</v>
      </c>
      <c r="BU363" s="57">
        <f t="shared" si="1642"/>
        <v>4.8855855579908507</v>
      </c>
      <c r="BV363" s="57">
        <f t="shared" si="1642"/>
        <v>-1.1553708257518167</v>
      </c>
      <c r="BW363" s="57">
        <f t="shared" si="1642"/>
        <v>4.8067661191362845</v>
      </c>
      <c r="BX363" s="57">
        <f t="shared" si="1642"/>
        <v>1.5660919634576089</v>
      </c>
      <c r="BY363" s="57">
        <f t="shared" si="1642"/>
        <v>3.9679646136187046</v>
      </c>
      <c r="BZ363" s="57">
        <f t="shared" si="1642"/>
        <v>-1.9737034012311767</v>
      </c>
      <c r="CA363" s="57">
        <f t="shared" si="1642"/>
        <v>4.0123262627516283</v>
      </c>
      <c r="CB363" s="57">
        <f t="shared" si="1642"/>
        <v>-2.5250640763497074</v>
      </c>
      <c r="CC363" s="57">
        <f t="shared" si="1642"/>
        <v>0.74729397482882121</v>
      </c>
      <c r="CD363" s="57">
        <f t="shared" si="1642"/>
        <v>2.1110008350274683</v>
      </c>
      <c r="CE363" s="57">
        <f t="shared" si="1642"/>
        <v>2.5541880018291181</v>
      </c>
      <c r="CF363" s="57">
        <f t="shared" si="1642"/>
        <v>0.88823522950835354</v>
      </c>
      <c r="CG363" s="57">
        <f t="shared" si="1642"/>
        <v>3.1699647658389125</v>
      </c>
      <c r="CH363" s="57">
        <f t="shared" si="1642"/>
        <v>2.1781672522137825</v>
      </c>
      <c r="CI363" s="57">
        <f t="shared" si="1642"/>
        <v>1.9020185870333535</v>
      </c>
      <c r="CJ363" s="57">
        <f t="shared" si="1642"/>
        <v>0.8685741959691029</v>
      </c>
      <c r="CK363" s="57">
        <f t="shared" si="1642"/>
        <v>0.72791769165583275</v>
      </c>
      <c r="CL363" s="57">
        <f t="shared" si="1642"/>
        <v>0.66475177037092692</v>
      </c>
      <c r="CM363" s="57">
        <f t="shared" si="1642"/>
        <v>1.0250714976015587</v>
      </c>
      <c r="CN363" s="57">
        <f t="shared" si="1642"/>
        <v>-100</v>
      </c>
      <c r="CO363" s="57">
        <f t="shared" si="1642"/>
        <v>-100</v>
      </c>
      <c r="CP363" s="57">
        <f t="shared" si="1642"/>
        <v>-100</v>
      </c>
      <c r="CQ363" s="57">
        <f t="shared" si="1642"/>
        <v>-100</v>
      </c>
      <c r="CR363" s="57">
        <f t="shared" si="1642"/>
        <v>-100</v>
      </c>
    </row>
    <row r="364" spans="1:96" s="54" customFormat="1" ht="17.5" customHeight="1" x14ac:dyDescent="0.4">
      <c r="A364" s="52" t="s">
        <v>109</v>
      </c>
      <c r="B364" s="38"/>
      <c r="C364" s="38"/>
      <c r="D364" s="38"/>
      <c r="E364" s="38"/>
      <c r="F364" s="38"/>
      <c r="G364" s="57">
        <f t="shared" si="1643"/>
        <v>0.71841672668095669</v>
      </c>
      <c r="H364" s="57">
        <f t="shared" si="1641"/>
        <v>0.54183884776217894</v>
      </c>
      <c r="I364" s="57">
        <f t="shared" si="1641"/>
        <v>-4.1038301148624328</v>
      </c>
      <c r="J364" s="57">
        <f t="shared" si="1641"/>
        <v>6.659581544900945</v>
      </c>
      <c r="K364" s="57">
        <f t="shared" si="1641"/>
        <v>0.97084300326221751</v>
      </c>
      <c r="L364" s="57">
        <f t="shared" si="1641"/>
        <v>1.9526808235409163</v>
      </c>
      <c r="M364" s="57">
        <f t="shared" si="1641"/>
        <v>5.0593149399182664</v>
      </c>
      <c r="N364" s="57">
        <f t="shared" si="1641"/>
        <v>6.7000768312890386</v>
      </c>
      <c r="O364" s="57">
        <f t="shared" si="1641"/>
        <v>8.0832063522424278</v>
      </c>
      <c r="P364" s="57">
        <f t="shared" si="1641"/>
        <v>5.6561880899475909</v>
      </c>
      <c r="Q364" s="57">
        <f t="shared" si="1641"/>
        <v>12.254590293576939</v>
      </c>
      <c r="R364" s="57" t="str">
        <f t="shared" si="1641"/>
        <v/>
      </c>
      <c r="S364" s="57">
        <f t="shared" si="1641"/>
        <v>15.358770495399284</v>
      </c>
      <c r="T364" s="57">
        <f t="shared" si="1641"/>
        <v>7.488122185126727</v>
      </c>
      <c r="U364" s="57" t="str">
        <f t="shared" si="1641"/>
        <v/>
      </c>
      <c r="V364" s="57">
        <f t="shared" si="1641"/>
        <v>13.354733196833905</v>
      </c>
      <c r="W364" s="57" t="str">
        <f t="shared" si="1641"/>
        <v/>
      </c>
      <c r="X364" s="57">
        <f t="shared" si="1641"/>
        <v>15.887816219110661</v>
      </c>
      <c r="Y364" s="57">
        <f t="shared" si="1641"/>
        <v>15.882972321069872</v>
      </c>
      <c r="Z364" s="57" t="str">
        <f t="shared" si="1641"/>
        <v/>
      </c>
      <c r="AA364" s="57">
        <f t="shared" si="1641"/>
        <v>21.575485393970027</v>
      </c>
      <c r="AB364" s="57">
        <f t="shared" si="1641"/>
        <v>2.9904856465814618</v>
      </c>
      <c r="AC364" s="57">
        <f t="shared" si="1641"/>
        <v>3.9157269360451323</v>
      </c>
      <c r="AD364" s="57">
        <f t="shared" si="1641"/>
        <v>6.4009131073068772</v>
      </c>
      <c r="AE364" s="57">
        <f t="shared" si="1641"/>
        <v>8.0313588268054588</v>
      </c>
      <c r="AF364" s="57">
        <f t="shared" si="1641"/>
        <v>2.4428366617843977</v>
      </c>
      <c r="AG364" s="57">
        <f t="shared" si="1641"/>
        <v>5.0003766570933408</v>
      </c>
      <c r="AH364" s="57">
        <f t="shared" si="1641"/>
        <v>6.1966093998296685</v>
      </c>
      <c r="AI364" s="57">
        <f t="shared" si="1641"/>
        <v>10.577286931612704</v>
      </c>
      <c r="AJ364" s="57">
        <f t="shared" si="1641"/>
        <v>6.2393148646745118</v>
      </c>
      <c r="AK364" s="57">
        <f t="shared" si="1641"/>
        <v>4.935316078802515</v>
      </c>
      <c r="AL364" s="57">
        <f t="shared" si="1641"/>
        <v>10.611338746555148</v>
      </c>
      <c r="AM364" s="57">
        <f t="shared" si="1641"/>
        <v>10.109467392766234</v>
      </c>
      <c r="AN364" s="57">
        <f t="shared" si="1641"/>
        <v>11.182422210373005</v>
      </c>
      <c r="AO364" s="57">
        <f t="shared" si="1641"/>
        <v>9.3713220723524273</v>
      </c>
      <c r="AP364" s="57">
        <f t="shared" si="1641"/>
        <v>11.519204347237164</v>
      </c>
      <c r="AQ364" s="57">
        <f t="shared" si="1641"/>
        <v>5.3649351643389167</v>
      </c>
      <c r="AR364" s="57">
        <f t="shared" si="1641"/>
        <v>2.7986140226825995</v>
      </c>
      <c r="AS364" s="57">
        <f t="shared" si="1641"/>
        <v>0.59029094898461665</v>
      </c>
      <c r="AT364" s="57">
        <f t="shared" si="1641"/>
        <v>4.6454294894307679</v>
      </c>
      <c r="AU364" s="57">
        <f t="shared" si="1641"/>
        <v>2.1494101592172399</v>
      </c>
      <c r="AV364" s="57">
        <f t="shared" si="1641"/>
        <v>3.7829965201410687</v>
      </c>
      <c r="AW364" s="57">
        <f t="shared" si="1641"/>
        <v>5.960092505466136</v>
      </c>
      <c r="AX364" s="57">
        <f t="shared" si="1641"/>
        <v>4.2866095739976515</v>
      </c>
      <c r="AY364" s="57">
        <f t="shared" si="1641"/>
        <v>4.0990547163730184</v>
      </c>
      <c r="AZ364" s="57">
        <f t="shared" si="1641"/>
        <v>3.0091870804503458</v>
      </c>
      <c r="BA364" s="57">
        <f t="shared" si="1641"/>
        <v>2.3932690391258831</v>
      </c>
      <c r="BB364" s="57">
        <f t="shared" si="1641"/>
        <v>0.27289367117271013</v>
      </c>
      <c r="BC364" s="57">
        <f t="shared" si="1641"/>
        <v>0.40470002589812282</v>
      </c>
      <c r="BD364" s="57">
        <f t="shared" si="1641"/>
        <v>1.4307613993007635</v>
      </c>
      <c r="BE364" s="57">
        <f t="shared" si="1641"/>
        <v>1.6854840506753419</v>
      </c>
      <c r="BF364" s="57">
        <f t="shared" si="1641"/>
        <v>2.4299816939221444</v>
      </c>
      <c r="BG364" s="57">
        <f t="shared" si="1641"/>
        <v>6.1040181498720898</v>
      </c>
      <c r="BH364" s="57">
        <f t="shared" si="1641"/>
        <v>1.4736439618487083</v>
      </c>
      <c r="BI364" s="57">
        <f t="shared" si="1641"/>
        <v>2.9305378465119105</v>
      </c>
      <c r="BJ364" s="57">
        <f t="shared" si="1641"/>
        <v>-17.636777380838737</v>
      </c>
      <c r="BK364" s="57">
        <f t="shared" si="1641"/>
        <v>-13.821985786007616</v>
      </c>
      <c r="BL364" s="57">
        <f t="shared" si="1641"/>
        <v>-16.490005702712978</v>
      </c>
      <c r="BM364" s="57">
        <f t="shared" si="1641"/>
        <v>-7.7913490066117674</v>
      </c>
      <c r="BN364" s="57">
        <f t="shared" si="1641"/>
        <v>-13.740983114687893</v>
      </c>
      <c r="BO364" s="57">
        <f t="shared" si="1641"/>
        <v>-7.3651921047481039</v>
      </c>
      <c r="BP364" s="57">
        <f t="shared" si="1641"/>
        <v>7.4375172261960358</v>
      </c>
      <c r="BQ364" s="57">
        <f t="shared" si="1641"/>
        <v>-4.7416652457398527</v>
      </c>
      <c r="BR364" s="57">
        <f t="shared" si="1641"/>
        <v>9.1714464782589431</v>
      </c>
      <c r="BS364" s="57">
        <f t="shared" ref="BS364:BS365" si="1644">IFERROR(BS340/BN340*100-100,"")</f>
        <v>1.6538437678621989</v>
      </c>
      <c r="BT364" s="57">
        <f t="shared" si="1642"/>
        <v>-2.0711523551969435</v>
      </c>
      <c r="BU364" s="57">
        <f t="shared" si="1642"/>
        <v>-11.966612218831798</v>
      </c>
      <c r="BV364" s="57">
        <f t="shared" si="1642"/>
        <v>2.9614587346095362</v>
      </c>
      <c r="BW364" s="57">
        <f t="shared" si="1642"/>
        <v>-2.3720728646631386</v>
      </c>
      <c r="BX364" s="57">
        <f t="shared" si="1642"/>
        <v>-3.4651396745996408</v>
      </c>
      <c r="BY364" s="57">
        <f t="shared" si="1642"/>
        <v>-0.57467503261550235</v>
      </c>
      <c r="BZ364" s="57">
        <f t="shared" si="1642"/>
        <v>2.5971219994544299</v>
      </c>
      <c r="CA364" s="57">
        <f t="shared" si="1642"/>
        <v>-4.4854251799572609</v>
      </c>
      <c r="CB364" s="57">
        <f t="shared" si="1642"/>
        <v>-5.4452351684547722</v>
      </c>
      <c r="CC364" s="57">
        <f t="shared" si="1642"/>
        <v>-2.3784519651762253</v>
      </c>
      <c r="CD364" s="57">
        <f t="shared" si="1642"/>
        <v>3.8131754809543423</v>
      </c>
      <c r="CE364" s="57">
        <f t="shared" si="1642"/>
        <v>1.9806668367333913</v>
      </c>
      <c r="CF364" s="57">
        <f t="shared" si="1642"/>
        <v>-2.300050755771835</v>
      </c>
      <c r="CG364" s="57">
        <f t="shared" si="1642"/>
        <v>1.4169149656248408</v>
      </c>
      <c r="CH364" s="57">
        <f t="shared" si="1642"/>
        <v>1.1168382570268136</v>
      </c>
      <c r="CI364" s="57">
        <f t="shared" si="1642"/>
        <v>2.1675073368177209</v>
      </c>
      <c r="CJ364" s="57">
        <f t="shared" si="1642"/>
        <v>-7.2151870637264608</v>
      </c>
      <c r="CK364" s="57">
        <f t="shared" si="1642"/>
        <v>-4.5555893852573064</v>
      </c>
      <c r="CL364" s="57">
        <f t="shared" si="1642"/>
        <v>-14.961229968450795</v>
      </c>
      <c r="CM364" s="57">
        <f t="shared" si="1642"/>
        <v>-7.0001551412850773</v>
      </c>
      <c r="CN364" s="57">
        <f t="shared" si="1642"/>
        <v>-100</v>
      </c>
      <c r="CO364" s="57">
        <f t="shared" si="1642"/>
        <v>-100</v>
      </c>
      <c r="CP364" s="57">
        <f t="shared" si="1642"/>
        <v>-100</v>
      </c>
      <c r="CQ364" s="57">
        <f t="shared" si="1642"/>
        <v>-100</v>
      </c>
      <c r="CR364" s="57">
        <f t="shared" si="1642"/>
        <v>-100</v>
      </c>
    </row>
    <row r="365" spans="1:96" s="9" customFormat="1" ht="23.25" customHeight="1" thickBot="1" x14ac:dyDescent="0.35">
      <c r="A365" s="26" t="s">
        <v>95</v>
      </c>
      <c r="B365" s="38"/>
      <c r="C365" s="38"/>
      <c r="D365" s="38"/>
      <c r="E365" s="38"/>
      <c r="F365" s="38"/>
      <c r="G365" s="60">
        <f t="shared" si="1643"/>
        <v>7.4517138547180934</v>
      </c>
      <c r="H365" s="60">
        <f t="shared" si="1643"/>
        <v>6.3462989433531192</v>
      </c>
      <c r="I365" s="60">
        <f t="shared" si="1643"/>
        <v>7.1432415729012462</v>
      </c>
      <c r="J365" s="60">
        <f t="shared" si="1643"/>
        <v>7.4441958132730406</v>
      </c>
      <c r="K365" s="60">
        <f t="shared" si="1643"/>
        <v>7.098892651540595</v>
      </c>
      <c r="L365" s="60">
        <f t="shared" si="1643"/>
        <v>7.0428467309297815</v>
      </c>
      <c r="M365" s="60">
        <f t="shared" si="1643"/>
        <v>9.0090800265324873</v>
      </c>
      <c r="N365" s="60">
        <f t="shared" si="1643"/>
        <v>8.5954728380600329</v>
      </c>
      <c r="O365" s="60">
        <f t="shared" si="1643"/>
        <v>6.8414578977481426</v>
      </c>
      <c r="P365" s="60">
        <f t="shared" si="1643"/>
        <v>7.8631633100608269</v>
      </c>
      <c r="Q365" s="60">
        <f t="shared" si="1643"/>
        <v>7.0254756458752752</v>
      </c>
      <c r="R365" s="60" t="str">
        <f t="shared" si="1643"/>
        <v/>
      </c>
      <c r="S365" s="60">
        <f t="shared" si="1643"/>
        <v>7.3418692109751902</v>
      </c>
      <c r="T365" s="60">
        <f t="shared" si="1643"/>
        <v>10.177332977119093</v>
      </c>
      <c r="U365" s="60" t="str">
        <f t="shared" si="1643"/>
        <v/>
      </c>
      <c r="V365" s="60">
        <f t="shared" si="1643"/>
        <v>8.8341768308686852</v>
      </c>
      <c r="W365" s="60" t="str">
        <f t="shared" ref="W365:BR365" si="1645">IFERROR(W341/R341*100-100,"")</f>
        <v/>
      </c>
      <c r="X365" s="60">
        <f t="shared" si="1645"/>
        <v>6.45995036670395</v>
      </c>
      <c r="Y365" s="60">
        <f t="shared" si="1645"/>
        <v>3.0796590671237993</v>
      </c>
      <c r="Z365" s="60" t="str">
        <f t="shared" si="1645"/>
        <v/>
      </c>
      <c r="AA365" s="60">
        <f t="shared" si="1645"/>
        <v>2.5943105834689675</v>
      </c>
      <c r="AB365" s="60">
        <f t="shared" si="1645"/>
        <v>2.6375426052402275</v>
      </c>
      <c r="AC365" s="60">
        <f t="shared" si="1645"/>
        <v>5.6465369752086332</v>
      </c>
      <c r="AD365" s="60">
        <f t="shared" si="1645"/>
        <v>9.5480355784681734</v>
      </c>
      <c r="AE365" s="60">
        <f t="shared" si="1645"/>
        <v>5.149781761396909</v>
      </c>
      <c r="AF365" s="60">
        <f t="shared" si="1645"/>
        <v>8.8954167228493048</v>
      </c>
      <c r="AG365" s="60">
        <f t="shared" si="1645"/>
        <v>7.5816771542037031</v>
      </c>
      <c r="AH365" s="60">
        <f t="shared" si="1645"/>
        <v>6.368030814302486</v>
      </c>
      <c r="AI365" s="60">
        <f t="shared" si="1645"/>
        <v>3.4066426609846303</v>
      </c>
      <c r="AJ365" s="60">
        <f t="shared" si="1645"/>
        <v>6.4751330461222665</v>
      </c>
      <c r="AK365" s="60">
        <f t="shared" si="1645"/>
        <v>4.2236389977340849</v>
      </c>
      <c r="AL365" s="60">
        <f t="shared" si="1645"/>
        <v>5.8226495770176854</v>
      </c>
      <c r="AM365" s="60">
        <f t="shared" si="1645"/>
        <v>6.4222444251947479</v>
      </c>
      <c r="AN365" s="60">
        <f t="shared" si="1645"/>
        <v>7.5334802463306971</v>
      </c>
      <c r="AO365" s="60">
        <f t="shared" si="1645"/>
        <v>6.0282806203064183</v>
      </c>
      <c r="AP365" s="60">
        <f t="shared" si="1645"/>
        <v>6.0510487115417106</v>
      </c>
      <c r="AQ365" s="60">
        <f t="shared" si="1645"/>
        <v>6.7322630035532285</v>
      </c>
      <c r="AR365" s="60">
        <f t="shared" si="1645"/>
        <v>5.6713046730185539</v>
      </c>
      <c r="AS365" s="60">
        <f t="shared" si="1645"/>
        <v>5.1722375998856478</v>
      </c>
      <c r="AT365" s="60">
        <f t="shared" si="1645"/>
        <v>5.8918624783030964</v>
      </c>
      <c r="AU365" s="60">
        <f t="shared" si="1645"/>
        <v>6.5261534138702899</v>
      </c>
      <c r="AV365" s="60">
        <f t="shared" si="1645"/>
        <v>5.5017712208547493</v>
      </c>
      <c r="AW365" s="60">
        <f t="shared" si="1645"/>
        <v>5.9846231344406817</v>
      </c>
      <c r="AX365" s="60">
        <f t="shared" si="1645"/>
        <v>5.6170817691131134</v>
      </c>
      <c r="AY365" s="60">
        <f t="shared" si="1645"/>
        <v>5.8986098714907342</v>
      </c>
      <c r="AZ365" s="60">
        <f t="shared" si="1645"/>
        <v>5.4668711467967341</v>
      </c>
      <c r="BA365" s="60">
        <f t="shared" si="1645"/>
        <v>5.5113520107819056</v>
      </c>
      <c r="BB365" s="60">
        <f t="shared" si="1645"/>
        <v>6.7831283345065572</v>
      </c>
      <c r="BC365" s="60">
        <f t="shared" si="1645"/>
        <v>6.1663727418781633</v>
      </c>
      <c r="BD365" s="60">
        <f t="shared" si="1645"/>
        <v>5.9925059309856579</v>
      </c>
      <c r="BE365" s="60">
        <f t="shared" si="1645"/>
        <v>6.4833610337002909</v>
      </c>
      <c r="BF365" s="60">
        <f t="shared" si="1645"/>
        <v>6.8491923953228167</v>
      </c>
      <c r="BG365" s="60">
        <f t="shared" si="1645"/>
        <v>5.5171275019482096</v>
      </c>
      <c r="BH365" s="60">
        <f t="shared" si="1645"/>
        <v>5.141275236647985</v>
      </c>
      <c r="BI365" s="60">
        <f t="shared" si="1645"/>
        <v>5.9777945501680421</v>
      </c>
      <c r="BJ365" s="60">
        <f t="shared" si="1645"/>
        <v>4.4072999990145973</v>
      </c>
      <c r="BK365" s="60">
        <f t="shared" si="1645"/>
        <v>-0.12803602004606773</v>
      </c>
      <c r="BL365" s="60">
        <f t="shared" si="1645"/>
        <v>-1.2850239780826485</v>
      </c>
      <c r="BM365" s="60">
        <f t="shared" si="1645"/>
        <v>-2.8310298255863557</v>
      </c>
      <c r="BN365" s="60">
        <f t="shared" si="1645"/>
        <v>-2.9554747626704625E-2</v>
      </c>
      <c r="BO365" s="60">
        <f t="shared" si="1645"/>
        <v>-0.7858419543382098</v>
      </c>
      <c r="BP365" s="60">
        <f t="shared" si="1645"/>
        <v>5.1603249721523525</v>
      </c>
      <c r="BQ365" s="60">
        <f t="shared" si="1645"/>
        <v>3.949097092516169</v>
      </c>
      <c r="BR365" s="60">
        <f t="shared" si="1645"/>
        <v>7.0011417420819981</v>
      </c>
      <c r="BS365" s="60">
        <f t="shared" si="1644"/>
        <v>3.8265011509499089</v>
      </c>
      <c r="BT365" s="60">
        <f t="shared" si="1642"/>
        <v>3.980549219270074</v>
      </c>
      <c r="BU365" s="60">
        <f t="shared" si="1642"/>
        <v>5.4402716748018776</v>
      </c>
      <c r="BV365" s="60">
        <f t="shared" si="1642"/>
        <v>6.3692058191730183</v>
      </c>
      <c r="BW365" s="60">
        <f t="shared" si="1642"/>
        <v>6.7192843460883722</v>
      </c>
      <c r="BX365" s="60">
        <f t="shared" si="1642"/>
        <v>5.6539643603185112</v>
      </c>
      <c r="BY365" s="60">
        <f t="shared" si="1642"/>
        <v>5.577289327311604</v>
      </c>
      <c r="BZ365" s="60">
        <f t="shared" si="1642"/>
        <v>5.348376051807449</v>
      </c>
      <c r="CA365" s="60">
        <f t="shared" si="1642"/>
        <v>4.1814884883706043</v>
      </c>
      <c r="CB365" s="60">
        <f t="shared" si="1642"/>
        <v>2.6837840674585323</v>
      </c>
      <c r="CC365" s="60">
        <f t="shared" si="1642"/>
        <v>4.4116622361056699</v>
      </c>
      <c r="CD365" s="60">
        <f t="shared" si="1642"/>
        <v>5.0241348829056278</v>
      </c>
      <c r="CE365" s="60">
        <f t="shared" si="1642"/>
        <v>3.3735572378553798</v>
      </c>
      <c r="CF365" s="60">
        <f t="shared" si="1642"/>
        <v>5.037953487948073</v>
      </c>
      <c r="CG365" s="60">
        <f t="shared" si="1642"/>
        <v>5.0525358805438145</v>
      </c>
      <c r="CH365" s="60">
        <f t="shared" si="1642"/>
        <v>4.6181963294361594</v>
      </c>
      <c r="CI365" s="60">
        <f t="shared" si="1642"/>
        <v>5.2495683903091503</v>
      </c>
      <c r="CJ365" s="60">
        <f t="shared" si="1642"/>
        <v>3.8084068849514381</v>
      </c>
      <c r="CK365" s="60">
        <f t="shared" si="1642"/>
        <v>4.0200102907597142</v>
      </c>
      <c r="CL365" s="60">
        <f t="shared" si="1642"/>
        <v>5.311095585176389</v>
      </c>
      <c r="CM365" s="60">
        <f t="shared" si="1642"/>
        <v>4.5948950489985521</v>
      </c>
      <c r="CN365" s="60">
        <f t="shared" si="1642"/>
        <v>-100</v>
      </c>
      <c r="CO365" s="60">
        <f t="shared" si="1642"/>
        <v>-100</v>
      </c>
      <c r="CP365" s="60">
        <f t="shared" si="1642"/>
        <v>-100</v>
      </c>
      <c r="CQ365" s="60">
        <f t="shared" si="1642"/>
        <v>-100</v>
      </c>
      <c r="CR365" s="60">
        <f t="shared" si="1642"/>
        <v>-100</v>
      </c>
    </row>
    <row r="367" spans="1:96" s="31" customFormat="1" ht="15" x14ac:dyDescent="0.4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  <c r="BA367" s="30"/>
      <c r="BB367" s="30"/>
      <c r="BC367" s="30"/>
      <c r="BD367" s="30"/>
      <c r="BE367" s="30"/>
      <c r="BF367" s="30"/>
      <c r="BG367" s="30"/>
      <c r="BH367" s="30"/>
      <c r="BI367" s="30"/>
      <c r="BJ367" s="30"/>
      <c r="BK367" s="30"/>
      <c r="BL367" s="30"/>
      <c r="BM367" s="30"/>
      <c r="BN367" s="30"/>
      <c r="BO367" s="30"/>
      <c r="BP367" s="30"/>
      <c r="BQ367" s="30"/>
      <c r="BR367" s="30"/>
      <c r="BS367" s="30"/>
      <c r="BT367" s="30"/>
      <c r="BU367" s="30"/>
      <c r="BV367" s="30"/>
      <c r="BW367" s="30"/>
      <c r="BX367" s="30"/>
      <c r="BY367" s="30"/>
      <c r="BZ367" s="30"/>
      <c r="CA367" s="30"/>
      <c r="CB367" s="30"/>
      <c r="CC367" s="30"/>
      <c r="CD367" s="30"/>
      <c r="CE367" s="30"/>
      <c r="CF367" s="30"/>
      <c r="CG367" s="30"/>
      <c r="CH367" s="30"/>
      <c r="CI367" s="30"/>
      <c r="CJ367" s="30"/>
      <c r="CK367" s="30"/>
      <c r="CL367" s="30"/>
      <c r="CM367" s="30"/>
      <c r="CN367" s="30"/>
      <c r="CO367" s="30"/>
      <c r="CP367" s="30"/>
      <c r="CQ367" s="30"/>
      <c r="CR367" s="30"/>
    </row>
    <row r="368" spans="1:96" s="31" customFormat="1" ht="15" x14ac:dyDescent="0.4">
      <c r="A368" s="32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  <c r="AT368" s="33"/>
      <c r="AU368" s="33"/>
      <c r="AV368" s="33"/>
      <c r="AW368" s="33"/>
      <c r="AX368" s="33"/>
      <c r="AY368" s="33"/>
      <c r="AZ368" s="33"/>
      <c r="BA368" s="33"/>
      <c r="BB368" s="33"/>
      <c r="BC368" s="33"/>
      <c r="BD368" s="33"/>
      <c r="BE368" s="33"/>
      <c r="BF368" s="33"/>
      <c r="BG368" s="33"/>
      <c r="BH368" s="33"/>
      <c r="BI368" s="33"/>
      <c r="BJ368" s="33"/>
      <c r="BK368" s="33"/>
      <c r="BL368" s="33"/>
      <c r="BM368" s="33"/>
      <c r="BN368" s="33"/>
      <c r="BO368" s="33"/>
      <c r="BP368" s="33"/>
      <c r="BQ368" s="33"/>
      <c r="BR368" s="33"/>
      <c r="BS368" s="33"/>
      <c r="BT368" s="33"/>
      <c r="BU368" s="33"/>
      <c r="BV368" s="33"/>
      <c r="BW368" s="33"/>
      <c r="BX368" s="33"/>
      <c r="BY368" s="33"/>
      <c r="BZ368" s="33"/>
      <c r="CA368" s="33"/>
      <c r="CB368" s="33"/>
      <c r="CC368" s="33"/>
      <c r="CD368" s="33"/>
      <c r="CE368" s="33"/>
      <c r="CF368" s="33"/>
      <c r="CG368" s="33"/>
      <c r="CH368" s="33"/>
      <c r="CI368" s="33"/>
      <c r="CJ368" s="33"/>
      <c r="CK368" s="33"/>
      <c r="CL368" s="33"/>
      <c r="CM368" s="33"/>
      <c r="CN368" s="33"/>
      <c r="CO368" s="33"/>
      <c r="CP368" s="33"/>
      <c r="CQ368" s="33"/>
      <c r="CR368" s="33"/>
    </row>
    <row r="369" spans="1:96" ht="20" x14ac:dyDescent="0.4">
      <c r="A369" s="1" t="s">
        <v>113</v>
      </c>
    </row>
    <row r="370" spans="1:96" ht="20.5" thickBot="1" x14ac:dyDescent="0.45">
      <c r="A370" s="1" t="str">
        <f>A358</f>
        <v>Kabupaten/Kota :</v>
      </c>
      <c r="B370" s="35" t="str">
        <f>B358</f>
        <v>Kepuluauan Tanimbar</v>
      </c>
      <c r="L370" s="35"/>
      <c r="V370" s="35"/>
      <c r="AF370" s="35"/>
      <c r="AP370" s="35"/>
      <c r="AZ370" s="35"/>
      <c r="BJ370" s="35"/>
      <c r="BT370" s="35"/>
    </row>
    <row r="371" spans="1:96" s="9" customFormat="1" ht="24" customHeight="1" thickBot="1" x14ac:dyDescent="0.35">
      <c r="A371" s="5" t="s">
        <v>2</v>
      </c>
      <c r="B371" s="6" t="s">
        <v>3</v>
      </c>
      <c r="C371" s="6" t="s">
        <v>4</v>
      </c>
      <c r="D371" s="6" t="s">
        <v>5</v>
      </c>
      <c r="E371" s="6" t="s">
        <v>6</v>
      </c>
      <c r="F371" s="6">
        <v>2008</v>
      </c>
      <c r="G371" s="7" t="s">
        <v>7</v>
      </c>
      <c r="H371" s="7" t="s">
        <v>8</v>
      </c>
      <c r="I371" s="7" t="s">
        <v>9</v>
      </c>
      <c r="J371" s="7" t="s">
        <v>10</v>
      </c>
      <c r="K371" s="7">
        <v>2009</v>
      </c>
      <c r="L371" s="6" t="s">
        <v>11</v>
      </c>
      <c r="M371" s="6" t="s">
        <v>12</v>
      </c>
      <c r="N371" s="6" t="s">
        <v>13</v>
      </c>
      <c r="O371" s="6" t="s">
        <v>14</v>
      </c>
      <c r="P371" s="6">
        <v>2010</v>
      </c>
      <c r="Q371" s="7" t="s">
        <v>15</v>
      </c>
      <c r="R371" s="7" t="s">
        <v>16</v>
      </c>
      <c r="S371" s="7" t="s">
        <v>17</v>
      </c>
      <c r="T371" s="7" t="s">
        <v>18</v>
      </c>
      <c r="U371" s="7">
        <v>2011</v>
      </c>
      <c r="V371" s="6" t="s">
        <v>19</v>
      </c>
      <c r="W371" s="6" t="s">
        <v>20</v>
      </c>
      <c r="X371" s="6" t="s">
        <v>21</v>
      </c>
      <c r="Y371" s="6" t="s">
        <v>22</v>
      </c>
      <c r="Z371" s="6">
        <v>2012</v>
      </c>
      <c r="AA371" s="7" t="s">
        <v>23</v>
      </c>
      <c r="AB371" s="7" t="s">
        <v>24</v>
      </c>
      <c r="AC371" s="7" t="s">
        <v>25</v>
      </c>
      <c r="AD371" s="7" t="s">
        <v>26</v>
      </c>
      <c r="AE371" s="7">
        <v>2013</v>
      </c>
      <c r="AF371" s="6" t="s">
        <v>27</v>
      </c>
      <c r="AG371" s="6" t="s">
        <v>28</v>
      </c>
      <c r="AH371" s="6" t="s">
        <v>29</v>
      </c>
      <c r="AI371" s="6" t="s">
        <v>30</v>
      </c>
      <c r="AJ371" s="6">
        <v>2014</v>
      </c>
      <c r="AK371" s="7" t="s">
        <v>31</v>
      </c>
      <c r="AL371" s="7" t="s">
        <v>32</v>
      </c>
      <c r="AM371" s="7" t="s">
        <v>33</v>
      </c>
      <c r="AN371" s="7" t="s">
        <v>34</v>
      </c>
      <c r="AO371" s="7">
        <v>2015</v>
      </c>
      <c r="AP371" s="6" t="s">
        <v>35</v>
      </c>
      <c r="AQ371" s="6" t="s">
        <v>36</v>
      </c>
      <c r="AR371" s="6" t="s">
        <v>37</v>
      </c>
      <c r="AS371" s="6" t="s">
        <v>38</v>
      </c>
      <c r="AT371" s="6">
        <v>2016</v>
      </c>
      <c r="AU371" s="7" t="s">
        <v>39</v>
      </c>
      <c r="AV371" s="7" t="s">
        <v>40</v>
      </c>
      <c r="AW371" s="7" t="s">
        <v>41</v>
      </c>
      <c r="AX371" s="7" t="s">
        <v>42</v>
      </c>
      <c r="AY371" s="7">
        <v>2017</v>
      </c>
      <c r="AZ371" s="6" t="s">
        <v>43</v>
      </c>
      <c r="BA371" s="6" t="s">
        <v>44</v>
      </c>
      <c r="BB371" s="6" t="s">
        <v>45</v>
      </c>
      <c r="BC371" s="6" t="s">
        <v>46</v>
      </c>
      <c r="BD371" s="6">
        <v>2018</v>
      </c>
      <c r="BE371" s="7" t="s">
        <v>47</v>
      </c>
      <c r="BF371" s="7" t="s">
        <v>48</v>
      </c>
      <c r="BG371" s="7" t="s">
        <v>49</v>
      </c>
      <c r="BH371" s="7" t="s">
        <v>50</v>
      </c>
      <c r="BI371" s="7">
        <v>2019</v>
      </c>
      <c r="BJ371" s="6" t="s">
        <v>51</v>
      </c>
      <c r="BK371" s="6" t="s">
        <v>52</v>
      </c>
      <c r="BL371" s="6" t="s">
        <v>53</v>
      </c>
      <c r="BM371" s="6" t="s">
        <v>54</v>
      </c>
      <c r="BN371" s="6">
        <v>2020</v>
      </c>
      <c r="BO371" s="7" t="s">
        <v>55</v>
      </c>
      <c r="BP371" s="7" t="s">
        <v>56</v>
      </c>
      <c r="BQ371" s="7" t="s">
        <v>57</v>
      </c>
      <c r="BR371" s="7" t="s">
        <v>58</v>
      </c>
      <c r="BS371" s="7">
        <v>2021</v>
      </c>
      <c r="BT371" s="6" t="s">
        <v>59</v>
      </c>
      <c r="BU371" s="6" t="s">
        <v>60</v>
      </c>
      <c r="BV371" s="6" t="s">
        <v>61</v>
      </c>
      <c r="BW371" s="6" t="s">
        <v>62</v>
      </c>
      <c r="BX371" s="6">
        <v>2022</v>
      </c>
      <c r="BY371" s="7" t="s">
        <v>63</v>
      </c>
      <c r="BZ371" s="7" t="s">
        <v>64</v>
      </c>
      <c r="CA371" s="7" t="s">
        <v>65</v>
      </c>
      <c r="CB371" s="7" t="s">
        <v>66</v>
      </c>
      <c r="CC371" s="7">
        <v>2023</v>
      </c>
      <c r="CD371" s="8" t="s">
        <v>67</v>
      </c>
      <c r="CE371" s="8" t="s">
        <v>68</v>
      </c>
      <c r="CF371" s="8" t="s">
        <v>69</v>
      </c>
      <c r="CG371" s="8" t="s">
        <v>70</v>
      </c>
      <c r="CH371" s="8">
        <v>2024</v>
      </c>
      <c r="CI371" s="7" t="s">
        <v>71</v>
      </c>
      <c r="CJ371" s="7" t="s">
        <v>72</v>
      </c>
      <c r="CK371" s="7" t="s">
        <v>73</v>
      </c>
      <c r="CL371" s="7" t="s">
        <v>74</v>
      </c>
      <c r="CM371" s="7">
        <v>2025</v>
      </c>
      <c r="CN371" s="8" t="s">
        <v>75</v>
      </c>
      <c r="CO371" s="8" t="s">
        <v>76</v>
      </c>
      <c r="CP371" s="8" t="s">
        <v>77</v>
      </c>
      <c r="CQ371" s="8" t="s">
        <v>78</v>
      </c>
      <c r="CR371" s="8">
        <v>2026</v>
      </c>
    </row>
    <row r="372" spans="1:96" s="9" customFormat="1" ht="13.5" thickBot="1" x14ac:dyDescent="0.35">
      <c r="A372" s="10">
        <v>-1</v>
      </c>
      <c r="B372" s="11">
        <f>A372-1</f>
        <v>-2</v>
      </c>
      <c r="C372" s="11">
        <f>B372-1</f>
        <v>-3</v>
      </c>
      <c r="D372" s="11">
        <f t="shared" ref="D372:BO372" si="1646">C372-1</f>
        <v>-4</v>
      </c>
      <c r="E372" s="11">
        <f t="shared" si="1646"/>
        <v>-5</v>
      </c>
      <c r="F372" s="11">
        <f t="shared" si="1646"/>
        <v>-6</v>
      </c>
      <c r="G372" s="11">
        <f t="shared" si="1646"/>
        <v>-7</v>
      </c>
      <c r="H372" s="11">
        <f t="shared" si="1646"/>
        <v>-8</v>
      </c>
      <c r="I372" s="11">
        <f t="shared" si="1646"/>
        <v>-9</v>
      </c>
      <c r="J372" s="11">
        <f t="shared" si="1646"/>
        <v>-10</v>
      </c>
      <c r="K372" s="11">
        <f t="shared" si="1646"/>
        <v>-11</v>
      </c>
      <c r="L372" s="11">
        <f t="shared" si="1646"/>
        <v>-12</v>
      </c>
      <c r="M372" s="11">
        <f t="shared" si="1646"/>
        <v>-13</v>
      </c>
      <c r="N372" s="11">
        <f t="shared" si="1646"/>
        <v>-14</v>
      </c>
      <c r="O372" s="11">
        <f t="shared" si="1646"/>
        <v>-15</v>
      </c>
      <c r="P372" s="11">
        <f t="shared" si="1646"/>
        <v>-16</v>
      </c>
      <c r="Q372" s="11">
        <f t="shared" si="1646"/>
        <v>-17</v>
      </c>
      <c r="R372" s="11">
        <f t="shared" si="1646"/>
        <v>-18</v>
      </c>
      <c r="S372" s="11">
        <f t="shared" si="1646"/>
        <v>-19</v>
      </c>
      <c r="T372" s="11">
        <f t="shared" si="1646"/>
        <v>-20</v>
      </c>
      <c r="U372" s="11">
        <f t="shared" si="1646"/>
        <v>-21</v>
      </c>
      <c r="V372" s="11">
        <f t="shared" si="1646"/>
        <v>-22</v>
      </c>
      <c r="W372" s="11">
        <f t="shared" si="1646"/>
        <v>-23</v>
      </c>
      <c r="X372" s="11">
        <f t="shared" si="1646"/>
        <v>-24</v>
      </c>
      <c r="Y372" s="11">
        <f t="shared" si="1646"/>
        <v>-25</v>
      </c>
      <c r="Z372" s="11">
        <f t="shared" si="1646"/>
        <v>-26</v>
      </c>
      <c r="AA372" s="11">
        <f t="shared" si="1646"/>
        <v>-27</v>
      </c>
      <c r="AB372" s="11">
        <f t="shared" si="1646"/>
        <v>-28</v>
      </c>
      <c r="AC372" s="11">
        <f t="shared" si="1646"/>
        <v>-29</v>
      </c>
      <c r="AD372" s="11">
        <f t="shared" si="1646"/>
        <v>-30</v>
      </c>
      <c r="AE372" s="11">
        <f t="shared" si="1646"/>
        <v>-31</v>
      </c>
      <c r="AF372" s="11">
        <f t="shared" si="1646"/>
        <v>-32</v>
      </c>
      <c r="AG372" s="11">
        <f t="shared" si="1646"/>
        <v>-33</v>
      </c>
      <c r="AH372" s="11">
        <f t="shared" si="1646"/>
        <v>-34</v>
      </c>
      <c r="AI372" s="11">
        <f t="shared" si="1646"/>
        <v>-35</v>
      </c>
      <c r="AJ372" s="11">
        <f t="shared" si="1646"/>
        <v>-36</v>
      </c>
      <c r="AK372" s="11">
        <f t="shared" si="1646"/>
        <v>-37</v>
      </c>
      <c r="AL372" s="11">
        <f t="shared" si="1646"/>
        <v>-38</v>
      </c>
      <c r="AM372" s="11">
        <f t="shared" si="1646"/>
        <v>-39</v>
      </c>
      <c r="AN372" s="11">
        <f t="shared" si="1646"/>
        <v>-40</v>
      </c>
      <c r="AO372" s="11">
        <f t="shared" si="1646"/>
        <v>-41</v>
      </c>
      <c r="AP372" s="11">
        <f t="shared" si="1646"/>
        <v>-42</v>
      </c>
      <c r="AQ372" s="11">
        <f t="shared" si="1646"/>
        <v>-43</v>
      </c>
      <c r="AR372" s="11">
        <f t="shared" si="1646"/>
        <v>-44</v>
      </c>
      <c r="AS372" s="11">
        <f t="shared" si="1646"/>
        <v>-45</v>
      </c>
      <c r="AT372" s="11">
        <f t="shared" si="1646"/>
        <v>-46</v>
      </c>
      <c r="AU372" s="11">
        <f t="shared" si="1646"/>
        <v>-47</v>
      </c>
      <c r="AV372" s="11">
        <f t="shared" si="1646"/>
        <v>-48</v>
      </c>
      <c r="AW372" s="11">
        <f t="shared" si="1646"/>
        <v>-49</v>
      </c>
      <c r="AX372" s="11">
        <f t="shared" si="1646"/>
        <v>-50</v>
      </c>
      <c r="AY372" s="11">
        <f t="shared" si="1646"/>
        <v>-51</v>
      </c>
      <c r="AZ372" s="11">
        <f t="shared" si="1646"/>
        <v>-52</v>
      </c>
      <c r="BA372" s="11">
        <f t="shared" si="1646"/>
        <v>-53</v>
      </c>
      <c r="BB372" s="11">
        <f t="shared" si="1646"/>
        <v>-54</v>
      </c>
      <c r="BC372" s="11">
        <f t="shared" si="1646"/>
        <v>-55</v>
      </c>
      <c r="BD372" s="11">
        <f t="shared" si="1646"/>
        <v>-56</v>
      </c>
      <c r="BE372" s="11">
        <f t="shared" si="1646"/>
        <v>-57</v>
      </c>
      <c r="BF372" s="11">
        <f t="shared" si="1646"/>
        <v>-58</v>
      </c>
      <c r="BG372" s="11">
        <f t="shared" si="1646"/>
        <v>-59</v>
      </c>
      <c r="BH372" s="11">
        <f t="shared" si="1646"/>
        <v>-60</v>
      </c>
      <c r="BI372" s="11">
        <f t="shared" si="1646"/>
        <v>-61</v>
      </c>
      <c r="BJ372" s="11">
        <f t="shared" si="1646"/>
        <v>-62</v>
      </c>
      <c r="BK372" s="11">
        <f t="shared" si="1646"/>
        <v>-63</v>
      </c>
      <c r="BL372" s="11">
        <f t="shared" si="1646"/>
        <v>-64</v>
      </c>
      <c r="BM372" s="11">
        <f t="shared" si="1646"/>
        <v>-65</v>
      </c>
      <c r="BN372" s="11">
        <f t="shared" si="1646"/>
        <v>-66</v>
      </c>
      <c r="BO372" s="11">
        <f t="shared" si="1646"/>
        <v>-67</v>
      </c>
      <c r="BP372" s="11">
        <f t="shared" ref="BP372:CR372" si="1647">BO372-1</f>
        <v>-68</v>
      </c>
      <c r="BQ372" s="11">
        <f t="shared" si="1647"/>
        <v>-69</v>
      </c>
      <c r="BR372" s="11">
        <f t="shared" si="1647"/>
        <v>-70</v>
      </c>
      <c r="BS372" s="11">
        <f t="shared" si="1647"/>
        <v>-71</v>
      </c>
      <c r="BT372" s="11">
        <f t="shared" si="1647"/>
        <v>-72</v>
      </c>
      <c r="BU372" s="11">
        <f t="shared" si="1647"/>
        <v>-73</v>
      </c>
      <c r="BV372" s="11">
        <f t="shared" si="1647"/>
        <v>-74</v>
      </c>
      <c r="BW372" s="11">
        <f t="shared" si="1647"/>
        <v>-75</v>
      </c>
      <c r="BX372" s="11">
        <f t="shared" si="1647"/>
        <v>-76</v>
      </c>
      <c r="BY372" s="11">
        <f t="shared" si="1647"/>
        <v>-77</v>
      </c>
      <c r="BZ372" s="11">
        <f t="shared" si="1647"/>
        <v>-78</v>
      </c>
      <c r="CA372" s="11">
        <f t="shared" si="1647"/>
        <v>-79</v>
      </c>
      <c r="CB372" s="11">
        <f t="shared" si="1647"/>
        <v>-80</v>
      </c>
      <c r="CC372" s="11">
        <f t="shared" si="1647"/>
        <v>-81</v>
      </c>
      <c r="CD372" s="11">
        <f t="shared" si="1647"/>
        <v>-82</v>
      </c>
      <c r="CE372" s="11">
        <f t="shared" si="1647"/>
        <v>-83</v>
      </c>
      <c r="CF372" s="11">
        <f t="shared" si="1647"/>
        <v>-84</v>
      </c>
      <c r="CG372" s="11">
        <f t="shared" si="1647"/>
        <v>-85</v>
      </c>
      <c r="CH372" s="11">
        <f t="shared" si="1647"/>
        <v>-86</v>
      </c>
      <c r="CI372" s="11">
        <f t="shared" si="1647"/>
        <v>-87</v>
      </c>
      <c r="CJ372" s="11">
        <f t="shared" si="1647"/>
        <v>-88</v>
      </c>
      <c r="CK372" s="11">
        <f t="shared" si="1647"/>
        <v>-89</v>
      </c>
      <c r="CL372" s="11">
        <f t="shared" si="1647"/>
        <v>-90</v>
      </c>
      <c r="CM372" s="11">
        <f t="shared" si="1647"/>
        <v>-91</v>
      </c>
      <c r="CN372" s="11">
        <f t="shared" si="1647"/>
        <v>-92</v>
      </c>
      <c r="CO372" s="11">
        <f t="shared" si="1647"/>
        <v>-93</v>
      </c>
      <c r="CP372" s="11">
        <f t="shared" si="1647"/>
        <v>-94</v>
      </c>
      <c r="CQ372" s="11">
        <f t="shared" si="1647"/>
        <v>-95</v>
      </c>
      <c r="CR372" s="11">
        <f t="shared" si="1647"/>
        <v>-96</v>
      </c>
    </row>
    <row r="373" spans="1:96" s="54" customFormat="1" ht="17.5" customHeight="1" thickTop="1" x14ac:dyDescent="0.4">
      <c r="A373" s="52" t="s">
        <v>106</v>
      </c>
      <c r="B373" s="38"/>
      <c r="C373" s="38"/>
      <c r="D373" s="38"/>
      <c r="E373" s="38"/>
      <c r="F373" s="38"/>
      <c r="G373" s="57">
        <f>IFERROR(G337/B337*100-100,"")</f>
        <v>5.4550688339656546</v>
      </c>
      <c r="H373" s="57">
        <f>IFERROR(SUM(G337:H337)/SUM(B337:C337)*100-100,"")</f>
        <v>6.0063980937321588</v>
      </c>
      <c r="I373" s="57">
        <f>IFERROR(SUM(G337:I337)/SUM(B337:D337)*100-100,"")</f>
        <v>6.6672359778488328</v>
      </c>
      <c r="J373" s="57">
        <f>IFERROR(SUM(G337:J337)/SUM(B337:E337)*100-100,"")</f>
        <v>7.183773263313185</v>
      </c>
      <c r="K373" s="57">
        <f t="shared" ref="K373:L377" si="1648">IFERROR(K337/F337*100-100,"")</f>
        <v>7.183773263313185</v>
      </c>
      <c r="L373" s="57">
        <f>IFERROR(L337/G337*100-100,"")</f>
        <v>7.1044548638346896</v>
      </c>
      <c r="M373" s="57">
        <f>IFERROR(SUM(L337:M337)/SUM(G337:H337)*100-100,"")</f>
        <v>6.7782139704367381</v>
      </c>
      <c r="N373" s="57">
        <f>IFERROR(SUM(L337:N337)/SUM(G337:I337)*100-100,"")</f>
        <v>6.5962564713961029</v>
      </c>
      <c r="O373" s="57">
        <f>IFERROR(SUM(L337:O337)/SUM(G337:J337)*100-100,"")</f>
        <v>6.7268040248117131</v>
      </c>
      <c r="P373" s="57">
        <f t="shared" ref="P373:Q377" si="1649">IFERROR(P337/K337*100-100,"")</f>
        <v>6.7268040248117416</v>
      </c>
      <c r="Q373" s="57">
        <f>IFERROR(Q337/L337*100-100,"")</f>
        <v>3.4920052989165811</v>
      </c>
      <c r="R373" s="57" t="str">
        <f>IFERROR(SUM(Q337:R337)/SUM(L337:M337)*100-100,"")</f>
        <v/>
      </c>
      <c r="S373" s="57" t="str">
        <f>IFERROR(SUM(Q337:S337)/SUM(L337:N337)*100-100,"")</f>
        <v/>
      </c>
      <c r="T373" s="57" t="str">
        <f>IFERROR(SUM(Q337:T337)/SUM(L337:O337)*100-100,"")</f>
        <v/>
      </c>
      <c r="U373" s="57" t="str">
        <f t="shared" ref="U373:V377" si="1650">IFERROR(U337/P337*100-100,"")</f>
        <v/>
      </c>
      <c r="V373" s="57">
        <f>IFERROR(V337/Q337*100-100,"")</f>
        <v>3.8694177300713193</v>
      </c>
      <c r="W373" s="57" t="str">
        <f>IFERROR(SUM(V337:W337)/SUM(Q337:R337)*100-100,"")</f>
        <v/>
      </c>
      <c r="X373" s="57" t="str">
        <f>IFERROR(SUM(V337:X337)/SUM(Q337:S337)*100-100,"")</f>
        <v/>
      </c>
      <c r="Y373" s="57" t="str">
        <f>IFERROR(SUM(V337:Y337)/SUM(Q337:T337)*100-100,"")</f>
        <v/>
      </c>
      <c r="Z373" s="57" t="str">
        <f t="shared" ref="Z373:AA377" si="1651">IFERROR(Z337/U337*100-100,"")</f>
        <v/>
      </c>
      <c r="AA373" s="57">
        <f>IFERROR(AA337/V337*100-100,"")</f>
        <v>5.7468190086960504</v>
      </c>
      <c r="AB373" s="57">
        <f>IFERROR(SUM(AA337:AB337)/SUM(V337:W337)*100-100,"")</f>
        <v>5.4316766318103191</v>
      </c>
      <c r="AC373" s="57">
        <f>IFERROR(SUM(AA337:AC337)/SUM(V337:X337)*100-100,"")</f>
        <v>5.2541878161337365</v>
      </c>
      <c r="AD373" s="57">
        <f>IFERROR(SUM(AA337:AD337)/SUM(V337:Y337)*100-100,"")</f>
        <v>5.7069610193468066</v>
      </c>
      <c r="AE373" s="57">
        <f t="shared" ref="AE373:AF377" si="1652">IFERROR(AE337/Z337*100-100,"")</f>
        <v>5.7069610193468066</v>
      </c>
      <c r="AF373" s="57">
        <f>IFERROR(AF337/AA337*100-100,"")</f>
        <v>7.6534525350258917</v>
      </c>
      <c r="AG373" s="57">
        <f>IFERROR(SUM(AF337:AG337)/SUM(AA337:AB337)*100-100,"")</f>
        <v>7.4278465405742935</v>
      </c>
      <c r="AH373" s="57">
        <f>IFERROR(SUM(AF337:AH337)/SUM(AA337:AC337)*100-100,"")</f>
        <v>6.9773212385006076</v>
      </c>
      <c r="AI373" s="57">
        <f>IFERROR(SUM(AF337:AI337)/SUM(AA337:AD337)*100-100,"")</f>
        <v>7.2047203260376875</v>
      </c>
      <c r="AJ373" s="57">
        <f t="shared" ref="AJ373:AK377" si="1653">IFERROR(AJ337/AE337*100-100,"")</f>
        <v>7.2047203260377159</v>
      </c>
      <c r="AK373" s="57">
        <f>IFERROR(AK337/AF337*100-100,"")</f>
        <v>7.8861644082484048</v>
      </c>
      <c r="AL373" s="57">
        <f>IFERROR(SUM(AK337:AL337)/SUM(AF337:AG337)*100-100,"")</f>
        <v>8.2962146994571384</v>
      </c>
      <c r="AM373" s="57">
        <f>IFERROR(SUM(AK337:AM337)/SUM(AF337:AH337)*100-100,"")</f>
        <v>8.2734058346439383</v>
      </c>
      <c r="AN373" s="57">
        <f>IFERROR(SUM(AK337:AN337)/SUM(AF337:AI337)*100-100,"")</f>
        <v>8.5262313106620411</v>
      </c>
      <c r="AO373" s="57">
        <f t="shared" ref="AO373:AP377" si="1654">IFERROR(AO337/AJ337*100-100,"")</f>
        <v>8.5262313106620127</v>
      </c>
      <c r="AP373" s="57">
        <f>IFERROR(AP337/AK337*100-100,"")</f>
        <v>8.3835824510293264</v>
      </c>
      <c r="AQ373" s="57">
        <f>IFERROR(SUM(AP337:AQ337)/SUM(AK337:AL337)*100-100,"")</f>
        <v>7.9800043287672366</v>
      </c>
      <c r="AR373" s="57">
        <f>IFERROR(SUM(AP337:AR337)/SUM(AK337:AM337)*100-100,"")</f>
        <v>6.9584644092170151</v>
      </c>
      <c r="AS373" s="57">
        <f>IFERROR(SUM(AP337:AS337)/SUM(AK337:AN337)*100-100,"")</f>
        <v>5.6061800560585766</v>
      </c>
      <c r="AT373" s="57">
        <f t="shared" ref="AT373:AU377" si="1655">IFERROR(AT337/AO337*100-100,"")</f>
        <v>5.6061800560585908</v>
      </c>
      <c r="AU373" s="57">
        <f>IFERROR(AU337/AP337*100-100,"")</f>
        <v>4.1635653540866571</v>
      </c>
      <c r="AV373" s="57">
        <f>IFERROR(SUM(AU337:AV337)/SUM(AP337:AQ337)*100-100,"")</f>
        <v>4.5029878221684214</v>
      </c>
      <c r="AW373" s="57">
        <f>IFERROR(SUM(AU337:AW337)/SUM(AP337:AR337)*100-100,"")</f>
        <v>5.2697619329076701</v>
      </c>
      <c r="AX373" s="57">
        <f>IFERROR(SUM(AU337:AX337)/SUM(AP337:AS337)*100-100,"")</f>
        <v>5.7566844377331137</v>
      </c>
      <c r="AY373" s="57">
        <f t="shared" ref="AY373:AZ377" si="1656">IFERROR(AY337/AT337*100-100,"")</f>
        <v>5.7566844377331421</v>
      </c>
      <c r="AZ373" s="57">
        <f>IFERROR(AZ337/AU337*100-100,"")</f>
        <v>4.6016784036259111</v>
      </c>
      <c r="BA373" s="57">
        <f>IFERROR(SUM(AZ337:BA337)/SUM(AU337:AV337)*100-100,"")</f>
        <v>4.7482430287938371</v>
      </c>
      <c r="BB373" s="57">
        <f>IFERROR(SUM(AZ337:BB337)/SUM(AU337:AW337)*100-100,"")</f>
        <v>4.9332163149004487</v>
      </c>
      <c r="BC373" s="57">
        <f>IFERROR(SUM(AZ337:BC337)/SUM(AU337:AX337)*100-100,"")</f>
        <v>5.3882748793136983</v>
      </c>
      <c r="BD373" s="57">
        <f t="shared" ref="BD373:BE377" si="1657">IFERROR(BD337/AY337*100-100,"")</f>
        <v>5.3882748793136841</v>
      </c>
      <c r="BE373" s="57">
        <f>IFERROR(BE337/AZ337*100-100,"")</f>
        <v>7.6566477807509443</v>
      </c>
      <c r="BF373" s="57">
        <f>IFERROR(SUM(BE337:BF337)/SUM(AZ337:BA337)*100-100,"")</f>
        <v>7.8881829485446531</v>
      </c>
      <c r="BG373" s="57">
        <f>IFERROR(SUM(BE337:BG337)/SUM(AZ337:BB337)*100-100,"")</f>
        <v>7.8055230449476198</v>
      </c>
      <c r="BH373" s="57">
        <f>IFERROR(SUM(BE337:BH337)/SUM(AZ337:BC337)*100-100,"")</f>
        <v>6.5084189826480952</v>
      </c>
      <c r="BI373" s="57">
        <f t="shared" ref="BI373:BJ377" si="1658">IFERROR(BI337/BD337*100-100,"")</f>
        <v>6.5084189826480952</v>
      </c>
      <c r="BJ373" s="57">
        <f>IFERROR(BJ337/BE337*100-100,"")</f>
        <v>6.7485304939294082</v>
      </c>
      <c r="BK373" s="57">
        <f>IFERROR(SUM(BJ337:BK337)/SUM(BE337:BF337)*100-100,"")</f>
        <v>3.6261446293228659</v>
      </c>
      <c r="BL373" s="57">
        <f>IFERROR(SUM(BJ337:BL337)/SUM(BE337:BG337)*100-100,"")</f>
        <v>1.6262842761002929</v>
      </c>
      <c r="BM373" s="57">
        <f>IFERROR(SUM(BJ337:BM337)/SUM(BE337:BH337)*100-100,"")</f>
        <v>0.6116576076545357</v>
      </c>
      <c r="BN373" s="57">
        <f t="shared" ref="BN373:BO377" si="1659">IFERROR(BN337/BI337*100-100,"")</f>
        <v>0.61165760765456412</v>
      </c>
      <c r="BO373" s="57">
        <f>IFERROR(BO337/BJ337*100-100,"")</f>
        <v>-1.265864656926567</v>
      </c>
      <c r="BP373" s="57">
        <f>IFERROR(SUM(BO337:BP337)/SUM(BJ337:BK337)*100-100,"")</f>
        <v>-0.17440829338292474</v>
      </c>
      <c r="BQ373" s="57">
        <f>IFERROR(SUM(BO337:BQ337)/SUM(BJ337:BL337)*100-100,"")</f>
        <v>-6.2313175344229421E-2</v>
      </c>
      <c r="BR373" s="57">
        <f>IFERROR(SUM(BO337:BR337)/SUM(BJ337:BM337)*100-100,"")</f>
        <v>0.860360307871332</v>
      </c>
      <c r="BS373" s="57">
        <f t="shared" ref="BS373:BT377" si="1660">IFERROR(BS337/BN337*100-100,"")</f>
        <v>0.860360307871332</v>
      </c>
      <c r="BT373" s="57">
        <f>IFERROR(BT337/BO337*100-100,"")</f>
        <v>4.196234700358616</v>
      </c>
      <c r="BU373" s="57">
        <f>IFERROR(SUM(BT337:BU337)/SUM(BO337:BP337)*100-100,"")</f>
        <v>4.8419370738024696</v>
      </c>
      <c r="BV373" s="57">
        <f>IFERROR(SUM(BT337:BV337)/SUM(BO337:BQ337)*100-100,"")</f>
        <v>5.3511355188863092</v>
      </c>
      <c r="BW373" s="57">
        <f>IFERROR(SUM(BT337:BW337)/SUM(BO337:BR337)*100-100,"")</f>
        <v>4.9980482121173111</v>
      </c>
      <c r="BX373" s="57">
        <f t="shared" ref="BX373:BY377" si="1661">IFERROR(BX337/BS337*100-100,"")</f>
        <v>4.9980482121173111</v>
      </c>
      <c r="BY373" s="57">
        <f>IFERROR(BY337/BT337*100-100,"")</f>
        <v>3.096707690038798</v>
      </c>
      <c r="BZ373" s="57">
        <f>IFERROR(SUM(BY337:BZ337)/SUM(BT337:BU337)*100-100,"")</f>
        <v>2.8564179677952524</v>
      </c>
      <c r="CA373" s="57">
        <f>IFERROR(SUM(BY337:CA337)/SUM(BT337:BV337)*100-100,"")</f>
        <v>2.6501942883709404</v>
      </c>
      <c r="CB373" s="57">
        <f>IFERROR(SUM(BY337:CB337)/SUM(BT337:BW337)*100-100,"")</f>
        <v>2.6588615452367605</v>
      </c>
      <c r="CC373" s="57">
        <f t="shared" ref="CC373:CD377" si="1662">IFERROR(CC337/BX337*100-100,"")</f>
        <v>2.6588615452367605</v>
      </c>
      <c r="CD373" s="57">
        <f>IFERROR(CD337/BY337*100-100,"")</f>
        <v>5.405790848977972</v>
      </c>
      <c r="CE373" s="57">
        <f>IFERROR(SUM(CD337:CE337)/SUM(BY337:BZ337)*100-100,"")</f>
        <v>4.6006433248491732</v>
      </c>
      <c r="CF373" s="57">
        <f>IFERROR(SUM(CD337:CF337)/SUM(BY337:CA337)*100-100,"")</f>
        <v>4.2049282373901207</v>
      </c>
      <c r="CG373" s="57">
        <f>IFERROR(SUM(CD337:CG337)/SUM(BY337:CB337)*100-100,"")</f>
        <v>4.3177079486226262</v>
      </c>
      <c r="CH373" s="57">
        <f t="shared" ref="CH373:CI377" si="1663">IFERROR(CH337/CC337*100-100,"")</f>
        <v>4.317707948622612</v>
      </c>
      <c r="CI373" s="57">
        <f>IFERROR(CI337/CD337*100-100,"")</f>
        <v>3.8562568841056049</v>
      </c>
      <c r="CJ373" s="57">
        <f>IFERROR(SUM(CI337:CJ337)/SUM(CD337:CE337)*100-100,"")</f>
        <v>3.9381062621592235</v>
      </c>
      <c r="CK373" s="57">
        <f>IFERROR(SUM(CI337:CK337)/SUM(CD337:CF337)*100-100,"")</f>
        <v>3.8478294903522681</v>
      </c>
      <c r="CL373" s="57">
        <f>IFERROR(SUM(CI337:CL337)/SUM(CD337:CG337)*100-100,"")</f>
        <v>3.7991482929012221</v>
      </c>
      <c r="CM373" s="57">
        <f t="shared" ref="CM373:CN377" si="1664">IFERROR(CM337/CH337*100-100,"")</f>
        <v>3.7991482929012648</v>
      </c>
      <c r="CN373" s="57">
        <f>IFERROR(CN337/CI337*100-100,"")</f>
        <v>-100</v>
      </c>
      <c r="CO373" s="57">
        <f>IFERROR(SUM(CN337:CO337)/SUM(CI337:CJ337)*100-100,"")</f>
        <v>-100</v>
      </c>
      <c r="CP373" s="57">
        <f>IFERROR(SUM(CN337:CP337)/SUM(CI337:CK337)*100-100,"")</f>
        <v>-100</v>
      </c>
      <c r="CQ373" s="57">
        <f>IFERROR(SUM(CN337:CQ337)/SUM(CI337:CL337)*100-100,"")</f>
        <v>-100</v>
      </c>
      <c r="CR373" s="57">
        <f t="shared" ref="CR373:CR377" si="1665">IFERROR(CR337/CM337*100-100,"")</f>
        <v>-100</v>
      </c>
    </row>
    <row r="374" spans="1:96" s="54" customFormat="1" ht="17.5" customHeight="1" x14ac:dyDescent="0.4">
      <c r="A374" s="52" t="s">
        <v>107</v>
      </c>
      <c r="B374" s="38"/>
      <c r="C374" s="38"/>
      <c r="D374" s="38"/>
      <c r="E374" s="38"/>
      <c r="F374" s="38"/>
      <c r="G374" s="57">
        <f t="shared" ref="G374:G377" si="1666">IFERROR(G338/B338*100-100,"")</f>
        <v>18.435872131936179</v>
      </c>
      <c r="H374" s="57">
        <f t="shared" ref="H374:H377" si="1667">IFERROR(SUM(G338:H338)/SUM(B338:C338)*100-100,"")</f>
        <v>14.324355976852573</v>
      </c>
      <c r="I374" s="57">
        <f t="shared" ref="I374:I377" si="1668">IFERROR(SUM(G338:I338)/SUM(B338:D338)*100-100,"")</f>
        <v>10.236038787082833</v>
      </c>
      <c r="J374" s="57">
        <f t="shared" ref="J374:J377" si="1669">IFERROR(SUM(G338:J338)/SUM(B338:E338)*100-100,"")</f>
        <v>11.449225942489875</v>
      </c>
      <c r="K374" s="57">
        <f t="shared" si="1648"/>
        <v>11.449225942489875</v>
      </c>
      <c r="L374" s="57">
        <f t="shared" si="1648"/>
        <v>3.1927842149543864</v>
      </c>
      <c r="M374" s="57">
        <f t="shared" ref="M374:M377" si="1670">IFERROR(SUM(L338:M338)/SUM(G338:H338)*100-100,"")</f>
        <v>1.8658853465821466</v>
      </c>
      <c r="N374" s="57">
        <f t="shared" ref="N374:N377" si="1671">IFERROR(SUM(L338:N338)/SUM(G338:I338)*100-100,"")</f>
        <v>2.2644521381499629</v>
      </c>
      <c r="O374" s="57">
        <f t="shared" ref="O374:O377" si="1672">IFERROR(SUM(L338:O338)/SUM(G338:J338)*100-100,"")</f>
        <v>3.6161650535685226</v>
      </c>
      <c r="P374" s="57">
        <f t="shared" si="1649"/>
        <v>3.6161650535685226</v>
      </c>
      <c r="Q374" s="57">
        <f t="shared" si="1649"/>
        <v>4.443001000751039</v>
      </c>
      <c r="R374" s="57" t="str">
        <f t="shared" ref="R374:R377" si="1673">IFERROR(SUM(Q338:R338)/SUM(L338:M338)*100-100,"")</f>
        <v/>
      </c>
      <c r="S374" s="57" t="str">
        <f t="shared" ref="S374:S377" si="1674">IFERROR(SUM(Q338:S338)/SUM(L338:N338)*100-100,"")</f>
        <v/>
      </c>
      <c r="T374" s="57" t="str">
        <f t="shared" ref="T374:T377" si="1675">IFERROR(SUM(Q338:T338)/SUM(L338:O338)*100-100,"")</f>
        <v/>
      </c>
      <c r="U374" s="57" t="str">
        <f t="shared" si="1650"/>
        <v/>
      </c>
      <c r="V374" s="57">
        <f t="shared" si="1650"/>
        <v>7.5343305961821443</v>
      </c>
      <c r="W374" s="57" t="str">
        <f t="shared" ref="W374:W377" si="1676">IFERROR(SUM(V338:W338)/SUM(Q338:R338)*100-100,"")</f>
        <v/>
      </c>
      <c r="X374" s="57" t="str">
        <f t="shared" ref="X374:X377" si="1677">IFERROR(SUM(V338:X338)/SUM(Q338:S338)*100-100,"")</f>
        <v/>
      </c>
      <c r="Y374" s="57" t="str">
        <f t="shared" ref="Y374:Y377" si="1678">IFERROR(SUM(V338:Y338)/SUM(Q338:T338)*100-100,"")</f>
        <v/>
      </c>
      <c r="Z374" s="57" t="str">
        <f t="shared" si="1651"/>
        <v/>
      </c>
      <c r="AA374" s="57">
        <f t="shared" si="1651"/>
        <v>12.968222693904679</v>
      </c>
      <c r="AB374" s="57">
        <f t="shared" ref="AB374:AB377" si="1679">IFERROR(SUM(AA338:AB338)/SUM(V338:W338)*100-100,"")</f>
        <v>9.6985239581507443</v>
      </c>
      <c r="AC374" s="57">
        <f t="shared" ref="AC374:AC377" si="1680">IFERROR(SUM(AA338:AC338)/SUM(V338:X338)*100-100,"")</f>
        <v>9.2434869360396732</v>
      </c>
      <c r="AD374" s="57">
        <f t="shared" ref="AD374:AD377" si="1681">IFERROR(SUM(AA338:AD338)/SUM(V338:Y338)*100-100,"")</f>
        <v>9.0583777509097132</v>
      </c>
      <c r="AE374" s="57">
        <f t="shared" si="1652"/>
        <v>9.0583777509097132</v>
      </c>
      <c r="AF374" s="57">
        <f t="shared" si="1652"/>
        <v>6.7102325649291998</v>
      </c>
      <c r="AG374" s="57">
        <f t="shared" ref="AG374:AG377" si="1682">IFERROR(SUM(AF338:AG338)/SUM(AA338:AB338)*100-100,"")</f>
        <v>3.7654438945374409</v>
      </c>
      <c r="AH374" s="57">
        <f t="shared" ref="AH374:AH377" si="1683">IFERROR(SUM(AF338:AH338)/SUM(AA338:AC338)*100-100,"")</f>
        <v>3.9597809185478781</v>
      </c>
      <c r="AI374" s="57">
        <f t="shared" ref="AI374:AI377" si="1684">IFERROR(SUM(AF338:AI338)/SUM(AA338:AD338)*100-100,"")</f>
        <v>4.9278274904071253</v>
      </c>
      <c r="AJ374" s="57">
        <f t="shared" si="1653"/>
        <v>4.9278274904071253</v>
      </c>
      <c r="AK374" s="57">
        <f t="shared" si="1653"/>
        <v>9.5591188321175764</v>
      </c>
      <c r="AL374" s="57">
        <f t="shared" ref="AL374:AL377" si="1685">IFERROR(SUM(AK338:AL338)/SUM(AF338:AG338)*100-100,"")</f>
        <v>8.2128934484393028</v>
      </c>
      <c r="AM374" s="57">
        <f t="shared" ref="AM374:AM377" si="1686">IFERROR(SUM(AK338:AM338)/SUM(AF338:AH338)*100-100,"")</f>
        <v>7.6174417100917822</v>
      </c>
      <c r="AN374" s="57">
        <f t="shared" ref="AN374:AN377" si="1687">IFERROR(SUM(AK338:AN338)/SUM(AF338:AI338)*100-100,"")</f>
        <v>7.1088314203292811</v>
      </c>
      <c r="AO374" s="57">
        <f t="shared" si="1654"/>
        <v>7.1088314203292811</v>
      </c>
      <c r="AP374" s="57">
        <f t="shared" si="1654"/>
        <v>7.0090858288060787</v>
      </c>
      <c r="AQ374" s="57">
        <f t="shared" ref="AQ374:AQ377" si="1688">IFERROR(SUM(AP338:AQ338)/SUM(AK338:AL338)*100-100,"")</f>
        <v>4.78968481310919</v>
      </c>
      <c r="AR374" s="57">
        <f t="shared" ref="AR374:AR377" si="1689">IFERROR(SUM(AP338:AR338)/SUM(AK338:AM338)*100-100,"")</f>
        <v>3.4010733772937556</v>
      </c>
      <c r="AS374" s="57">
        <f t="shared" ref="AS374:AS377" si="1690">IFERROR(SUM(AP338:AS338)/SUM(AK338:AN338)*100-100,"")</f>
        <v>2.815847873171279</v>
      </c>
      <c r="AT374" s="57">
        <f t="shared" si="1655"/>
        <v>2.815847873171279</v>
      </c>
      <c r="AU374" s="57">
        <f t="shared" si="1655"/>
        <v>2.3172290816647774</v>
      </c>
      <c r="AV374" s="57">
        <f t="shared" ref="AV374:AV377" si="1691">IFERROR(SUM(AU338:AV338)/SUM(AP338:AQ338)*100-100,"")</f>
        <v>2.0175413547969043</v>
      </c>
      <c r="AW374" s="57">
        <f t="shared" ref="AW374:AW377" si="1692">IFERROR(SUM(AU338:AW338)/SUM(AP338:AR338)*100-100,"")</f>
        <v>2.8745345684086914</v>
      </c>
      <c r="AX374" s="57">
        <f t="shared" ref="AX374:AX377" si="1693">IFERROR(SUM(AU338:AX338)/SUM(AP338:AS338)*100-100,"")</f>
        <v>2.5780856577577822</v>
      </c>
      <c r="AY374" s="57">
        <f t="shared" si="1656"/>
        <v>2.5780856577577822</v>
      </c>
      <c r="AZ374" s="57">
        <f t="shared" si="1656"/>
        <v>0.14433874530128321</v>
      </c>
      <c r="BA374" s="57">
        <f t="shared" ref="BA374:BA377" si="1694">IFERROR(SUM(AZ338:BA338)/SUM(AU338:AV338)*100-100,"")</f>
        <v>0.32987080325665374</v>
      </c>
      <c r="BB374" s="57">
        <f t="shared" ref="BB374:BB377" si="1695">IFERROR(SUM(AZ338:BB338)/SUM(AU338:AW338)*100-100,"")</f>
        <v>0.21680333088455939</v>
      </c>
      <c r="BC374" s="57">
        <f t="shared" ref="BC374:BC377" si="1696">IFERROR(SUM(AZ338:BC338)/SUM(AU338:AX338)*100-100,"")</f>
        <v>0.17656313275647051</v>
      </c>
      <c r="BD374" s="57">
        <f t="shared" si="1657"/>
        <v>0.17656313275647051</v>
      </c>
      <c r="BE374" s="57">
        <f t="shared" si="1657"/>
        <v>0.20355461928194529</v>
      </c>
      <c r="BF374" s="57">
        <f t="shared" ref="BF374:BF377" si="1697">IFERROR(SUM(BE338:BF338)/SUM(AZ338:BA338)*100-100,"")</f>
        <v>0.22496550101067214</v>
      </c>
      <c r="BG374" s="57">
        <f t="shared" ref="BG374:BG377" si="1698">IFERROR(SUM(BE338:BG338)/SUM(AZ338:BB338)*100-100,"")</f>
        <v>0.71845558747224914</v>
      </c>
      <c r="BH374" s="57">
        <f t="shared" ref="BH374:BH377" si="1699">IFERROR(SUM(BE338:BH338)/SUM(AZ338:BC338)*100-100,"")</f>
        <v>-1.7595765143724407E-2</v>
      </c>
      <c r="BI374" s="57">
        <f t="shared" si="1658"/>
        <v>-1.7595765143724407E-2</v>
      </c>
      <c r="BJ374" s="57">
        <f t="shared" si="1658"/>
        <v>-35.526451250633556</v>
      </c>
      <c r="BK374" s="57">
        <f t="shared" ref="BK374:BK377" si="1700">IFERROR(SUM(BJ338:BK338)/SUM(BE338:BF338)*100-100,"")</f>
        <v>-30.99753445237296</v>
      </c>
      <c r="BL374" s="57">
        <f t="shared" ref="BL374:BL377" si="1701">IFERROR(SUM(BJ338:BL338)/SUM(BE338:BG338)*100-100,"")</f>
        <v>-30.317807828669743</v>
      </c>
      <c r="BM374" s="57">
        <f t="shared" ref="BM374:BM377" si="1702">IFERROR(SUM(BJ338:BM338)/SUM(BE338:BH338)*100-100,"")</f>
        <v>-25.692995909753947</v>
      </c>
      <c r="BN374" s="57">
        <f t="shared" si="1659"/>
        <v>-25.692995909753947</v>
      </c>
      <c r="BO374" s="57">
        <f t="shared" si="1659"/>
        <v>-26.704843338559897</v>
      </c>
      <c r="BP374" s="57">
        <f t="shared" ref="BP374:BP377" si="1703">IFERROR(SUM(BO338:BP338)/SUM(BJ338:BK338)*100-100,"")</f>
        <v>-1.6256506349742637</v>
      </c>
      <c r="BQ374" s="57">
        <f t="shared" ref="BQ374:BQ377" si="1704">IFERROR(SUM(BO338:BQ338)/SUM(BJ338:BL338)*100-100,"")</f>
        <v>-4.4219913075106376</v>
      </c>
      <c r="BR374" s="57">
        <f t="shared" ref="BR374:BR377" si="1705">IFERROR(SUM(BO338:BR338)/SUM(BJ338:BM338)*100-100,"")</f>
        <v>2.728411664957946</v>
      </c>
      <c r="BS374" s="57">
        <f t="shared" si="1660"/>
        <v>2.728411664957946</v>
      </c>
      <c r="BT374" s="57">
        <f t="shared" si="1660"/>
        <v>2.8210731074363764</v>
      </c>
      <c r="BU374" s="57">
        <f t="shared" ref="BU374:BU377" si="1706">IFERROR(SUM(BT338:BU338)/SUM(BO338:BP338)*100-100,"")</f>
        <v>-16.43781720414546</v>
      </c>
      <c r="BV374" s="57">
        <f t="shared" ref="BV374:BV377" si="1707">IFERROR(SUM(BT338:BV338)/SUM(BO338:BQ338)*100-100,"")</f>
        <v>-6.3759942222661863</v>
      </c>
      <c r="BW374" s="57">
        <f t="shared" ref="BW374:BW377" si="1708">IFERROR(SUM(BT338:BW338)/SUM(BO338:BR338)*100-100,"")</f>
        <v>-5.1007723522579482</v>
      </c>
      <c r="BX374" s="57">
        <f t="shared" si="1661"/>
        <v>-5.1007723522579482</v>
      </c>
      <c r="BY374" s="57">
        <f t="shared" si="1661"/>
        <v>2.1909020925442633</v>
      </c>
      <c r="BZ374" s="57">
        <f t="shared" ref="BZ374:BZ377" si="1709">IFERROR(SUM(BY338:BZ338)/SUM(BT338:BU338)*100-100,"")</f>
        <v>13.042795714507264</v>
      </c>
      <c r="CA374" s="57">
        <f t="shared" ref="CA374:CA377" si="1710">IFERROR(SUM(BY338:CA338)/SUM(BT338:BV338)*100-100,"")</f>
        <v>4.0225130252468944</v>
      </c>
      <c r="CB374" s="57">
        <f t="shared" ref="CB374:CB377" si="1711">IFERROR(SUM(BY338:CB338)/SUM(BT338:BW338)*100-100,"")</f>
        <v>0.5441271126620677</v>
      </c>
      <c r="CC374" s="57">
        <f t="shared" si="1662"/>
        <v>0.5441271126620677</v>
      </c>
      <c r="CD374" s="57">
        <f t="shared" si="1662"/>
        <v>7.8349097724606196</v>
      </c>
      <c r="CE374" s="57">
        <f t="shared" ref="CE374:CE377" si="1712">IFERROR(SUM(CD338:CE338)/SUM(BY338:BZ338)*100-100,"")</f>
        <v>3.597954237880387</v>
      </c>
      <c r="CF374" s="57">
        <f t="shared" ref="CF374:CF377" si="1713">IFERROR(SUM(CD338:CF338)/SUM(BY338:CA338)*100-100,"")</f>
        <v>2.7167118920599478</v>
      </c>
      <c r="CG374" s="57">
        <f t="shared" ref="CG374:CG377" si="1714">IFERROR(SUM(CD338:CG338)/SUM(BY338:CB338)*100-100,"")</f>
        <v>2.3701708605490666</v>
      </c>
      <c r="CH374" s="57">
        <f t="shared" si="1663"/>
        <v>2.3701708605490666</v>
      </c>
      <c r="CI374" s="57">
        <f t="shared" si="1663"/>
        <v>10.621318499695292</v>
      </c>
      <c r="CJ374" s="57">
        <f t="shared" ref="CJ374:CJ377" si="1715">IFERROR(SUM(CI338:CJ338)/SUM(CD338:CE338)*100-100,"")</f>
        <v>-3.7468883488727585</v>
      </c>
      <c r="CK374" s="57">
        <f t="shared" ref="CK374:CK377" si="1716">IFERROR(SUM(CI338:CK338)/SUM(CD338:CF338)*100-100,"")</f>
        <v>-4.7136723211765883</v>
      </c>
      <c r="CL374" s="57">
        <f t="shared" ref="CL374:CL377" si="1717">IFERROR(SUM(CI338:CL338)/SUM(CD338:CG338)*100-100,"")</f>
        <v>-10.455409863780275</v>
      </c>
      <c r="CM374" s="57">
        <f t="shared" si="1664"/>
        <v>-10.455409863780275</v>
      </c>
      <c r="CN374" s="57">
        <f t="shared" si="1664"/>
        <v>-100</v>
      </c>
      <c r="CO374" s="57">
        <f t="shared" ref="CO374:CO377" si="1718">IFERROR(SUM(CN338:CO338)/SUM(CI338:CJ338)*100-100,"")</f>
        <v>-100</v>
      </c>
      <c r="CP374" s="57">
        <f t="shared" ref="CP374:CP377" si="1719">IFERROR(SUM(CN338:CP338)/SUM(CI338:CK338)*100-100,"")</f>
        <v>-100</v>
      </c>
      <c r="CQ374" s="57">
        <f t="shared" ref="CQ374:CQ377" si="1720">IFERROR(SUM(CN338:CQ338)/SUM(CI338:CL338)*100-100,"")</f>
        <v>-100</v>
      </c>
      <c r="CR374" s="57">
        <f t="shared" si="1665"/>
        <v>-100</v>
      </c>
    </row>
    <row r="375" spans="1:96" s="54" customFormat="1" ht="17.5" customHeight="1" x14ac:dyDescent="0.4">
      <c r="A375" s="52" t="s">
        <v>108</v>
      </c>
      <c r="B375" s="38"/>
      <c r="C375" s="38"/>
      <c r="D375" s="38"/>
      <c r="E375" s="38"/>
      <c r="F375" s="38"/>
      <c r="G375" s="57">
        <f t="shared" si="1666"/>
        <v>-10.901373572321916</v>
      </c>
      <c r="H375" s="57">
        <f t="shared" si="1667"/>
        <v>-10.344566964246553</v>
      </c>
      <c r="I375" s="57">
        <f t="shared" si="1668"/>
        <v>-10.621551932889275</v>
      </c>
      <c r="J375" s="57">
        <f t="shared" si="1669"/>
        <v>-9.2768028082567753</v>
      </c>
      <c r="K375" s="57">
        <f t="shared" si="1648"/>
        <v>-9.2768028082567895</v>
      </c>
      <c r="L375" s="57">
        <f t="shared" si="1648"/>
        <v>2.3502842553948255</v>
      </c>
      <c r="M375" s="57">
        <f t="shared" si="1670"/>
        <v>10.15795633509218</v>
      </c>
      <c r="N375" s="57">
        <f t="shared" si="1671"/>
        <v>12.56887581824428</v>
      </c>
      <c r="O375" s="57">
        <f t="shared" si="1672"/>
        <v>11.5954023116781</v>
      </c>
      <c r="P375" s="57">
        <f t="shared" si="1649"/>
        <v>11.595402311678129</v>
      </c>
      <c r="Q375" s="57">
        <f t="shared" si="1649"/>
        <v>27.307691522221916</v>
      </c>
      <c r="R375" s="57" t="str">
        <f t="shared" si="1673"/>
        <v/>
      </c>
      <c r="S375" s="57" t="str">
        <f t="shared" si="1674"/>
        <v/>
      </c>
      <c r="T375" s="57" t="str">
        <f t="shared" si="1675"/>
        <v/>
      </c>
      <c r="U375" s="57" t="str">
        <f t="shared" si="1650"/>
        <v/>
      </c>
      <c r="V375" s="57">
        <f t="shared" si="1650"/>
        <v>25.886094343112887</v>
      </c>
      <c r="W375" s="57" t="str">
        <f t="shared" si="1676"/>
        <v/>
      </c>
      <c r="X375" s="57" t="str">
        <f t="shared" si="1677"/>
        <v/>
      </c>
      <c r="Y375" s="57" t="str">
        <f t="shared" si="1678"/>
        <v/>
      </c>
      <c r="Z375" s="57" t="str">
        <f t="shared" si="1651"/>
        <v/>
      </c>
      <c r="AA375" s="57">
        <f t="shared" si="1651"/>
        <v>16.882475484864884</v>
      </c>
      <c r="AB375" s="57">
        <f t="shared" si="1679"/>
        <v>5.676520083632326</v>
      </c>
      <c r="AC375" s="57">
        <f t="shared" si="1680"/>
        <v>3.9075877384127153</v>
      </c>
      <c r="AD375" s="57">
        <f t="shared" si="1681"/>
        <v>5.0975536359405709</v>
      </c>
      <c r="AE375" s="57">
        <f t="shared" si="1652"/>
        <v>5.0975536359405567</v>
      </c>
      <c r="AF375" s="57">
        <f t="shared" si="1652"/>
        <v>2.4510557238185413</v>
      </c>
      <c r="AG375" s="57">
        <f t="shared" si="1682"/>
        <v>6.4233346449834983</v>
      </c>
      <c r="AH375" s="57">
        <f t="shared" si="1683"/>
        <v>7.2258866105291588</v>
      </c>
      <c r="AI375" s="57">
        <f t="shared" si="1684"/>
        <v>6.7450086101400757</v>
      </c>
      <c r="AJ375" s="57">
        <f t="shared" si="1653"/>
        <v>6.7450086101400899</v>
      </c>
      <c r="AK375" s="57">
        <f t="shared" si="1653"/>
        <v>-4.32162265268488</v>
      </c>
      <c r="AL375" s="57">
        <f t="shared" si="1685"/>
        <v>1.9096241075600346</v>
      </c>
      <c r="AM375" s="57">
        <f t="shared" si="1686"/>
        <v>4.6913871995967895</v>
      </c>
      <c r="AN375" s="57">
        <f t="shared" si="1687"/>
        <v>7.1248382709664639</v>
      </c>
      <c r="AO375" s="57">
        <f t="shared" si="1654"/>
        <v>7.1248382709664639</v>
      </c>
      <c r="AP375" s="57">
        <f t="shared" si="1654"/>
        <v>10.811936033696171</v>
      </c>
      <c r="AQ375" s="57">
        <f t="shared" si="1688"/>
        <v>9.0454459139910597</v>
      </c>
      <c r="AR375" s="57">
        <f t="shared" si="1689"/>
        <v>8.2002057313517014</v>
      </c>
      <c r="AS375" s="57">
        <f t="shared" si="1690"/>
        <v>7.4380453117067731</v>
      </c>
      <c r="AT375" s="57">
        <f t="shared" si="1655"/>
        <v>7.4380453117067731</v>
      </c>
      <c r="AU375" s="57">
        <f t="shared" si="1655"/>
        <v>6.7535976092199803</v>
      </c>
      <c r="AV375" s="57">
        <f t="shared" si="1691"/>
        <v>7.0928649669922379</v>
      </c>
      <c r="AW375" s="57">
        <f t="shared" si="1692"/>
        <v>6.879215826798486</v>
      </c>
      <c r="AX375" s="57">
        <f t="shared" si="1693"/>
        <v>6.4439733683927471</v>
      </c>
      <c r="AY375" s="57">
        <f t="shared" si="1656"/>
        <v>6.4439733683927471</v>
      </c>
      <c r="AZ375" s="57">
        <f t="shared" si="1656"/>
        <v>7.8287483990803679</v>
      </c>
      <c r="BA375" s="57">
        <f t="shared" si="1694"/>
        <v>6.9668498076907497</v>
      </c>
      <c r="BB375" s="57">
        <f t="shared" si="1695"/>
        <v>6.1616423031250207</v>
      </c>
      <c r="BC375" s="57">
        <f t="shared" si="1696"/>
        <v>4.9562004487908382</v>
      </c>
      <c r="BD375" s="57">
        <f t="shared" si="1657"/>
        <v>4.9562004487908098</v>
      </c>
      <c r="BE375" s="57">
        <f t="shared" si="1657"/>
        <v>3.0740562757185046</v>
      </c>
      <c r="BF375" s="57">
        <f t="shared" si="1697"/>
        <v>3.6260287271794738</v>
      </c>
      <c r="BG375" s="57">
        <f t="shared" si="1698"/>
        <v>4.8760718550311566</v>
      </c>
      <c r="BH375" s="57">
        <f t="shared" si="1699"/>
        <v>5.9882818015919668</v>
      </c>
      <c r="BI375" s="57">
        <f t="shared" si="1658"/>
        <v>5.9882818015919668</v>
      </c>
      <c r="BJ375" s="57">
        <f t="shared" si="1658"/>
        <v>2.1378304935500694</v>
      </c>
      <c r="BK375" s="57">
        <f t="shared" si="1700"/>
        <v>1.5651988020652539</v>
      </c>
      <c r="BL375" s="57">
        <f t="shared" si="1701"/>
        <v>1.3650085708781745</v>
      </c>
      <c r="BM375" s="57">
        <f t="shared" si="1702"/>
        <v>0.47315126623568915</v>
      </c>
      <c r="BN375" s="57">
        <f t="shared" si="1659"/>
        <v>0.47315126623568915</v>
      </c>
      <c r="BO375" s="57">
        <f t="shared" si="1659"/>
        <v>6.0546622741523208</v>
      </c>
      <c r="BP375" s="57">
        <f t="shared" si="1703"/>
        <v>5.6107713539412316</v>
      </c>
      <c r="BQ375" s="57">
        <f t="shared" si="1704"/>
        <v>5.7661451876799958</v>
      </c>
      <c r="BR375" s="57">
        <f t="shared" si="1705"/>
        <v>5.810828900063953</v>
      </c>
      <c r="BS375" s="57">
        <f t="shared" si="1660"/>
        <v>5.810828900063953</v>
      </c>
      <c r="BT375" s="57">
        <f t="shared" si="1660"/>
        <v>-2.3852136319155903</v>
      </c>
      <c r="BU375" s="57">
        <f t="shared" si="1706"/>
        <v>1.2687108386697901</v>
      </c>
      <c r="BV375" s="57">
        <f t="shared" si="1707"/>
        <v>0.42584416055662189</v>
      </c>
      <c r="BW375" s="57">
        <f t="shared" si="1708"/>
        <v>1.5660919634576089</v>
      </c>
      <c r="BX375" s="57">
        <f t="shared" si="1661"/>
        <v>1.5660919634576089</v>
      </c>
      <c r="BY375" s="57">
        <f t="shared" si="1661"/>
        <v>3.9679646136187046</v>
      </c>
      <c r="BZ375" s="57">
        <f t="shared" si="1709"/>
        <v>0.87534629636223826</v>
      </c>
      <c r="CA375" s="57">
        <f t="shared" si="1710"/>
        <v>1.9489177839733287</v>
      </c>
      <c r="CB375" s="57">
        <f t="shared" si="1711"/>
        <v>0.74729397482882121</v>
      </c>
      <c r="CC375" s="57">
        <f t="shared" si="1662"/>
        <v>0.74729397482882121</v>
      </c>
      <c r="CD375" s="57">
        <f t="shared" si="1662"/>
        <v>2.1110008350274683</v>
      </c>
      <c r="CE375" s="57">
        <f t="shared" si="1712"/>
        <v>2.3351631869033156</v>
      </c>
      <c r="CF375" s="57">
        <f t="shared" si="1713"/>
        <v>1.8299573944413794</v>
      </c>
      <c r="CG375" s="57">
        <f t="shared" si="1714"/>
        <v>2.1781672522137825</v>
      </c>
      <c r="CH375" s="57">
        <f t="shared" si="1663"/>
        <v>2.1781672522137825</v>
      </c>
      <c r="CI375" s="57">
        <f t="shared" si="1663"/>
        <v>1.9020185870333535</v>
      </c>
      <c r="CJ375" s="57">
        <f t="shared" si="1715"/>
        <v>1.3781876731857636</v>
      </c>
      <c r="CK375" s="57">
        <f t="shared" si="1716"/>
        <v>1.1532407369195568</v>
      </c>
      <c r="CL375" s="57">
        <f t="shared" si="1717"/>
        <v>1.0250714976015587</v>
      </c>
      <c r="CM375" s="57">
        <f t="shared" si="1664"/>
        <v>1.0250714976015587</v>
      </c>
      <c r="CN375" s="57">
        <f t="shared" si="1664"/>
        <v>-100</v>
      </c>
      <c r="CO375" s="57">
        <f t="shared" si="1718"/>
        <v>-100</v>
      </c>
      <c r="CP375" s="57">
        <f t="shared" si="1719"/>
        <v>-100</v>
      </c>
      <c r="CQ375" s="57">
        <f t="shared" si="1720"/>
        <v>-100</v>
      </c>
      <c r="CR375" s="57">
        <f t="shared" si="1665"/>
        <v>-100</v>
      </c>
    </row>
    <row r="376" spans="1:96" s="54" customFormat="1" ht="17.5" customHeight="1" x14ac:dyDescent="0.4">
      <c r="A376" s="52" t="s">
        <v>109</v>
      </c>
      <c r="B376" s="38"/>
      <c r="C376" s="38"/>
      <c r="D376" s="38"/>
      <c r="E376" s="38"/>
      <c r="F376" s="38"/>
      <c r="G376" s="57">
        <f t="shared" si="1666"/>
        <v>0.71841672668095669</v>
      </c>
      <c r="H376" s="57">
        <f t="shared" si="1667"/>
        <v>0.62548681958192276</v>
      </c>
      <c r="I376" s="57">
        <f t="shared" si="1668"/>
        <v>-1.1138707908287131</v>
      </c>
      <c r="J376" s="57">
        <f t="shared" si="1669"/>
        <v>0.97084300326221751</v>
      </c>
      <c r="K376" s="57">
        <f t="shared" si="1648"/>
        <v>0.97084300326221751</v>
      </c>
      <c r="L376" s="57">
        <f t="shared" si="1648"/>
        <v>1.9526808235409163</v>
      </c>
      <c r="M376" s="57">
        <f t="shared" si="1670"/>
        <v>3.5862899237029069</v>
      </c>
      <c r="N376" s="57">
        <f t="shared" si="1671"/>
        <v>4.6968581276986185</v>
      </c>
      <c r="O376" s="57">
        <f t="shared" si="1672"/>
        <v>5.6561880899475909</v>
      </c>
      <c r="P376" s="57">
        <f t="shared" si="1649"/>
        <v>5.6561880899475909</v>
      </c>
      <c r="Q376" s="57">
        <f t="shared" si="1649"/>
        <v>12.254590293576939</v>
      </c>
      <c r="R376" s="57" t="str">
        <f t="shared" si="1673"/>
        <v/>
      </c>
      <c r="S376" s="57" t="str">
        <f t="shared" si="1674"/>
        <v/>
      </c>
      <c r="T376" s="57" t="str">
        <f t="shared" si="1675"/>
        <v/>
      </c>
      <c r="U376" s="57" t="str">
        <f t="shared" si="1650"/>
        <v/>
      </c>
      <c r="V376" s="57">
        <f t="shared" si="1650"/>
        <v>13.354733196833905</v>
      </c>
      <c r="W376" s="57" t="str">
        <f t="shared" si="1676"/>
        <v/>
      </c>
      <c r="X376" s="57" t="str">
        <f t="shared" si="1677"/>
        <v/>
      </c>
      <c r="Y376" s="57" t="str">
        <f t="shared" si="1678"/>
        <v/>
      </c>
      <c r="Z376" s="57" t="str">
        <f t="shared" si="1651"/>
        <v/>
      </c>
      <c r="AA376" s="57">
        <f t="shared" si="1651"/>
        <v>21.575485393970027</v>
      </c>
      <c r="AB376" s="57">
        <f t="shared" si="1679"/>
        <v>11.429453288392537</v>
      </c>
      <c r="AC376" s="57">
        <f t="shared" si="1680"/>
        <v>8.659959893631509</v>
      </c>
      <c r="AD376" s="57">
        <f t="shared" si="1681"/>
        <v>8.0313588268054588</v>
      </c>
      <c r="AE376" s="57">
        <f t="shared" si="1652"/>
        <v>8.0313588268054588</v>
      </c>
      <c r="AF376" s="57">
        <f t="shared" si="1652"/>
        <v>2.4428366617843977</v>
      </c>
      <c r="AG376" s="57">
        <f t="shared" si="1682"/>
        <v>3.7333224111310699</v>
      </c>
      <c r="AH376" s="57">
        <f t="shared" si="1683"/>
        <v>4.601626231946085</v>
      </c>
      <c r="AI376" s="57">
        <f t="shared" si="1684"/>
        <v>6.2393148646744834</v>
      </c>
      <c r="AJ376" s="57">
        <f t="shared" si="1653"/>
        <v>6.2393148646745118</v>
      </c>
      <c r="AK376" s="57">
        <f t="shared" si="1653"/>
        <v>4.935316078802515</v>
      </c>
      <c r="AL376" s="57">
        <f t="shared" si="1685"/>
        <v>7.8343110988974729</v>
      </c>
      <c r="AM376" s="57">
        <f t="shared" si="1686"/>
        <v>8.6485280692246533</v>
      </c>
      <c r="AN376" s="57">
        <f t="shared" si="1687"/>
        <v>9.3713220723524557</v>
      </c>
      <c r="AO376" s="57">
        <f t="shared" si="1654"/>
        <v>9.3713220723524273</v>
      </c>
      <c r="AP376" s="57">
        <f t="shared" si="1654"/>
        <v>11.519204347237164</v>
      </c>
      <c r="AQ376" s="57">
        <f t="shared" si="1688"/>
        <v>8.2950003157575622</v>
      </c>
      <c r="AR376" s="57">
        <f t="shared" si="1689"/>
        <v>6.3015428368318851</v>
      </c>
      <c r="AS376" s="57">
        <f t="shared" si="1690"/>
        <v>4.6454294894307679</v>
      </c>
      <c r="AT376" s="57">
        <f t="shared" si="1655"/>
        <v>4.6454294894307679</v>
      </c>
      <c r="AU376" s="57">
        <f t="shared" si="1655"/>
        <v>2.1494101592172399</v>
      </c>
      <c r="AV376" s="57">
        <f t="shared" si="1691"/>
        <v>2.9820857325809129</v>
      </c>
      <c r="AW376" s="57">
        <f t="shared" si="1692"/>
        <v>4.0265728822422346</v>
      </c>
      <c r="AX376" s="57">
        <f t="shared" si="1693"/>
        <v>4.0990547163730184</v>
      </c>
      <c r="AY376" s="57">
        <f t="shared" si="1656"/>
        <v>4.0990547163730184</v>
      </c>
      <c r="AZ376" s="57">
        <f t="shared" si="1656"/>
        <v>3.0091870804503458</v>
      </c>
      <c r="BA376" s="57">
        <f t="shared" si="1694"/>
        <v>2.6927982275388018</v>
      </c>
      <c r="BB376" s="57">
        <f t="shared" si="1695"/>
        <v>1.8282809142994267</v>
      </c>
      <c r="BC376" s="57">
        <f t="shared" si="1696"/>
        <v>1.4307613993007635</v>
      </c>
      <c r="BD376" s="57">
        <f t="shared" si="1657"/>
        <v>1.4307613993007635</v>
      </c>
      <c r="BE376" s="57">
        <f t="shared" si="1657"/>
        <v>1.6854840506753419</v>
      </c>
      <c r="BF376" s="57">
        <f t="shared" si="1697"/>
        <v>2.066807046576244</v>
      </c>
      <c r="BG376" s="57">
        <f t="shared" si="1698"/>
        <v>3.487080771922038</v>
      </c>
      <c r="BH376" s="57">
        <f t="shared" si="1699"/>
        <v>2.9305378465119531</v>
      </c>
      <c r="BI376" s="57">
        <f t="shared" si="1658"/>
        <v>2.9305378465119105</v>
      </c>
      <c r="BJ376" s="57">
        <f t="shared" si="1658"/>
        <v>-17.636777380838737</v>
      </c>
      <c r="BK376" s="57">
        <f t="shared" si="1700"/>
        <v>-15.675933341423814</v>
      </c>
      <c r="BL376" s="57">
        <f t="shared" si="1701"/>
        <v>-15.969562579795905</v>
      </c>
      <c r="BM376" s="57">
        <f t="shared" si="1702"/>
        <v>-13.740983114687921</v>
      </c>
      <c r="BN376" s="57">
        <f t="shared" si="1659"/>
        <v>-13.740983114687893</v>
      </c>
      <c r="BO376" s="57">
        <f t="shared" si="1659"/>
        <v>-7.3651921047481039</v>
      </c>
      <c r="BP376" s="57">
        <f t="shared" si="1703"/>
        <v>0.410846109396104</v>
      </c>
      <c r="BQ376" s="57">
        <f t="shared" si="1704"/>
        <v>-1.4361121291764078</v>
      </c>
      <c r="BR376" s="57">
        <f t="shared" si="1705"/>
        <v>1.6538437678622131</v>
      </c>
      <c r="BS376" s="57">
        <f t="shared" si="1660"/>
        <v>1.6538437678621989</v>
      </c>
      <c r="BT376" s="57">
        <f t="shared" si="1660"/>
        <v>-2.0711523551969435</v>
      </c>
      <c r="BU376" s="57">
        <f t="shared" si="1706"/>
        <v>-7.633120452683599</v>
      </c>
      <c r="BV376" s="57">
        <f t="shared" si="1707"/>
        <v>-3.962774604250626</v>
      </c>
      <c r="BW376" s="57">
        <f t="shared" si="1708"/>
        <v>-3.465139674599655</v>
      </c>
      <c r="BX376" s="57">
        <f t="shared" si="1661"/>
        <v>-3.4651396745996408</v>
      </c>
      <c r="BY376" s="57">
        <f t="shared" si="1661"/>
        <v>-0.57467503261550235</v>
      </c>
      <c r="BZ376" s="57">
        <f t="shared" si="1709"/>
        <v>1.1244644959089243</v>
      </c>
      <c r="CA376" s="57">
        <f t="shared" si="1710"/>
        <v>-0.95912749999745017</v>
      </c>
      <c r="CB376" s="57">
        <f t="shared" si="1711"/>
        <v>-2.3784519651762253</v>
      </c>
      <c r="CC376" s="57">
        <f t="shared" si="1662"/>
        <v>-2.3784519651762253</v>
      </c>
      <c r="CD376" s="57">
        <f t="shared" si="1662"/>
        <v>3.8131754809543423</v>
      </c>
      <c r="CE376" s="57">
        <f t="shared" si="1712"/>
        <v>2.8172000380597808</v>
      </c>
      <c r="CF376" s="57">
        <f t="shared" si="1713"/>
        <v>0.98425158747235741</v>
      </c>
      <c r="CG376" s="57">
        <f t="shared" si="1714"/>
        <v>1.1168382570268136</v>
      </c>
      <c r="CH376" s="57">
        <f t="shared" si="1663"/>
        <v>1.1168382570268136</v>
      </c>
      <c r="CI376" s="57">
        <f t="shared" si="1663"/>
        <v>2.1675073368177209</v>
      </c>
      <c r="CJ376" s="57">
        <f t="shared" si="1715"/>
        <v>-2.8905324880482937</v>
      </c>
      <c r="CK376" s="57">
        <f t="shared" si="1716"/>
        <v>-3.4675424543858639</v>
      </c>
      <c r="CL376" s="57">
        <f t="shared" si="1717"/>
        <v>-7.0001551412850631</v>
      </c>
      <c r="CM376" s="57">
        <f t="shared" si="1664"/>
        <v>-7.0001551412850773</v>
      </c>
      <c r="CN376" s="57">
        <f t="shared" si="1664"/>
        <v>-100</v>
      </c>
      <c r="CO376" s="57">
        <f t="shared" si="1718"/>
        <v>-100</v>
      </c>
      <c r="CP376" s="57">
        <f t="shared" si="1719"/>
        <v>-100</v>
      </c>
      <c r="CQ376" s="57">
        <f t="shared" si="1720"/>
        <v>-100</v>
      </c>
      <c r="CR376" s="57">
        <f t="shared" si="1665"/>
        <v>-100</v>
      </c>
    </row>
    <row r="377" spans="1:96" s="9" customFormat="1" ht="23.25" customHeight="1" thickBot="1" x14ac:dyDescent="0.35">
      <c r="A377" s="26" t="s">
        <v>95</v>
      </c>
      <c r="B377" s="38"/>
      <c r="C377" s="38"/>
      <c r="D377" s="38"/>
      <c r="E377" s="38"/>
      <c r="F377" s="38"/>
      <c r="G377" s="61">
        <f t="shared" si="1666"/>
        <v>7.4517138547180934</v>
      </c>
      <c r="H377" s="61">
        <f t="shared" si="1667"/>
        <v>6.8920102390483748</v>
      </c>
      <c r="I377" s="61">
        <f t="shared" si="1668"/>
        <v>6.9773089821951686</v>
      </c>
      <c r="J377" s="61">
        <f t="shared" si="1669"/>
        <v>7.098892651540595</v>
      </c>
      <c r="K377" s="61">
        <f t="shared" si="1648"/>
        <v>7.098892651540595</v>
      </c>
      <c r="L377" s="61">
        <f t="shared" si="1648"/>
        <v>7.0428467309297815</v>
      </c>
      <c r="M377" s="61">
        <f t="shared" si="1670"/>
        <v>8.0333250543221482</v>
      </c>
      <c r="N377" s="61">
        <f t="shared" si="1671"/>
        <v>8.2244830390274331</v>
      </c>
      <c r="O377" s="61">
        <f t="shared" si="1672"/>
        <v>7.8631633100608269</v>
      </c>
      <c r="P377" s="61">
        <f t="shared" si="1649"/>
        <v>7.8631633100608269</v>
      </c>
      <c r="Q377" s="61">
        <f t="shared" si="1649"/>
        <v>7.0254756458752752</v>
      </c>
      <c r="R377" s="61" t="str">
        <f t="shared" si="1673"/>
        <v/>
      </c>
      <c r="S377" s="61" t="str">
        <f t="shared" si="1674"/>
        <v/>
      </c>
      <c r="T377" s="61" t="str">
        <f t="shared" si="1675"/>
        <v/>
      </c>
      <c r="U377" s="61" t="str">
        <f t="shared" si="1650"/>
        <v/>
      </c>
      <c r="V377" s="61">
        <f t="shared" si="1650"/>
        <v>8.8341768308686852</v>
      </c>
      <c r="W377" s="61" t="str">
        <f t="shared" si="1676"/>
        <v/>
      </c>
      <c r="X377" s="61" t="str">
        <f t="shared" si="1677"/>
        <v/>
      </c>
      <c r="Y377" s="61" t="str">
        <f t="shared" si="1678"/>
        <v/>
      </c>
      <c r="Z377" s="61" t="str">
        <f t="shared" si="1651"/>
        <v/>
      </c>
      <c r="AA377" s="61">
        <f t="shared" si="1651"/>
        <v>2.5943105834689675</v>
      </c>
      <c r="AB377" s="61">
        <f t="shared" si="1679"/>
        <v>2.6162135120815861</v>
      </c>
      <c r="AC377" s="61">
        <f t="shared" si="1680"/>
        <v>3.6395105292344283</v>
      </c>
      <c r="AD377" s="61">
        <f t="shared" si="1681"/>
        <v>5.1497817613969943</v>
      </c>
      <c r="AE377" s="61">
        <f t="shared" si="1652"/>
        <v>5.149781761396909</v>
      </c>
      <c r="AF377" s="61">
        <f t="shared" si="1652"/>
        <v>8.8954167228493048</v>
      </c>
      <c r="AG377" s="61">
        <f t="shared" si="1682"/>
        <v>8.2296897055412757</v>
      </c>
      <c r="AH377" s="61">
        <f t="shared" si="1683"/>
        <v>7.588859843765448</v>
      </c>
      <c r="AI377" s="61">
        <f t="shared" si="1684"/>
        <v>6.4751330461221954</v>
      </c>
      <c r="AJ377" s="61">
        <f t="shared" si="1653"/>
        <v>6.4751330461222665</v>
      </c>
      <c r="AK377" s="61">
        <f t="shared" si="1653"/>
        <v>4.2236389977340849</v>
      </c>
      <c r="AL377" s="61">
        <f t="shared" si="1685"/>
        <v>5.0290733265439655</v>
      </c>
      <c r="AM377" s="61">
        <f t="shared" si="1686"/>
        <v>5.5031961944413581</v>
      </c>
      <c r="AN377" s="61">
        <f t="shared" si="1687"/>
        <v>6.0282806203064467</v>
      </c>
      <c r="AO377" s="61">
        <f t="shared" si="1654"/>
        <v>6.0282806203064183</v>
      </c>
      <c r="AP377" s="61">
        <f t="shared" si="1654"/>
        <v>6.0510487115417106</v>
      </c>
      <c r="AQ377" s="61">
        <f t="shared" si="1688"/>
        <v>6.396774397705201</v>
      </c>
      <c r="AR377" s="61">
        <f t="shared" si="1689"/>
        <v>6.1477324314039805</v>
      </c>
      <c r="AS377" s="61">
        <f t="shared" si="1690"/>
        <v>5.8918624783031106</v>
      </c>
      <c r="AT377" s="61">
        <f t="shared" si="1655"/>
        <v>5.8918624783030964</v>
      </c>
      <c r="AU377" s="61">
        <f t="shared" si="1655"/>
        <v>6.5261534138702899</v>
      </c>
      <c r="AV377" s="61">
        <f t="shared" si="1691"/>
        <v>6.004625963018384</v>
      </c>
      <c r="AW377" s="61">
        <f t="shared" si="1692"/>
        <v>5.9977901369329771</v>
      </c>
      <c r="AX377" s="61">
        <f t="shared" si="1693"/>
        <v>5.8986098714906916</v>
      </c>
      <c r="AY377" s="61">
        <f t="shared" si="1656"/>
        <v>5.8986098714907342</v>
      </c>
      <c r="AZ377" s="61">
        <f t="shared" si="1656"/>
        <v>5.4668711467967341</v>
      </c>
      <c r="BA377" s="61">
        <f t="shared" si="1694"/>
        <v>5.4894095580651623</v>
      </c>
      <c r="BB377" s="61">
        <f t="shared" si="1695"/>
        <v>5.9314739377043253</v>
      </c>
      <c r="BC377" s="61">
        <f t="shared" si="1696"/>
        <v>5.9925059309857289</v>
      </c>
      <c r="BD377" s="61">
        <f t="shared" si="1657"/>
        <v>5.9925059309856579</v>
      </c>
      <c r="BE377" s="61">
        <f t="shared" si="1657"/>
        <v>6.4833610337002909</v>
      </c>
      <c r="BF377" s="61">
        <f t="shared" si="1697"/>
        <v>6.6687659923521778</v>
      </c>
      <c r="BG377" s="61">
        <f t="shared" si="1698"/>
        <v>6.2720867847807256</v>
      </c>
      <c r="BH377" s="61">
        <f t="shared" si="1699"/>
        <v>5.9777945501679568</v>
      </c>
      <c r="BI377" s="61">
        <f t="shared" si="1658"/>
        <v>5.9777945501680421</v>
      </c>
      <c r="BJ377" s="61">
        <f t="shared" si="1658"/>
        <v>4.4072999990145973</v>
      </c>
      <c r="BK377" s="61">
        <f t="shared" si="1700"/>
        <v>2.1048836854157429</v>
      </c>
      <c r="BL377" s="61">
        <f t="shared" si="1701"/>
        <v>0.94553283346323269</v>
      </c>
      <c r="BM377" s="61">
        <f t="shared" si="1702"/>
        <v>-2.9554747626676203E-2</v>
      </c>
      <c r="BN377" s="61">
        <f t="shared" si="1659"/>
        <v>-2.9554747626704625E-2</v>
      </c>
      <c r="BO377" s="61">
        <f t="shared" si="1659"/>
        <v>-0.7858419543382098</v>
      </c>
      <c r="BP377" s="61">
        <f t="shared" si="1703"/>
        <v>2.1667848435895252</v>
      </c>
      <c r="BQ377" s="61">
        <f t="shared" si="1704"/>
        <v>2.7628678600297718</v>
      </c>
      <c r="BR377" s="61">
        <f t="shared" si="1705"/>
        <v>3.8265011509498947</v>
      </c>
      <c r="BS377" s="61">
        <f t="shared" si="1660"/>
        <v>3.8265011509499089</v>
      </c>
      <c r="BT377" s="61">
        <f t="shared" si="1660"/>
        <v>3.980549219270074</v>
      </c>
      <c r="BU377" s="61">
        <f t="shared" si="1706"/>
        <v>4.726626718055968</v>
      </c>
      <c r="BV377" s="61">
        <f t="shared" si="1707"/>
        <v>5.2823182193246367</v>
      </c>
      <c r="BW377" s="61">
        <f t="shared" si="1708"/>
        <v>5.6539643603184828</v>
      </c>
      <c r="BX377" s="61">
        <f t="shared" si="1661"/>
        <v>5.6539643603185112</v>
      </c>
      <c r="BY377" s="61">
        <f t="shared" si="1661"/>
        <v>5.577289327311604</v>
      </c>
      <c r="BZ377" s="61">
        <f t="shared" si="1709"/>
        <v>5.4594923804944102</v>
      </c>
      <c r="CA377" s="61">
        <f t="shared" si="1710"/>
        <v>5.0226747931017428</v>
      </c>
      <c r="CB377" s="61">
        <f t="shared" si="1711"/>
        <v>4.4116622361057125</v>
      </c>
      <c r="CC377" s="61">
        <f t="shared" si="1662"/>
        <v>4.4116622361056699</v>
      </c>
      <c r="CD377" s="61">
        <f t="shared" si="1662"/>
        <v>5.0241348829056278</v>
      </c>
      <c r="CE377" s="61">
        <f t="shared" si="1712"/>
        <v>4.1756557186006802</v>
      </c>
      <c r="CF377" s="61">
        <f t="shared" si="1713"/>
        <v>4.4680256360538806</v>
      </c>
      <c r="CG377" s="61">
        <f t="shared" si="1714"/>
        <v>4.6181963294361594</v>
      </c>
      <c r="CH377" s="61">
        <f t="shared" si="1663"/>
        <v>4.6181963294361594</v>
      </c>
      <c r="CI377" s="61">
        <f t="shared" si="1663"/>
        <v>5.2495683903091503</v>
      </c>
      <c r="CJ377" s="61">
        <f t="shared" si="1715"/>
        <v>4.5144435553445845</v>
      </c>
      <c r="CK377" s="61">
        <f t="shared" si="1716"/>
        <v>4.3458868752779551</v>
      </c>
      <c r="CL377" s="61">
        <f t="shared" si="1717"/>
        <v>4.5948950489985521</v>
      </c>
      <c r="CM377" s="61">
        <f t="shared" si="1664"/>
        <v>4.5948950489985521</v>
      </c>
      <c r="CN377" s="61">
        <f t="shared" si="1664"/>
        <v>-100</v>
      </c>
      <c r="CO377" s="61">
        <f t="shared" si="1718"/>
        <v>-100</v>
      </c>
      <c r="CP377" s="61">
        <f t="shared" si="1719"/>
        <v>-100</v>
      </c>
      <c r="CQ377" s="61">
        <f t="shared" si="1720"/>
        <v>-100</v>
      </c>
      <c r="CR377" s="61">
        <f t="shared" si="1665"/>
        <v>-100</v>
      </c>
    </row>
    <row r="379" spans="1:96" s="31" customFormat="1" ht="15" x14ac:dyDescent="0.4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  <c r="AW379" s="30"/>
      <c r="AX379" s="30"/>
      <c r="AY379" s="30"/>
      <c r="AZ379" s="30"/>
      <c r="BA379" s="30"/>
      <c r="BB379" s="30"/>
      <c r="BC379" s="30"/>
      <c r="BD379" s="30"/>
      <c r="BE379" s="30"/>
      <c r="BF379" s="30"/>
      <c r="BG379" s="30"/>
      <c r="BH379" s="30"/>
      <c r="BI379" s="30"/>
      <c r="BJ379" s="30"/>
      <c r="BK379" s="30"/>
      <c r="BL379" s="30"/>
      <c r="BM379" s="30"/>
      <c r="BN379" s="30"/>
      <c r="BO379" s="30"/>
      <c r="BP379" s="30"/>
      <c r="BQ379" s="30"/>
      <c r="BR379" s="30"/>
      <c r="BS379" s="30"/>
      <c r="BT379" s="30"/>
      <c r="BU379" s="30"/>
      <c r="BV379" s="30"/>
      <c r="BW379" s="30"/>
      <c r="BX379" s="30"/>
      <c r="BY379" s="30"/>
      <c r="BZ379" s="30"/>
      <c r="CA379" s="30"/>
      <c r="CB379" s="30"/>
      <c r="CC379" s="30"/>
      <c r="CD379" s="30"/>
      <c r="CE379" s="30"/>
      <c r="CF379" s="30"/>
      <c r="CG379" s="30"/>
      <c r="CH379" s="30"/>
      <c r="CI379" s="30"/>
      <c r="CJ379" s="30"/>
      <c r="CK379" s="30"/>
      <c r="CL379" s="30"/>
      <c r="CM379" s="30"/>
      <c r="CN379" s="30"/>
      <c r="CO379" s="30"/>
      <c r="CP379" s="30"/>
      <c r="CQ379" s="30"/>
      <c r="CR379" s="30"/>
    </row>
    <row r="380" spans="1:96" s="31" customFormat="1" ht="15" x14ac:dyDescent="0.4">
      <c r="A380" s="32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  <c r="AT380" s="33"/>
      <c r="AU380" s="33"/>
      <c r="AV380" s="33"/>
      <c r="AW380" s="33"/>
      <c r="AX380" s="33"/>
      <c r="AY380" s="33"/>
      <c r="AZ380" s="33"/>
      <c r="BA380" s="33"/>
      <c r="BB380" s="33"/>
      <c r="BC380" s="33"/>
      <c r="BD380" s="33"/>
      <c r="BE380" s="33"/>
      <c r="BF380" s="33"/>
      <c r="BG380" s="33"/>
      <c r="BH380" s="33"/>
      <c r="BI380" s="33"/>
      <c r="BJ380" s="33"/>
      <c r="BK380" s="33"/>
      <c r="BL380" s="33"/>
      <c r="BM380" s="33"/>
      <c r="BN380" s="33"/>
      <c r="BO380" s="33"/>
      <c r="BP380" s="33"/>
      <c r="BQ380" s="33"/>
      <c r="BR380" s="33"/>
      <c r="BS380" s="33"/>
      <c r="BT380" s="33"/>
      <c r="BU380" s="33"/>
      <c r="BV380" s="33"/>
      <c r="BW380" s="33"/>
      <c r="BX380" s="33"/>
      <c r="BY380" s="33"/>
      <c r="BZ380" s="33"/>
      <c r="CA380" s="33"/>
      <c r="CB380" s="33"/>
      <c r="CC380" s="33"/>
      <c r="CD380" s="33"/>
      <c r="CE380" s="33"/>
      <c r="CF380" s="33"/>
      <c r="CG380" s="33"/>
      <c r="CH380" s="33"/>
      <c r="CI380" s="33"/>
      <c r="CJ380" s="33"/>
      <c r="CK380" s="33"/>
      <c r="CL380" s="33"/>
      <c r="CM380" s="33"/>
      <c r="CN380" s="33"/>
      <c r="CO380" s="33"/>
      <c r="CP380" s="33"/>
      <c r="CQ380" s="33"/>
      <c r="CR380" s="33"/>
    </row>
    <row r="381" spans="1:96" ht="20" x14ac:dyDescent="0.4">
      <c r="A381" s="1" t="s">
        <v>100</v>
      </c>
    </row>
    <row r="382" spans="1:96" ht="20.5" thickBot="1" x14ac:dyDescent="0.45">
      <c r="A382" s="1" t="str">
        <f>A370</f>
        <v>Kabupaten/Kota :</v>
      </c>
      <c r="B382" s="35" t="str">
        <f>B370</f>
        <v>Kepuluauan Tanimbar</v>
      </c>
      <c r="L382" s="35"/>
      <c r="V382" s="35"/>
      <c r="AF382" s="35"/>
      <c r="AP382" s="35"/>
      <c r="AZ382" s="35"/>
      <c r="BJ382" s="35"/>
      <c r="BT382" s="35"/>
    </row>
    <row r="383" spans="1:96" s="9" customFormat="1" ht="24" customHeight="1" thickBot="1" x14ac:dyDescent="0.35">
      <c r="A383" s="5" t="s">
        <v>2</v>
      </c>
      <c r="B383" s="6" t="s">
        <v>3</v>
      </c>
      <c r="C383" s="6" t="s">
        <v>4</v>
      </c>
      <c r="D383" s="6" t="s">
        <v>5</v>
      </c>
      <c r="E383" s="6" t="s">
        <v>6</v>
      </c>
      <c r="F383" s="6">
        <v>2008</v>
      </c>
      <c r="G383" s="7" t="s">
        <v>7</v>
      </c>
      <c r="H383" s="7" t="s">
        <v>8</v>
      </c>
      <c r="I383" s="7" t="s">
        <v>9</v>
      </c>
      <c r="J383" s="7" t="s">
        <v>10</v>
      </c>
      <c r="K383" s="7">
        <v>2009</v>
      </c>
      <c r="L383" s="6" t="s">
        <v>11</v>
      </c>
      <c r="M383" s="6" t="s">
        <v>12</v>
      </c>
      <c r="N383" s="6" t="s">
        <v>13</v>
      </c>
      <c r="O383" s="6" t="s">
        <v>14</v>
      </c>
      <c r="P383" s="6">
        <v>2010</v>
      </c>
      <c r="Q383" s="7" t="s">
        <v>15</v>
      </c>
      <c r="R383" s="7" t="s">
        <v>16</v>
      </c>
      <c r="S383" s="7" t="s">
        <v>17</v>
      </c>
      <c r="T383" s="7" t="s">
        <v>18</v>
      </c>
      <c r="U383" s="7">
        <v>2011</v>
      </c>
      <c r="V383" s="6" t="s">
        <v>19</v>
      </c>
      <c r="W383" s="6" t="s">
        <v>20</v>
      </c>
      <c r="X383" s="6" t="s">
        <v>21</v>
      </c>
      <c r="Y383" s="6" t="s">
        <v>22</v>
      </c>
      <c r="Z383" s="6">
        <v>2012</v>
      </c>
      <c r="AA383" s="7" t="s">
        <v>23</v>
      </c>
      <c r="AB383" s="7" t="s">
        <v>24</v>
      </c>
      <c r="AC383" s="7" t="s">
        <v>25</v>
      </c>
      <c r="AD383" s="7" t="s">
        <v>26</v>
      </c>
      <c r="AE383" s="7">
        <v>2013</v>
      </c>
      <c r="AF383" s="6" t="s">
        <v>27</v>
      </c>
      <c r="AG383" s="6" t="s">
        <v>28</v>
      </c>
      <c r="AH383" s="6" t="s">
        <v>29</v>
      </c>
      <c r="AI383" s="6" t="s">
        <v>30</v>
      </c>
      <c r="AJ383" s="6">
        <v>2014</v>
      </c>
      <c r="AK383" s="7" t="s">
        <v>31</v>
      </c>
      <c r="AL383" s="7" t="s">
        <v>32</v>
      </c>
      <c r="AM383" s="7" t="s">
        <v>33</v>
      </c>
      <c r="AN383" s="7" t="s">
        <v>34</v>
      </c>
      <c r="AO383" s="7">
        <v>2015</v>
      </c>
      <c r="AP383" s="6" t="s">
        <v>35</v>
      </c>
      <c r="AQ383" s="6" t="s">
        <v>36</v>
      </c>
      <c r="AR383" s="6" t="s">
        <v>37</v>
      </c>
      <c r="AS383" s="6" t="s">
        <v>38</v>
      </c>
      <c r="AT383" s="6">
        <v>2016</v>
      </c>
      <c r="AU383" s="7" t="s">
        <v>39</v>
      </c>
      <c r="AV383" s="7" t="s">
        <v>40</v>
      </c>
      <c r="AW383" s="7" t="s">
        <v>41</v>
      </c>
      <c r="AX383" s="7" t="s">
        <v>42</v>
      </c>
      <c r="AY383" s="7">
        <v>2017</v>
      </c>
      <c r="AZ383" s="6" t="s">
        <v>43</v>
      </c>
      <c r="BA383" s="6" t="s">
        <v>44</v>
      </c>
      <c r="BB383" s="6" t="s">
        <v>45</v>
      </c>
      <c r="BC383" s="6" t="s">
        <v>46</v>
      </c>
      <c r="BD383" s="6">
        <v>2018</v>
      </c>
      <c r="BE383" s="7" t="s">
        <v>47</v>
      </c>
      <c r="BF383" s="7" t="s">
        <v>48</v>
      </c>
      <c r="BG383" s="7" t="s">
        <v>49</v>
      </c>
      <c r="BH383" s="7" t="s">
        <v>50</v>
      </c>
      <c r="BI383" s="7">
        <v>2019</v>
      </c>
      <c r="BJ383" s="6" t="s">
        <v>51</v>
      </c>
      <c r="BK383" s="6" t="s">
        <v>52</v>
      </c>
      <c r="BL383" s="6" t="s">
        <v>53</v>
      </c>
      <c r="BM383" s="6" t="s">
        <v>54</v>
      </c>
      <c r="BN383" s="6">
        <v>2020</v>
      </c>
      <c r="BO383" s="7" t="s">
        <v>55</v>
      </c>
      <c r="BP383" s="7" t="s">
        <v>56</v>
      </c>
      <c r="BQ383" s="7" t="s">
        <v>57</v>
      </c>
      <c r="BR383" s="7" t="s">
        <v>58</v>
      </c>
      <c r="BS383" s="7">
        <v>2021</v>
      </c>
      <c r="BT383" s="6" t="s">
        <v>59</v>
      </c>
      <c r="BU383" s="6" t="s">
        <v>60</v>
      </c>
      <c r="BV383" s="6" t="s">
        <v>61</v>
      </c>
      <c r="BW383" s="6" t="s">
        <v>62</v>
      </c>
      <c r="BX383" s="6">
        <v>2022</v>
      </c>
      <c r="BY383" s="7" t="s">
        <v>63</v>
      </c>
      <c r="BZ383" s="7" t="s">
        <v>64</v>
      </c>
      <c r="CA383" s="7" t="s">
        <v>65</v>
      </c>
      <c r="CB383" s="7" t="s">
        <v>66</v>
      </c>
      <c r="CC383" s="7">
        <v>2023</v>
      </c>
      <c r="CD383" s="8" t="s">
        <v>67</v>
      </c>
      <c r="CE383" s="8" t="s">
        <v>68</v>
      </c>
      <c r="CF383" s="8" t="s">
        <v>69</v>
      </c>
      <c r="CG383" s="8" t="s">
        <v>70</v>
      </c>
      <c r="CH383" s="8">
        <v>2024</v>
      </c>
      <c r="CI383" s="7" t="s">
        <v>71</v>
      </c>
      <c r="CJ383" s="7" t="s">
        <v>72</v>
      </c>
      <c r="CK383" s="7" t="s">
        <v>73</v>
      </c>
      <c r="CL383" s="7" t="s">
        <v>74</v>
      </c>
      <c r="CM383" s="7">
        <v>2025</v>
      </c>
      <c r="CN383" s="8" t="s">
        <v>75</v>
      </c>
      <c r="CO383" s="8" t="s">
        <v>76</v>
      </c>
      <c r="CP383" s="8" t="s">
        <v>77</v>
      </c>
      <c r="CQ383" s="8" t="s">
        <v>78</v>
      </c>
      <c r="CR383" s="8">
        <v>2026</v>
      </c>
    </row>
    <row r="384" spans="1:96" s="9" customFormat="1" ht="13.5" thickBot="1" x14ac:dyDescent="0.35">
      <c r="A384" s="10">
        <v>-1</v>
      </c>
      <c r="B384" s="11">
        <f>A384-1</f>
        <v>-2</v>
      </c>
      <c r="C384" s="11">
        <f>B384-1</f>
        <v>-3</v>
      </c>
      <c r="D384" s="11">
        <f t="shared" ref="D384:BO384" si="1721">C384-1</f>
        <v>-4</v>
      </c>
      <c r="E384" s="11">
        <f t="shared" si="1721"/>
        <v>-5</v>
      </c>
      <c r="F384" s="11">
        <f t="shared" si="1721"/>
        <v>-6</v>
      </c>
      <c r="G384" s="11">
        <f t="shared" si="1721"/>
        <v>-7</v>
      </c>
      <c r="H384" s="11">
        <f t="shared" si="1721"/>
        <v>-8</v>
      </c>
      <c r="I384" s="11">
        <f t="shared" si="1721"/>
        <v>-9</v>
      </c>
      <c r="J384" s="11">
        <f t="shared" si="1721"/>
        <v>-10</v>
      </c>
      <c r="K384" s="11">
        <f t="shared" si="1721"/>
        <v>-11</v>
      </c>
      <c r="L384" s="11">
        <f t="shared" si="1721"/>
        <v>-12</v>
      </c>
      <c r="M384" s="11">
        <f t="shared" si="1721"/>
        <v>-13</v>
      </c>
      <c r="N384" s="11">
        <f t="shared" si="1721"/>
        <v>-14</v>
      </c>
      <c r="O384" s="11">
        <f t="shared" si="1721"/>
        <v>-15</v>
      </c>
      <c r="P384" s="11">
        <f t="shared" si="1721"/>
        <v>-16</v>
      </c>
      <c r="Q384" s="11">
        <f t="shared" si="1721"/>
        <v>-17</v>
      </c>
      <c r="R384" s="11">
        <f t="shared" si="1721"/>
        <v>-18</v>
      </c>
      <c r="S384" s="11">
        <f t="shared" si="1721"/>
        <v>-19</v>
      </c>
      <c r="T384" s="11">
        <f t="shared" si="1721"/>
        <v>-20</v>
      </c>
      <c r="U384" s="11">
        <f t="shared" si="1721"/>
        <v>-21</v>
      </c>
      <c r="V384" s="11">
        <f t="shared" si="1721"/>
        <v>-22</v>
      </c>
      <c r="W384" s="11">
        <f t="shared" si="1721"/>
        <v>-23</v>
      </c>
      <c r="X384" s="11">
        <f t="shared" si="1721"/>
        <v>-24</v>
      </c>
      <c r="Y384" s="11">
        <f t="shared" si="1721"/>
        <v>-25</v>
      </c>
      <c r="Z384" s="11">
        <f t="shared" si="1721"/>
        <v>-26</v>
      </c>
      <c r="AA384" s="11">
        <f t="shared" si="1721"/>
        <v>-27</v>
      </c>
      <c r="AB384" s="11">
        <f t="shared" si="1721"/>
        <v>-28</v>
      </c>
      <c r="AC384" s="11">
        <f t="shared" si="1721"/>
        <v>-29</v>
      </c>
      <c r="AD384" s="11">
        <f t="shared" si="1721"/>
        <v>-30</v>
      </c>
      <c r="AE384" s="11">
        <f t="shared" si="1721"/>
        <v>-31</v>
      </c>
      <c r="AF384" s="11">
        <f t="shared" si="1721"/>
        <v>-32</v>
      </c>
      <c r="AG384" s="11">
        <f t="shared" si="1721"/>
        <v>-33</v>
      </c>
      <c r="AH384" s="11">
        <f t="shared" si="1721"/>
        <v>-34</v>
      </c>
      <c r="AI384" s="11">
        <f t="shared" si="1721"/>
        <v>-35</v>
      </c>
      <c r="AJ384" s="11">
        <f t="shared" si="1721"/>
        <v>-36</v>
      </c>
      <c r="AK384" s="11">
        <f t="shared" si="1721"/>
        <v>-37</v>
      </c>
      <c r="AL384" s="11">
        <f t="shared" si="1721"/>
        <v>-38</v>
      </c>
      <c r="AM384" s="11">
        <f t="shared" si="1721"/>
        <v>-39</v>
      </c>
      <c r="AN384" s="11">
        <f t="shared" si="1721"/>
        <v>-40</v>
      </c>
      <c r="AO384" s="11">
        <f t="shared" si="1721"/>
        <v>-41</v>
      </c>
      <c r="AP384" s="11">
        <f t="shared" si="1721"/>
        <v>-42</v>
      </c>
      <c r="AQ384" s="11">
        <f t="shared" si="1721"/>
        <v>-43</v>
      </c>
      <c r="AR384" s="11">
        <f t="shared" si="1721"/>
        <v>-44</v>
      </c>
      <c r="AS384" s="11">
        <f t="shared" si="1721"/>
        <v>-45</v>
      </c>
      <c r="AT384" s="11">
        <f t="shared" si="1721"/>
        <v>-46</v>
      </c>
      <c r="AU384" s="11">
        <f t="shared" si="1721"/>
        <v>-47</v>
      </c>
      <c r="AV384" s="11">
        <f t="shared" si="1721"/>
        <v>-48</v>
      </c>
      <c r="AW384" s="11">
        <f t="shared" si="1721"/>
        <v>-49</v>
      </c>
      <c r="AX384" s="11">
        <f t="shared" si="1721"/>
        <v>-50</v>
      </c>
      <c r="AY384" s="11">
        <f t="shared" si="1721"/>
        <v>-51</v>
      </c>
      <c r="AZ384" s="11">
        <f t="shared" si="1721"/>
        <v>-52</v>
      </c>
      <c r="BA384" s="11">
        <f t="shared" si="1721"/>
        <v>-53</v>
      </c>
      <c r="BB384" s="11">
        <f t="shared" si="1721"/>
        <v>-54</v>
      </c>
      <c r="BC384" s="11">
        <f t="shared" si="1721"/>
        <v>-55</v>
      </c>
      <c r="BD384" s="11">
        <f t="shared" si="1721"/>
        <v>-56</v>
      </c>
      <c r="BE384" s="11">
        <f t="shared" si="1721"/>
        <v>-57</v>
      </c>
      <c r="BF384" s="11">
        <f t="shared" si="1721"/>
        <v>-58</v>
      </c>
      <c r="BG384" s="11">
        <f t="shared" si="1721"/>
        <v>-59</v>
      </c>
      <c r="BH384" s="11">
        <f t="shared" si="1721"/>
        <v>-60</v>
      </c>
      <c r="BI384" s="11">
        <f t="shared" si="1721"/>
        <v>-61</v>
      </c>
      <c r="BJ384" s="11">
        <f t="shared" si="1721"/>
        <v>-62</v>
      </c>
      <c r="BK384" s="11">
        <f t="shared" si="1721"/>
        <v>-63</v>
      </c>
      <c r="BL384" s="11">
        <f t="shared" si="1721"/>
        <v>-64</v>
      </c>
      <c r="BM384" s="11">
        <f t="shared" si="1721"/>
        <v>-65</v>
      </c>
      <c r="BN384" s="11">
        <f t="shared" si="1721"/>
        <v>-66</v>
      </c>
      <c r="BO384" s="11">
        <f t="shared" si="1721"/>
        <v>-67</v>
      </c>
      <c r="BP384" s="11">
        <f t="shared" ref="BP384:CR384" si="1722">BO384-1</f>
        <v>-68</v>
      </c>
      <c r="BQ384" s="11">
        <f t="shared" si="1722"/>
        <v>-69</v>
      </c>
      <c r="BR384" s="11">
        <f t="shared" si="1722"/>
        <v>-70</v>
      </c>
      <c r="BS384" s="11">
        <f t="shared" si="1722"/>
        <v>-71</v>
      </c>
      <c r="BT384" s="11">
        <f t="shared" si="1722"/>
        <v>-72</v>
      </c>
      <c r="BU384" s="11">
        <f t="shared" si="1722"/>
        <v>-73</v>
      </c>
      <c r="BV384" s="11">
        <f t="shared" si="1722"/>
        <v>-74</v>
      </c>
      <c r="BW384" s="11">
        <f t="shared" si="1722"/>
        <v>-75</v>
      </c>
      <c r="BX384" s="11">
        <f t="shared" si="1722"/>
        <v>-76</v>
      </c>
      <c r="BY384" s="11">
        <f t="shared" si="1722"/>
        <v>-77</v>
      </c>
      <c r="BZ384" s="11">
        <f t="shared" si="1722"/>
        <v>-78</v>
      </c>
      <c r="CA384" s="11">
        <f t="shared" si="1722"/>
        <v>-79</v>
      </c>
      <c r="CB384" s="11">
        <f t="shared" si="1722"/>
        <v>-80</v>
      </c>
      <c r="CC384" s="11">
        <f t="shared" si="1722"/>
        <v>-81</v>
      </c>
      <c r="CD384" s="11">
        <f t="shared" si="1722"/>
        <v>-82</v>
      </c>
      <c r="CE384" s="11">
        <f t="shared" si="1722"/>
        <v>-83</v>
      </c>
      <c r="CF384" s="11">
        <f t="shared" si="1722"/>
        <v>-84</v>
      </c>
      <c r="CG384" s="11">
        <f t="shared" si="1722"/>
        <v>-85</v>
      </c>
      <c r="CH384" s="11">
        <f t="shared" si="1722"/>
        <v>-86</v>
      </c>
      <c r="CI384" s="11">
        <f t="shared" si="1722"/>
        <v>-87</v>
      </c>
      <c r="CJ384" s="11">
        <f t="shared" si="1722"/>
        <v>-88</v>
      </c>
      <c r="CK384" s="11">
        <f t="shared" si="1722"/>
        <v>-89</v>
      </c>
      <c r="CL384" s="11">
        <f t="shared" si="1722"/>
        <v>-90</v>
      </c>
      <c r="CM384" s="11">
        <f t="shared" si="1722"/>
        <v>-91</v>
      </c>
      <c r="CN384" s="11">
        <f t="shared" si="1722"/>
        <v>-92</v>
      </c>
      <c r="CO384" s="11">
        <f t="shared" si="1722"/>
        <v>-93</v>
      </c>
      <c r="CP384" s="11">
        <f t="shared" si="1722"/>
        <v>-94</v>
      </c>
      <c r="CQ384" s="11">
        <f t="shared" si="1722"/>
        <v>-95</v>
      </c>
      <c r="CR384" s="11">
        <f t="shared" si="1722"/>
        <v>-96</v>
      </c>
    </row>
    <row r="385" spans="1:96" s="54" customFormat="1" ht="17.5" customHeight="1" thickTop="1" x14ac:dyDescent="0.4">
      <c r="A385" s="52" t="s">
        <v>106</v>
      </c>
      <c r="B385" s="57">
        <f>IFERROR(B325/B337*100,"")</f>
        <v>89.485019699612394</v>
      </c>
      <c r="C385" s="57">
        <f t="shared" ref="C385:BN389" si="1723">IFERROR(C325/C337*100,"")</f>
        <v>89.926505761849057</v>
      </c>
      <c r="D385" s="57">
        <f t="shared" si="1723"/>
        <v>93.424508630608685</v>
      </c>
      <c r="E385" s="57">
        <f t="shared" si="1723"/>
        <v>94.614457672210719</v>
      </c>
      <c r="F385" s="57">
        <f t="shared" si="1723"/>
        <v>91.93348781279181</v>
      </c>
      <c r="G385" s="57">
        <f t="shared" si="1723"/>
        <v>94.68386153049731</v>
      </c>
      <c r="H385" s="57">
        <f t="shared" si="1723"/>
        <v>95.010796145970659</v>
      </c>
      <c r="I385" s="57">
        <f t="shared" si="1723"/>
        <v>96.378024304908365</v>
      </c>
      <c r="J385" s="57">
        <f t="shared" si="1723"/>
        <v>97.167250695261259</v>
      </c>
      <c r="K385" s="57">
        <f t="shared" si="1723"/>
        <v>95.854390200576916</v>
      </c>
      <c r="L385" s="57">
        <f t="shared" si="1723"/>
        <v>98.1530065571622</v>
      </c>
      <c r="M385" s="57">
        <f t="shared" si="1723"/>
        <v>100.99315994269082</v>
      </c>
      <c r="N385" s="57">
        <f t="shared" si="1723"/>
        <v>101.17651610391188</v>
      </c>
      <c r="O385" s="57">
        <f t="shared" si="1723"/>
        <v>99.628240491275946</v>
      </c>
      <c r="P385" s="57">
        <f t="shared" si="1723"/>
        <v>100</v>
      </c>
      <c r="Q385" s="57">
        <f t="shared" si="1723"/>
        <v>95.146164301428755</v>
      </c>
      <c r="R385" s="57" t="str">
        <f t="shared" si="1723"/>
        <v/>
      </c>
      <c r="S385" s="57">
        <f t="shared" si="1723"/>
        <v>108.20088138821286</v>
      </c>
      <c r="T385" s="57">
        <f t="shared" si="1723"/>
        <v>104.9059498800319</v>
      </c>
      <c r="U385" s="57" t="str">
        <f t="shared" si="1723"/>
        <v/>
      </c>
      <c r="V385" s="57">
        <f t="shared" si="1723"/>
        <v>115.49568125739245</v>
      </c>
      <c r="W385" s="57">
        <f t="shared" si="1723"/>
        <v>116.16390082809518</v>
      </c>
      <c r="X385" s="57">
        <f t="shared" si="1723"/>
        <v>114.39519013263741</v>
      </c>
      <c r="Y385" s="57">
        <f t="shared" si="1723"/>
        <v>115.04132061317627</v>
      </c>
      <c r="Z385" s="57">
        <f t="shared" si="1723"/>
        <v>115.25359972592869</v>
      </c>
      <c r="AA385" s="57">
        <f t="shared" si="1723"/>
        <v>118.21530978539865</v>
      </c>
      <c r="AB385" s="57">
        <f t="shared" si="1723"/>
        <v>121.73180701944474</v>
      </c>
      <c r="AC385" s="57">
        <f t="shared" si="1723"/>
        <v>126.53589664542054</v>
      </c>
      <c r="AD385" s="57">
        <f t="shared" si="1723"/>
        <v>129.20773504009685</v>
      </c>
      <c r="AE385" s="57">
        <f t="shared" si="1723"/>
        <v>124.14556601888502</v>
      </c>
      <c r="AF385" s="57">
        <f t="shared" si="1723"/>
        <v>130.7100875569453</v>
      </c>
      <c r="AG385" s="57">
        <f t="shared" si="1723"/>
        <v>131.56442763355594</v>
      </c>
      <c r="AH385" s="57">
        <f t="shared" si="1723"/>
        <v>132.78503783112873</v>
      </c>
      <c r="AI385" s="57">
        <f t="shared" si="1723"/>
        <v>135.26594635427816</v>
      </c>
      <c r="AJ385" s="57">
        <f t="shared" si="1723"/>
        <v>132.67169987967284</v>
      </c>
      <c r="AK385" s="57">
        <f t="shared" si="1723"/>
        <v>137.8304371048813</v>
      </c>
      <c r="AL385" s="57">
        <f t="shared" si="1723"/>
        <v>140.39983197461967</v>
      </c>
      <c r="AM385" s="57">
        <f t="shared" si="1723"/>
        <v>142.27020036337547</v>
      </c>
      <c r="AN385" s="57">
        <f t="shared" si="1723"/>
        <v>144.71108931259747</v>
      </c>
      <c r="AO385" s="57">
        <f t="shared" si="1723"/>
        <v>141.44353330301564</v>
      </c>
      <c r="AP385" s="57">
        <f t="shared" si="1723"/>
        <v>148.37204660304749</v>
      </c>
      <c r="AQ385" s="57">
        <f t="shared" si="1723"/>
        <v>147.97938865316311</v>
      </c>
      <c r="AR385" s="57">
        <f t="shared" si="1723"/>
        <v>149.33535545834553</v>
      </c>
      <c r="AS385" s="57">
        <f t="shared" si="1723"/>
        <v>151.03582394342695</v>
      </c>
      <c r="AT385" s="57">
        <f t="shared" si="1723"/>
        <v>149.21551301510175</v>
      </c>
      <c r="AU385" s="57">
        <f t="shared" si="1723"/>
        <v>152.23389381171481</v>
      </c>
      <c r="AV385" s="57">
        <f t="shared" si="1723"/>
        <v>153.22166408115299</v>
      </c>
      <c r="AW385" s="57">
        <f t="shared" si="1723"/>
        <v>154.75397168022047</v>
      </c>
      <c r="AX385" s="57">
        <f t="shared" si="1723"/>
        <v>155.3610340543529</v>
      </c>
      <c r="AY385" s="57">
        <f t="shared" si="1723"/>
        <v>153.94588434696109</v>
      </c>
      <c r="AZ385" s="57">
        <f t="shared" si="1723"/>
        <v>156.11180432949411</v>
      </c>
      <c r="BA385" s="57">
        <f t="shared" si="1723"/>
        <v>156.48854829751423</v>
      </c>
      <c r="BB385" s="57">
        <f t="shared" si="1723"/>
        <v>156.56411567617644</v>
      </c>
      <c r="BC385" s="57">
        <f t="shared" si="1723"/>
        <v>156.6318185338526</v>
      </c>
      <c r="BD385" s="57">
        <f t="shared" si="1723"/>
        <v>156.45802688868261</v>
      </c>
      <c r="BE385" s="57">
        <f t="shared" si="1723"/>
        <v>160.62618556683833</v>
      </c>
      <c r="BF385" s="57">
        <f t="shared" si="1723"/>
        <v>161.20829104512438</v>
      </c>
      <c r="BG385" s="57">
        <f t="shared" si="1723"/>
        <v>165.4918049714876</v>
      </c>
      <c r="BH385" s="57">
        <f t="shared" si="1723"/>
        <v>164.64118562325456</v>
      </c>
      <c r="BI385" s="57">
        <f t="shared" si="1723"/>
        <v>163.06108693335585</v>
      </c>
      <c r="BJ385" s="57">
        <f t="shared" si="1723"/>
        <v>162.45325633922607</v>
      </c>
      <c r="BK385" s="57">
        <f t="shared" si="1723"/>
        <v>165.33526089121625</v>
      </c>
      <c r="BL385" s="57">
        <f t="shared" si="1723"/>
        <v>169.83479695573251</v>
      </c>
      <c r="BM385" s="57">
        <f t="shared" si="1723"/>
        <v>170.29745655553427</v>
      </c>
      <c r="BN385" s="57">
        <f t="shared" si="1723"/>
        <v>166.98616761759845</v>
      </c>
      <c r="BO385" s="57">
        <f t="shared" ref="BO385:CR389" si="1724">IFERROR(BO325/BO337*100,"")</f>
        <v>172.26953617302414</v>
      </c>
      <c r="BP385" s="57">
        <f t="shared" si="1724"/>
        <v>175.37543277676698</v>
      </c>
      <c r="BQ385" s="57">
        <f t="shared" si="1724"/>
        <v>171.21837028112239</v>
      </c>
      <c r="BR385" s="57">
        <f t="shared" si="1724"/>
        <v>176.51173089635245</v>
      </c>
      <c r="BS385" s="57">
        <f t="shared" si="1724"/>
        <v>173.87618704227813</v>
      </c>
      <c r="BT385" s="57">
        <f t="shared" si="1724"/>
        <v>180.13519659285134</v>
      </c>
      <c r="BU385" s="57">
        <f t="shared" si="1724"/>
        <v>181.18810962610434</v>
      </c>
      <c r="BV385" s="57">
        <f t="shared" si="1724"/>
        <v>183.0592638982084</v>
      </c>
      <c r="BW385" s="57">
        <f t="shared" si="1724"/>
        <v>183.95707260326805</v>
      </c>
      <c r="BX385" s="57">
        <f t="shared" si="1724"/>
        <v>182.11146215341154</v>
      </c>
      <c r="BY385" s="57">
        <f t="shared" si="1724"/>
        <v>185.73511768601784</v>
      </c>
      <c r="BZ385" s="57">
        <f t="shared" si="1724"/>
        <v>187.62268409937857</v>
      </c>
      <c r="CA385" s="57">
        <f t="shared" si="1724"/>
        <v>188.8043152400495</v>
      </c>
      <c r="CB385" s="57">
        <f t="shared" si="1724"/>
        <v>189.75118935755566</v>
      </c>
      <c r="CC385" s="57">
        <f t="shared" si="1724"/>
        <v>188.00206771197506</v>
      </c>
      <c r="CD385" s="57">
        <f t="shared" si="1724"/>
        <v>189.68062736454158</v>
      </c>
      <c r="CE385" s="57">
        <f t="shared" si="1724"/>
        <v>192.77924234373688</v>
      </c>
      <c r="CF385" s="57">
        <f t="shared" si="1724"/>
        <v>193.57042581401714</v>
      </c>
      <c r="CG385" s="57">
        <f t="shared" si="1724"/>
        <v>191.85219310400191</v>
      </c>
      <c r="CH385" s="57">
        <f t="shared" si="1724"/>
        <v>191.97006269264645</v>
      </c>
      <c r="CI385" s="57">
        <f t="shared" si="1724"/>
        <v>193.24918871640116</v>
      </c>
      <c r="CJ385" s="57">
        <f t="shared" si="1724"/>
        <v>198.70926819478478</v>
      </c>
      <c r="CK385" s="57">
        <f t="shared" si="1724"/>
        <v>203.68730412323157</v>
      </c>
      <c r="CL385" s="57">
        <f t="shared" si="1724"/>
        <v>202.82315381004693</v>
      </c>
      <c r="CM385" s="57">
        <f t="shared" si="1724"/>
        <v>199.64753026159246</v>
      </c>
      <c r="CN385" s="57" t="str">
        <f t="shared" si="1724"/>
        <v/>
      </c>
      <c r="CO385" s="57" t="str">
        <f t="shared" si="1724"/>
        <v/>
      </c>
      <c r="CP385" s="57" t="str">
        <f t="shared" si="1724"/>
        <v/>
      </c>
      <c r="CQ385" s="57" t="str">
        <f t="shared" si="1724"/>
        <v/>
      </c>
      <c r="CR385" s="57" t="str">
        <f t="shared" si="1724"/>
        <v/>
      </c>
    </row>
    <row r="386" spans="1:96" s="54" customFormat="1" ht="17.5" customHeight="1" x14ac:dyDescent="0.4">
      <c r="A386" s="52" t="s">
        <v>107</v>
      </c>
      <c r="B386" s="57">
        <f t="shared" ref="B386:F389" si="1725">IFERROR(B326/B338*100,"")</f>
        <v>79.724871390637162</v>
      </c>
      <c r="C386" s="57">
        <f t="shared" si="1725"/>
        <v>80.265770558869789</v>
      </c>
      <c r="D386" s="57">
        <f t="shared" si="1725"/>
        <v>78.44753969567293</v>
      </c>
      <c r="E386" s="57">
        <f t="shared" si="1725"/>
        <v>80.901495822233542</v>
      </c>
      <c r="F386" s="57">
        <f t="shared" si="1725"/>
        <v>79.839876126279322</v>
      </c>
      <c r="G386" s="57">
        <f t="shared" si="1723"/>
        <v>90.637666299032929</v>
      </c>
      <c r="H386" s="57">
        <f t="shared" si="1723"/>
        <v>93.000593459580031</v>
      </c>
      <c r="I386" s="57">
        <f t="shared" si="1723"/>
        <v>94.052109452057735</v>
      </c>
      <c r="J386" s="57">
        <f t="shared" si="1723"/>
        <v>95.603927265834756</v>
      </c>
      <c r="K386" s="57">
        <f t="shared" si="1723"/>
        <v>93.497257356873419</v>
      </c>
      <c r="L386" s="57">
        <f t="shared" si="1723"/>
        <v>97.248509197755908</v>
      </c>
      <c r="M386" s="57">
        <f t="shared" si="1723"/>
        <v>99.22362724409534</v>
      </c>
      <c r="N386" s="57">
        <f t="shared" si="1723"/>
        <v>101.79429466266663</v>
      </c>
      <c r="O386" s="57">
        <f t="shared" si="1723"/>
        <v>101.12173424247575</v>
      </c>
      <c r="P386" s="57">
        <f t="shared" si="1723"/>
        <v>100.00000000000003</v>
      </c>
      <c r="Q386" s="57">
        <f t="shared" si="1723"/>
        <v>115.18838677430392</v>
      </c>
      <c r="R386" s="57" t="str">
        <f t="shared" si="1723"/>
        <v/>
      </c>
      <c r="S386" s="57">
        <f t="shared" si="1723"/>
        <v>123.25125618851092</v>
      </c>
      <c r="T386" s="57">
        <f t="shared" si="1723"/>
        <v>118.82646272717012</v>
      </c>
      <c r="U386" s="57" t="str">
        <f t="shared" si="1723"/>
        <v/>
      </c>
      <c r="V386" s="57">
        <f t="shared" si="1723"/>
        <v>117.11692629215256</v>
      </c>
      <c r="W386" s="57">
        <f t="shared" si="1723"/>
        <v>117.98450774997657</v>
      </c>
      <c r="X386" s="57">
        <f t="shared" si="1723"/>
        <v>116.32864489460081</v>
      </c>
      <c r="Y386" s="57">
        <f t="shared" si="1723"/>
        <v>122.97338321474174</v>
      </c>
      <c r="Z386" s="57">
        <f t="shared" si="1723"/>
        <v>118.778634869595</v>
      </c>
      <c r="AA386" s="57">
        <f t="shared" si="1723"/>
        <v>115.39371863416554</v>
      </c>
      <c r="AB386" s="57">
        <f t="shared" si="1723"/>
        <v>118.27362542952902</v>
      </c>
      <c r="AC386" s="57">
        <f t="shared" si="1723"/>
        <v>121.40973674701578</v>
      </c>
      <c r="AD386" s="57">
        <f t="shared" si="1723"/>
        <v>123.36392866256809</v>
      </c>
      <c r="AE386" s="57">
        <f t="shared" si="1723"/>
        <v>119.91994510687154</v>
      </c>
      <c r="AF386" s="57">
        <f t="shared" si="1723"/>
        <v>124.43764440062115</v>
      </c>
      <c r="AG386" s="57">
        <f t="shared" si="1723"/>
        <v>126.10801422572997</v>
      </c>
      <c r="AH386" s="57">
        <f t="shared" si="1723"/>
        <v>127.8603871988457</v>
      </c>
      <c r="AI386" s="57">
        <f t="shared" si="1723"/>
        <v>128.37430150747971</v>
      </c>
      <c r="AJ386" s="57">
        <f t="shared" si="1723"/>
        <v>126.85939327586657</v>
      </c>
      <c r="AK386" s="57">
        <f t="shared" si="1723"/>
        <v>130.84547435841009</v>
      </c>
      <c r="AL386" s="57">
        <f t="shared" si="1723"/>
        <v>130.70593469266385</v>
      </c>
      <c r="AM386" s="57">
        <f t="shared" si="1723"/>
        <v>131.99376087521685</v>
      </c>
      <c r="AN386" s="57">
        <f t="shared" si="1723"/>
        <v>134.59008189190322</v>
      </c>
      <c r="AO386" s="57">
        <f t="shared" si="1723"/>
        <v>132.1717453159637</v>
      </c>
      <c r="AP386" s="57">
        <f t="shared" si="1723"/>
        <v>136.14819292990353</v>
      </c>
      <c r="AQ386" s="57">
        <f t="shared" si="1723"/>
        <v>139.47280976798254</v>
      </c>
      <c r="AR386" s="57">
        <f t="shared" si="1723"/>
        <v>142.39936456413352</v>
      </c>
      <c r="AS386" s="57">
        <f t="shared" si="1723"/>
        <v>143.28214852299124</v>
      </c>
      <c r="AT386" s="57">
        <f t="shared" si="1723"/>
        <v>140.52927814456257</v>
      </c>
      <c r="AU386" s="57">
        <f t="shared" si="1723"/>
        <v>143.57815436909385</v>
      </c>
      <c r="AV386" s="57">
        <f t="shared" si="1723"/>
        <v>145.5056774442557</v>
      </c>
      <c r="AW386" s="57">
        <f t="shared" si="1723"/>
        <v>145.74244295621918</v>
      </c>
      <c r="AX386" s="57">
        <f t="shared" si="1723"/>
        <v>146.08020367577842</v>
      </c>
      <c r="AY386" s="57">
        <f t="shared" si="1723"/>
        <v>145.29106917316795</v>
      </c>
      <c r="AZ386" s="57">
        <f t="shared" si="1723"/>
        <v>146.18066627991294</v>
      </c>
      <c r="BA386" s="57">
        <f t="shared" si="1723"/>
        <v>148.48206714010499</v>
      </c>
      <c r="BB386" s="57">
        <f t="shared" si="1723"/>
        <v>149.88068116243079</v>
      </c>
      <c r="BC386" s="57">
        <f t="shared" si="1723"/>
        <v>150.25010674495536</v>
      </c>
      <c r="BD386" s="57">
        <f t="shared" si="1723"/>
        <v>148.81412371595428</v>
      </c>
      <c r="BE386" s="57">
        <f t="shared" si="1723"/>
        <v>152.63276455771998</v>
      </c>
      <c r="BF386" s="57">
        <f t="shared" si="1723"/>
        <v>163.01108623622548</v>
      </c>
      <c r="BG386" s="57">
        <f t="shared" si="1723"/>
        <v>168.72448149789193</v>
      </c>
      <c r="BH386" s="57">
        <f t="shared" si="1723"/>
        <v>177.74195780879816</v>
      </c>
      <c r="BI386" s="57">
        <f t="shared" si="1723"/>
        <v>166.16909292345306</v>
      </c>
      <c r="BJ386" s="57">
        <f t="shared" si="1723"/>
        <v>168.67653250827277</v>
      </c>
      <c r="BK386" s="57">
        <f t="shared" si="1723"/>
        <v>169.85506709142672</v>
      </c>
      <c r="BL386" s="57">
        <f t="shared" si="1723"/>
        <v>172.12660117263346</v>
      </c>
      <c r="BM386" s="57">
        <f t="shared" si="1723"/>
        <v>165.83573448120032</v>
      </c>
      <c r="BN386" s="57">
        <f t="shared" si="1723"/>
        <v>168.91771519483041</v>
      </c>
      <c r="BO386" s="57">
        <f t="shared" si="1724"/>
        <v>169.58861662501309</v>
      </c>
      <c r="BP386" s="57">
        <f t="shared" si="1724"/>
        <v>172.6875354726667</v>
      </c>
      <c r="BQ386" s="57">
        <f t="shared" si="1724"/>
        <v>169.99472467674849</v>
      </c>
      <c r="BR386" s="57">
        <f t="shared" si="1724"/>
        <v>173.93827944360032</v>
      </c>
      <c r="BS386" s="57">
        <f t="shared" si="1724"/>
        <v>172.11354762738682</v>
      </c>
      <c r="BT386" s="57">
        <f t="shared" si="1724"/>
        <v>174.51592210834175</v>
      </c>
      <c r="BU386" s="57">
        <f t="shared" si="1724"/>
        <v>175.32711078006531</v>
      </c>
      <c r="BV386" s="57">
        <f t="shared" si="1724"/>
        <v>176.16154364506488</v>
      </c>
      <c r="BW386" s="57">
        <f t="shared" si="1724"/>
        <v>171.14562775199147</v>
      </c>
      <c r="BX386" s="57">
        <f t="shared" si="1724"/>
        <v>173.86184953809564</v>
      </c>
      <c r="BY386" s="57">
        <f t="shared" si="1724"/>
        <v>173.61626554631044</v>
      </c>
      <c r="BZ386" s="57">
        <f t="shared" si="1724"/>
        <v>175.11875325120769</v>
      </c>
      <c r="CA386" s="57">
        <f t="shared" si="1724"/>
        <v>175.79257126752236</v>
      </c>
      <c r="CB386" s="57">
        <f t="shared" si="1724"/>
        <v>175.956351173744</v>
      </c>
      <c r="CC386" s="57">
        <f t="shared" si="1724"/>
        <v>175.34229479796105</v>
      </c>
      <c r="CD386" s="57">
        <f t="shared" si="1724"/>
        <v>178.17928256015296</v>
      </c>
      <c r="CE386" s="57">
        <f t="shared" si="1724"/>
        <v>178.96795453744852</v>
      </c>
      <c r="CF386" s="57">
        <f t="shared" si="1724"/>
        <v>178.33404128974394</v>
      </c>
      <c r="CG386" s="57">
        <f t="shared" si="1724"/>
        <v>177.792662937789</v>
      </c>
      <c r="CH386" s="57">
        <f t="shared" si="1724"/>
        <v>178.27954459545924</v>
      </c>
      <c r="CI386" s="57">
        <f t="shared" si="1724"/>
        <v>180.29947418784417</v>
      </c>
      <c r="CJ386" s="57">
        <f t="shared" si="1724"/>
        <v>183.03850135398775</v>
      </c>
      <c r="CK386" s="57">
        <f t="shared" si="1724"/>
        <v>184.59874265798334</v>
      </c>
      <c r="CL386" s="57">
        <f t="shared" si="1724"/>
        <v>185.58668114771177</v>
      </c>
      <c r="CM386" s="57">
        <f t="shared" si="1724"/>
        <v>183.65747749392466</v>
      </c>
      <c r="CN386" s="57" t="str">
        <f t="shared" si="1724"/>
        <v/>
      </c>
      <c r="CO386" s="57" t="str">
        <f t="shared" si="1724"/>
        <v/>
      </c>
      <c r="CP386" s="57" t="str">
        <f t="shared" si="1724"/>
        <v/>
      </c>
      <c r="CQ386" s="57" t="str">
        <f t="shared" si="1724"/>
        <v/>
      </c>
      <c r="CR386" s="57" t="str">
        <f t="shared" si="1724"/>
        <v/>
      </c>
    </row>
    <row r="387" spans="1:96" s="54" customFormat="1" ht="17.5" customHeight="1" x14ac:dyDescent="0.4">
      <c r="A387" s="52" t="s">
        <v>108</v>
      </c>
      <c r="B387" s="57">
        <f t="shared" si="1725"/>
        <v>77.878780043801783</v>
      </c>
      <c r="C387" s="57">
        <f t="shared" si="1725"/>
        <v>78.393517353400171</v>
      </c>
      <c r="D387" s="57">
        <f t="shared" si="1725"/>
        <v>79.90745552332757</v>
      </c>
      <c r="E387" s="57">
        <f t="shared" si="1725"/>
        <v>79.448873256386506</v>
      </c>
      <c r="F387" s="57">
        <f t="shared" si="1725"/>
        <v>78.924962683568737</v>
      </c>
      <c r="G387" s="57">
        <f t="shared" si="1723"/>
        <v>86.433452749287071</v>
      </c>
      <c r="H387" s="57">
        <f t="shared" si="1723"/>
        <v>88.830660081465879</v>
      </c>
      <c r="I387" s="57">
        <f t="shared" si="1723"/>
        <v>92.602541434604035</v>
      </c>
      <c r="J387" s="57">
        <f t="shared" si="1723"/>
        <v>94.971411313246705</v>
      </c>
      <c r="K387" s="57">
        <f t="shared" si="1723"/>
        <v>90.823708557226084</v>
      </c>
      <c r="L387" s="57">
        <f t="shared" si="1723"/>
        <v>99.893568153721887</v>
      </c>
      <c r="M387" s="57">
        <f t="shared" si="1723"/>
        <v>100.09619766549349</v>
      </c>
      <c r="N387" s="57">
        <f t="shared" si="1723"/>
        <v>100.3596626450727</v>
      </c>
      <c r="O387" s="57">
        <f t="shared" si="1723"/>
        <v>99.620166243371173</v>
      </c>
      <c r="P387" s="57">
        <f t="shared" si="1723"/>
        <v>100</v>
      </c>
      <c r="Q387" s="57">
        <f t="shared" si="1723"/>
        <v>103.01743113802404</v>
      </c>
      <c r="R387" s="57" t="str">
        <f t="shared" si="1723"/>
        <v/>
      </c>
      <c r="S387" s="57">
        <f t="shared" si="1723"/>
        <v>104.75201658028833</v>
      </c>
      <c r="T387" s="57">
        <f t="shared" si="1723"/>
        <v>105.37522930087162</v>
      </c>
      <c r="U387" s="57" t="str">
        <f t="shared" si="1723"/>
        <v/>
      </c>
      <c r="V387" s="57">
        <f t="shared" si="1723"/>
        <v>105.88538420098072</v>
      </c>
      <c r="W387" s="57">
        <f t="shared" si="1723"/>
        <v>110.76201403396662</v>
      </c>
      <c r="X387" s="57">
        <f t="shared" si="1723"/>
        <v>115.07284453654034</v>
      </c>
      <c r="Y387" s="57">
        <f t="shared" si="1723"/>
        <v>118.0872113240877</v>
      </c>
      <c r="Z387" s="57">
        <f t="shared" si="1723"/>
        <v>112.54577539089723</v>
      </c>
      <c r="AA387" s="57">
        <f t="shared" si="1723"/>
        <v>113.79000908299739</v>
      </c>
      <c r="AB387" s="57">
        <f t="shared" si="1723"/>
        <v>118.71475848950359</v>
      </c>
      <c r="AC387" s="57">
        <f t="shared" si="1723"/>
        <v>121.90715385313295</v>
      </c>
      <c r="AD387" s="57">
        <f t="shared" si="1723"/>
        <v>121.16896893624374</v>
      </c>
      <c r="AE387" s="57">
        <f t="shared" si="1723"/>
        <v>118.82245341247757</v>
      </c>
      <c r="AF387" s="57">
        <f t="shared" si="1723"/>
        <v>122.65344597579823</v>
      </c>
      <c r="AG387" s="57">
        <f t="shared" si="1723"/>
        <v>124.21619276114677</v>
      </c>
      <c r="AH387" s="57">
        <f t="shared" si="1723"/>
        <v>124.33251803357021</v>
      </c>
      <c r="AI387" s="57">
        <f t="shared" si="1723"/>
        <v>122.64426552843281</v>
      </c>
      <c r="AJ387" s="57">
        <f t="shared" si="1723"/>
        <v>123.43998750838318</v>
      </c>
      <c r="AK387" s="57">
        <f t="shared" si="1723"/>
        <v>124.20562212753599</v>
      </c>
      <c r="AL387" s="57">
        <f t="shared" si="1723"/>
        <v>125.47966249353453</v>
      </c>
      <c r="AM387" s="57">
        <f t="shared" si="1723"/>
        <v>125.49025903702069</v>
      </c>
      <c r="AN387" s="57">
        <f t="shared" si="1723"/>
        <v>127.28010600284424</v>
      </c>
      <c r="AO387" s="57">
        <f t="shared" si="1723"/>
        <v>125.6875089203069</v>
      </c>
      <c r="AP387" s="57">
        <f t="shared" si="1723"/>
        <v>128.89474114284309</v>
      </c>
      <c r="AQ387" s="57">
        <f t="shared" si="1723"/>
        <v>131.32997521005109</v>
      </c>
      <c r="AR387" s="57">
        <f t="shared" si="1723"/>
        <v>133.67304440339799</v>
      </c>
      <c r="AS387" s="57">
        <f t="shared" si="1723"/>
        <v>134.58326073418121</v>
      </c>
      <c r="AT387" s="57">
        <f t="shared" si="1723"/>
        <v>132.2286496927756</v>
      </c>
      <c r="AU387" s="57">
        <f t="shared" si="1723"/>
        <v>136.27955557292663</v>
      </c>
      <c r="AV387" s="57">
        <f t="shared" si="1723"/>
        <v>137.65359361242972</v>
      </c>
      <c r="AW387" s="57">
        <f t="shared" si="1723"/>
        <v>139.70496568237175</v>
      </c>
      <c r="AX387" s="57">
        <f t="shared" si="1723"/>
        <v>141.33656450391757</v>
      </c>
      <c r="AY387" s="57">
        <f t="shared" si="1723"/>
        <v>138.83227428710745</v>
      </c>
      <c r="AZ387" s="57">
        <f t="shared" si="1723"/>
        <v>141.75918608370947</v>
      </c>
      <c r="BA387" s="57">
        <f t="shared" si="1723"/>
        <v>142.7874825616214</v>
      </c>
      <c r="BB387" s="57">
        <f t="shared" si="1723"/>
        <v>143.47275437947729</v>
      </c>
      <c r="BC387" s="57">
        <f t="shared" si="1723"/>
        <v>145.11345717977875</v>
      </c>
      <c r="BD387" s="57">
        <f t="shared" si="1723"/>
        <v>143.31291612320908</v>
      </c>
      <c r="BE387" s="57">
        <f t="shared" si="1723"/>
        <v>147.22182205610369</v>
      </c>
      <c r="BF387" s="57">
        <f t="shared" si="1723"/>
        <v>148.47973195074528</v>
      </c>
      <c r="BG387" s="57">
        <f t="shared" si="1723"/>
        <v>149.85603545601916</v>
      </c>
      <c r="BH387" s="57">
        <f t="shared" si="1723"/>
        <v>150.59768143115713</v>
      </c>
      <c r="BI387" s="57">
        <f t="shared" si="1723"/>
        <v>149.09913819835873</v>
      </c>
      <c r="BJ387" s="57">
        <f t="shared" si="1723"/>
        <v>152.43167355096267</v>
      </c>
      <c r="BK387" s="57">
        <f t="shared" si="1723"/>
        <v>153.12342196872933</v>
      </c>
      <c r="BL387" s="57">
        <f t="shared" si="1723"/>
        <v>153.96312255950855</v>
      </c>
      <c r="BM387" s="57">
        <f t="shared" si="1723"/>
        <v>153.51844742142987</v>
      </c>
      <c r="BN387" s="57">
        <f t="shared" si="1723"/>
        <v>153.27592683842008</v>
      </c>
      <c r="BO387" s="57">
        <f t="shared" si="1724"/>
        <v>153.41319697786057</v>
      </c>
      <c r="BP387" s="57">
        <f t="shared" si="1724"/>
        <v>156.11720540943136</v>
      </c>
      <c r="BQ387" s="57">
        <f t="shared" si="1724"/>
        <v>156.76002324711584</v>
      </c>
      <c r="BR387" s="57">
        <f t="shared" si="1724"/>
        <v>157.86072825750207</v>
      </c>
      <c r="BS387" s="57">
        <f t="shared" si="1724"/>
        <v>156.08729678203866</v>
      </c>
      <c r="BT387" s="57">
        <f t="shared" si="1724"/>
        <v>158.07533432802751</v>
      </c>
      <c r="BU387" s="57">
        <f t="shared" si="1724"/>
        <v>159.16747145247953</v>
      </c>
      <c r="BV387" s="57">
        <f t="shared" si="1724"/>
        <v>160.1392104614321</v>
      </c>
      <c r="BW387" s="57">
        <f t="shared" si="1724"/>
        <v>161.89407251671724</v>
      </c>
      <c r="BX387" s="57">
        <f t="shared" si="1724"/>
        <v>159.89107648231914</v>
      </c>
      <c r="BY387" s="57">
        <f t="shared" si="1724"/>
        <v>159.66262852921318</v>
      </c>
      <c r="BZ387" s="57">
        <f t="shared" si="1724"/>
        <v>161.38643158703903</v>
      </c>
      <c r="CA387" s="57">
        <f t="shared" si="1724"/>
        <v>162.60785767791026</v>
      </c>
      <c r="CB387" s="57">
        <f t="shared" si="1724"/>
        <v>163.41723661323076</v>
      </c>
      <c r="CC387" s="57">
        <f t="shared" si="1724"/>
        <v>161.81941948186181</v>
      </c>
      <c r="CD387" s="57">
        <f t="shared" si="1724"/>
        <v>163.84627938669496</v>
      </c>
      <c r="CE387" s="57">
        <f t="shared" si="1724"/>
        <v>164.70632353911313</v>
      </c>
      <c r="CF387" s="57">
        <f t="shared" si="1724"/>
        <v>165.5715831384461</v>
      </c>
      <c r="CG387" s="57">
        <f t="shared" si="1724"/>
        <v>166.584035074029</v>
      </c>
      <c r="CH387" s="57">
        <f t="shared" si="1724"/>
        <v>165.21516590783594</v>
      </c>
      <c r="CI387" s="57">
        <f t="shared" si="1724"/>
        <v>167.33860969018008</v>
      </c>
      <c r="CJ387" s="57">
        <f t="shared" si="1724"/>
        <v>168.21883629364038</v>
      </c>
      <c r="CK387" s="57">
        <f t="shared" si="1724"/>
        <v>168.79748976263122</v>
      </c>
      <c r="CL387" s="57">
        <f t="shared" si="1724"/>
        <v>169.29375818687964</v>
      </c>
      <c r="CM387" s="57">
        <f t="shared" si="1724"/>
        <v>168.43585227452081</v>
      </c>
      <c r="CN387" s="57" t="str">
        <f t="shared" si="1724"/>
        <v/>
      </c>
      <c r="CO387" s="57" t="str">
        <f t="shared" si="1724"/>
        <v/>
      </c>
      <c r="CP387" s="57" t="str">
        <f t="shared" si="1724"/>
        <v/>
      </c>
      <c r="CQ387" s="57" t="str">
        <f t="shared" si="1724"/>
        <v/>
      </c>
      <c r="CR387" s="57" t="str">
        <f t="shared" si="1724"/>
        <v/>
      </c>
    </row>
    <row r="388" spans="1:96" s="54" customFormat="1" ht="17.5" customHeight="1" x14ac:dyDescent="0.4">
      <c r="A388" s="52" t="s">
        <v>109</v>
      </c>
      <c r="B388" s="57">
        <f t="shared" si="1725"/>
        <v>83.442914286592142</v>
      </c>
      <c r="C388" s="57">
        <f t="shared" si="1725"/>
        <v>82.36187692108328</v>
      </c>
      <c r="D388" s="57">
        <f t="shared" si="1725"/>
        <v>83.464944465870659</v>
      </c>
      <c r="E388" s="57">
        <f t="shared" si="1725"/>
        <v>84.579207248903643</v>
      </c>
      <c r="F388" s="57">
        <f t="shared" si="1725"/>
        <v>83.490353005935745</v>
      </c>
      <c r="G388" s="57">
        <f t="shared" si="1723"/>
        <v>90.46600580182465</v>
      </c>
      <c r="H388" s="57">
        <f t="shared" si="1723"/>
        <v>93.037331932006282</v>
      </c>
      <c r="I388" s="57">
        <f t="shared" si="1723"/>
        <v>95.702089203054769</v>
      </c>
      <c r="J388" s="57">
        <f t="shared" si="1723"/>
        <v>95.663912039191118</v>
      </c>
      <c r="K388" s="57">
        <f t="shared" si="1723"/>
        <v>93.900436906966434</v>
      </c>
      <c r="L388" s="57">
        <f t="shared" si="1723"/>
        <v>98.969465391156547</v>
      </c>
      <c r="M388" s="57">
        <f t="shared" si="1723"/>
        <v>101.10246203637247</v>
      </c>
      <c r="N388" s="57">
        <f t="shared" si="1723"/>
        <v>101.64535279212534</v>
      </c>
      <c r="O388" s="57">
        <f t="shared" si="1723"/>
        <v>98.367390266286577</v>
      </c>
      <c r="P388" s="57">
        <f t="shared" si="1723"/>
        <v>100.00000000000003</v>
      </c>
      <c r="Q388" s="57">
        <f t="shared" si="1723"/>
        <v>100.97328873345283</v>
      </c>
      <c r="R388" s="57" t="str">
        <f t="shared" si="1723"/>
        <v/>
      </c>
      <c r="S388" s="57">
        <f t="shared" si="1723"/>
        <v>113.49891654167222</v>
      </c>
      <c r="T388" s="57">
        <f t="shared" si="1723"/>
        <v>105.98255371362228</v>
      </c>
      <c r="U388" s="57" t="str">
        <f t="shared" si="1723"/>
        <v/>
      </c>
      <c r="V388" s="57">
        <f t="shared" si="1723"/>
        <v>109.92876005837272</v>
      </c>
      <c r="W388" s="57">
        <f t="shared" si="1723"/>
        <v>112.67501637623015</v>
      </c>
      <c r="X388" s="57">
        <f t="shared" si="1723"/>
        <v>110.54783065294286</v>
      </c>
      <c r="Y388" s="57">
        <f t="shared" si="1723"/>
        <v>115.60241835445315</v>
      </c>
      <c r="Z388" s="57">
        <f t="shared" si="1723"/>
        <v>112.35542791808619</v>
      </c>
      <c r="AA388" s="57">
        <f t="shared" si="1723"/>
        <v>110.34079918605559</v>
      </c>
      <c r="AB388" s="57">
        <f t="shared" si="1723"/>
        <v>113.87449017162685</v>
      </c>
      <c r="AC388" s="57">
        <f t="shared" si="1723"/>
        <v>119.07181875517539</v>
      </c>
      <c r="AD388" s="57">
        <f t="shared" si="1723"/>
        <v>119.09281300310974</v>
      </c>
      <c r="AE388" s="57">
        <f t="shared" si="1723"/>
        <v>115.81168741133763</v>
      </c>
      <c r="AF388" s="57">
        <f t="shared" si="1723"/>
        <v>119.54591012246469</v>
      </c>
      <c r="AG388" s="57">
        <f t="shared" si="1723"/>
        <v>120.48216836311474</v>
      </c>
      <c r="AH388" s="57">
        <f t="shared" si="1723"/>
        <v>120.59985864533205</v>
      </c>
      <c r="AI388" s="57">
        <f t="shared" si="1723"/>
        <v>121.29136838338013</v>
      </c>
      <c r="AJ388" s="57">
        <f t="shared" si="1723"/>
        <v>120.53286104297065</v>
      </c>
      <c r="AK388" s="57">
        <f t="shared" si="1723"/>
        <v>123.6479088443667</v>
      </c>
      <c r="AL388" s="57">
        <f t="shared" si="1723"/>
        <v>125.41609247795623</v>
      </c>
      <c r="AM388" s="57">
        <f t="shared" si="1723"/>
        <v>126.37625894126279</v>
      </c>
      <c r="AN388" s="57">
        <f t="shared" si="1723"/>
        <v>129.368638068107</v>
      </c>
      <c r="AO388" s="57">
        <f t="shared" si="1723"/>
        <v>126.42854524224585</v>
      </c>
      <c r="AP388" s="57">
        <f t="shared" si="1723"/>
        <v>131.36049468040792</v>
      </c>
      <c r="AQ388" s="57">
        <f t="shared" si="1723"/>
        <v>132.71616139853177</v>
      </c>
      <c r="AR388" s="57">
        <f t="shared" si="1723"/>
        <v>135.91621369007046</v>
      </c>
      <c r="AS388" s="57">
        <f t="shared" si="1723"/>
        <v>137.64856638924496</v>
      </c>
      <c r="AT388" s="57">
        <f t="shared" si="1723"/>
        <v>134.58927444915761</v>
      </c>
      <c r="AU388" s="57">
        <f t="shared" si="1723"/>
        <v>138.52992681022926</v>
      </c>
      <c r="AV388" s="57">
        <f t="shared" si="1723"/>
        <v>140.33422999709572</v>
      </c>
      <c r="AW388" s="57">
        <f t="shared" si="1723"/>
        <v>142.29296588786016</v>
      </c>
      <c r="AX388" s="57">
        <f t="shared" si="1723"/>
        <v>142.9746392833151</v>
      </c>
      <c r="AY388" s="57">
        <f t="shared" si="1723"/>
        <v>141.16940094729375</v>
      </c>
      <c r="AZ388" s="57">
        <f t="shared" si="1723"/>
        <v>142.39591670966951</v>
      </c>
      <c r="BA388" s="57">
        <f t="shared" si="1723"/>
        <v>143.89809787085147</v>
      </c>
      <c r="BB388" s="57">
        <f t="shared" si="1723"/>
        <v>144.77417389632211</v>
      </c>
      <c r="BC388" s="57">
        <f t="shared" si="1723"/>
        <v>145.51037946759189</v>
      </c>
      <c r="BD388" s="57">
        <f t="shared" si="1723"/>
        <v>144.22306723765308</v>
      </c>
      <c r="BE388" s="57">
        <f t="shared" si="1723"/>
        <v>150.11138061640506</v>
      </c>
      <c r="BF388" s="57">
        <f t="shared" si="1723"/>
        <v>156.35203079553042</v>
      </c>
      <c r="BG388" s="57">
        <f t="shared" si="1723"/>
        <v>164.20723940955878</v>
      </c>
      <c r="BH388" s="57">
        <f t="shared" si="1723"/>
        <v>168.20785290784235</v>
      </c>
      <c r="BI388" s="57">
        <f t="shared" si="1723"/>
        <v>160.23341023986976</v>
      </c>
      <c r="BJ388" s="57">
        <f t="shared" si="1723"/>
        <v>159.46587252055602</v>
      </c>
      <c r="BK388" s="57">
        <f t="shared" si="1723"/>
        <v>163.91895200658561</v>
      </c>
      <c r="BL388" s="57">
        <f t="shared" si="1723"/>
        <v>170.65765465438113</v>
      </c>
      <c r="BM388" s="57">
        <f t="shared" si="1723"/>
        <v>166.8320658114983</v>
      </c>
      <c r="BN388" s="57">
        <f t="shared" si="1723"/>
        <v>165.51835820123378</v>
      </c>
      <c r="BO388" s="57">
        <f t="shared" si="1724"/>
        <v>169.34702468775424</v>
      </c>
      <c r="BP388" s="57">
        <f t="shared" si="1724"/>
        <v>175.33479640989776</v>
      </c>
      <c r="BQ388" s="57">
        <f t="shared" si="1724"/>
        <v>167.87311264430582</v>
      </c>
      <c r="BR388" s="57">
        <f t="shared" si="1724"/>
        <v>175.07928547606446</v>
      </c>
      <c r="BS388" s="57">
        <f t="shared" si="1724"/>
        <v>172.30091356649834</v>
      </c>
      <c r="BT388" s="57">
        <f t="shared" si="1724"/>
        <v>180.01438447349952</v>
      </c>
      <c r="BU388" s="57">
        <f t="shared" si="1724"/>
        <v>177.95190956992442</v>
      </c>
      <c r="BV388" s="57">
        <f t="shared" si="1724"/>
        <v>176.63165077943574</v>
      </c>
      <c r="BW388" s="57">
        <f t="shared" si="1724"/>
        <v>173.90504668346048</v>
      </c>
      <c r="BX388" s="57">
        <f t="shared" si="1724"/>
        <v>176.74782722303885</v>
      </c>
      <c r="BY388" s="57">
        <f t="shared" si="1724"/>
        <v>177.19142464732499</v>
      </c>
      <c r="BZ388" s="57">
        <f t="shared" si="1724"/>
        <v>177.91089782183306</v>
      </c>
      <c r="CA388" s="57">
        <f t="shared" si="1724"/>
        <v>179.34931519336891</v>
      </c>
      <c r="CB388" s="57">
        <f t="shared" si="1724"/>
        <v>179.27194496410854</v>
      </c>
      <c r="CC388" s="57">
        <f t="shared" si="1724"/>
        <v>178.53912274477949</v>
      </c>
      <c r="CD388" s="57">
        <f t="shared" si="1724"/>
        <v>182.42011419437065</v>
      </c>
      <c r="CE388" s="57">
        <f t="shared" si="1724"/>
        <v>183.35413210901859</v>
      </c>
      <c r="CF388" s="57">
        <f t="shared" si="1724"/>
        <v>184.50889451227181</v>
      </c>
      <c r="CG388" s="57">
        <f t="shared" si="1724"/>
        <v>180.80600661621216</v>
      </c>
      <c r="CH388" s="57">
        <f t="shared" si="1724"/>
        <v>182.65328357587083</v>
      </c>
      <c r="CI388" s="57">
        <f t="shared" si="1724"/>
        <v>185.93522329200857</v>
      </c>
      <c r="CJ388" s="57">
        <f t="shared" si="1724"/>
        <v>193.76695618870377</v>
      </c>
      <c r="CK388" s="57">
        <f t="shared" si="1724"/>
        <v>200.1529685853404</v>
      </c>
      <c r="CL388" s="57">
        <f t="shared" si="1724"/>
        <v>197.15407738118591</v>
      </c>
      <c r="CM388" s="57">
        <f t="shared" si="1724"/>
        <v>194.49709775027731</v>
      </c>
      <c r="CN388" s="57" t="str">
        <f t="shared" si="1724"/>
        <v/>
      </c>
      <c r="CO388" s="57" t="str">
        <f t="shared" si="1724"/>
        <v/>
      </c>
      <c r="CP388" s="57" t="str">
        <f t="shared" si="1724"/>
        <v/>
      </c>
      <c r="CQ388" s="57" t="str">
        <f t="shared" si="1724"/>
        <v/>
      </c>
      <c r="CR388" s="57" t="str">
        <f t="shared" si="1724"/>
        <v/>
      </c>
    </row>
    <row r="389" spans="1:96" s="9" customFormat="1" ht="23.25" customHeight="1" thickBot="1" x14ac:dyDescent="0.35">
      <c r="A389" s="26" t="s">
        <v>95</v>
      </c>
      <c r="B389" s="61">
        <f t="shared" si="1725"/>
        <v>83.883678958571537</v>
      </c>
      <c r="C389" s="61">
        <f t="shared" si="1725"/>
        <v>85.455129650256723</v>
      </c>
      <c r="D389" s="61">
        <f t="shared" si="1725"/>
        <v>86.942636192522045</v>
      </c>
      <c r="E389" s="61">
        <f t="shared" si="1725"/>
        <v>88.332200421279367</v>
      </c>
      <c r="F389" s="61">
        <f t="shared" si="1725"/>
        <v>86.198927458769987</v>
      </c>
      <c r="G389" s="61">
        <f t="shared" si="1723"/>
        <v>92.342471588188388</v>
      </c>
      <c r="H389" s="61">
        <f t="shared" si="1723"/>
        <v>92.872465155396696</v>
      </c>
      <c r="I389" s="61">
        <f t="shared" si="1723"/>
        <v>93.95593960764387</v>
      </c>
      <c r="J389" s="61">
        <f t="shared" si="1723"/>
        <v>96.617241357774404</v>
      </c>
      <c r="K389" s="61">
        <f t="shared" si="1723"/>
        <v>93.994751737223936</v>
      </c>
      <c r="L389" s="61">
        <f t="shared" si="1723"/>
        <v>97.774026186903399</v>
      </c>
      <c r="M389" s="61">
        <f t="shared" si="1723"/>
        <v>99.508746847666856</v>
      </c>
      <c r="N389" s="61">
        <f t="shared" si="1723"/>
        <v>100.74225829315431</v>
      </c>
      <c r="O389" s="61">
        <f t="shared" si="1723"/>
        <v>101.81106246467621</v>
      </c>
      <c r="P389" s="61">
        <f t="shared" si="1723"/>
        <v>99.999999999999986</v>
      </c>
      <c r="Q389" s="61">
        <f t="shared" si="1723"/>
        <v>104.49576124441242</v>
      </c>
      <c r="R389" s="61" t="str">
        <f t="shared" ref="R389:CC389" si="1726">IFERROR(R329/R341*100,"")</f>
        <v/>
      </c>
      <c r="S389" s="61">
        <f t="shared" si="1726"/>
        <v>110.87765435878785</v>
      </c>
      <c r="T389" s="61">
        <f t="shared" si="1726"/>
        <v>113.03865489615966</v>
      </c>
      <c r="U389" s="61" t="str">
        <f t="shared" si="1726"/>
        <v/>
      </c>
      <c r="V389" s="61">
        <f t="shared" si="1726"/>
        <v>115.52947370997401</v>
      </c>
      <c r="W389" s="61">
        <f t="shared" si="1726"/>
        <v>117.52030350256672</v>
      </c>
      <c r="X389" s="61">
        <f t="shared" si="1726"/>
        <v>119.91480037953737</v>
      </c>
      <c r="Y389" s="61">
        <f t="shared" si="1726"/>
        <v>121.42582156734815</v>
      </c>
      <c r="Z389" s="61">
        <f t="shared" si="1726"/>
        <v>118.63624751450676</v>
      </c>
      <c r="AA389" s="61">
        <f t="shared" si="1726"/>
        <v>121.49392822070691</v>
      </c>
      <c r="AB389" s="61">
        <f t="shared" si="1726"/>
        <v>125.47173664224442</v>
      </c>
      <c r="AC389" s="61">
        <f t="shared" si="1726"/>
        <v>128.17209776277338</v>
      </c>
      <c r="AD389" s="61">
        <f t="shared" si="1726"/>
        <v>131.18332954639126</v>
      </c>
      <c r="AE389" s="61">
        <f t="shared" si="1726"/>
        <v>126.73069322470273</v>
      </c>
      <c r="AF389" s="61">
        <f t="shared" si="1726"/>
        <v>132.71006148378251</v>
      </c>
      <c r="AG389" s="61">
        <f t="shared" si="1726"/>
        <v>134.6512614051102</v>
      </c>
      <c r="AH389" s="61">
        <f t="shared" si="1726"/>
        <v>137.1376069159497</v>
      </c>
      <c r="AI389" s="61">
        <f t="shared" si="1726"/>
        <v>138.60885534691096</v>
      </c>
      <c r="AJ389" s="61">
        <f t="shared" si="1726"/>
        <v>135.83094160620502</v>
      </c>
      <c r="AK389" s="61">
        <f t="shared" si="1726"/>
        <v>139.44644855524916</v>
      </c>
      <c r="AL389" s="61">
        <f t="shared" si="1726"/>
        <v>140.80889624662797</v>
      </c>
      <c r="AM389" s="61">
        <f t="shared" si="1726"/>
        <v>142.51354625558551</v>
      </c>
      <c r="AN389" s="61">
        <f t="shared" si="1726"/>
        <v>144.68804335105281</v>
      </c>
      <c r="AO389" s="61">
        <f t="shared" si="1726"/>
        <v>141.9330079587042</v>
      </c>
      <c r="AP389" s="61">
        <f t="shared" si="1726"/>
        <v>146.6826500247852</v>
      </c>
      <c r="AQ389" s="61">
        <f t="shared" si="1726"/>
        <v>148.35356009476538</v>
      </c>
      <c r="AR389" s="61">
        <f t="shared" si="1726"/>
        <v>149.52732025403094</v>
      </c>
      <c r="AS389" s="61">
        <f t="shared" si="1726"/>
        <v>150.5071215873391</v>
      </c>
      <c r="AT389" s="61">
        <f t="shared" si="1726"/>
        <v>148.81195824826611</v>
      </c>
      <c r="AU389" s="61">
        <f t="shared" si="1726"/>
        <v>151.03793002809573</v>
      </c>
      <c r="AV389" s="61">
        <f t="shared" si="1726"/>
        <v>152.16916828110038</v>
      </c>
      <c r="AW389" s="61">
        <f t="shared" si="1726"/>
        <v>153.11254114076706</v>
      </c>
      <c r="AX389" s="61">
        <f t="shared" si="1726"/>
        <v>154.30186532041779</v>
      </c>
      <c r="AY389" s="61">
        <f t="shared" si="1726"/>
        <v>152.68997774460013</v>
      </c>
      <c r="AZ389" s="61">
        <f t="shared" si="1726"/>
        <v>154.93668032230286</v>
      </c>
      <c r="BA389" s="61">
        <f t="shared" si="1726"/>
        <v>155.87845790139423</v>
      </c>
      <c r="BB389" s="61">
        <f t="shared" si="1726"/>
        <v>156.46840406935436</v>
      </c>
      <c r="BC389" s="61">
        <f t="shared" si="1726"/>
        <v>157.42617480930051</v>
      </c>
      <c r="BD389" s="61">
        <f t="shared" si="1726"/>
        <v>156.20632299109042</v>
      </c>
      <c r="BE389" s="61">
        <f t="shared" si="1726"/>
        <v>158.19291531945316</v>
      </c>
      <c r="BF389" s="61">
        <f t="shared" si="1726"/>
        <v>159.22590711220897</v>
      </c>
      <c r="BG389" s="61">
        <f t="shared" si="1726"/>
        <v>159.38317250932877</v>
      </c>
      <c r="BH389" s="61">
        <f t="shared" si="1726"/>
        <v>160.0300490900774</v>
      </c>
      <c r="BI389" s="61">
        <f t="shared" si="1726"/>
        <v>159.2251876212755</v>
      </c>
      <c r="BJ389" s="61">
        <f t="shared" si="1726"/>
        <v>160.83304492316589</v>
      </c>
      <c r="BK389" s="61">
        <f t="shared" si="1726"/>
        <v>161.11177269622078</v>
      </c>
      <c r="BL389" s="61">
        <f t="shared" si="1726"/>
        <v>160.63967961221744</v>
      </c>
      <c r="BM389" s="61">
        <f t="shared" si="1726"/>
        <v>161.21861178565121</v>
      </c>
      <c r="BN389" s="61">
        <f t="shared" si="1726"/>
        <v>160.95036498535299</v>
      </c>
      <c r="BO389" s="61">
        <f t="shared" si="1726"/>
        <v>162.37770033542981</v>
      </c>
      <c r="BP389" s="61">
        <f t="shared" si="1726"/>
        <v>163.27794640092762</v>
      </c>
      <c r="BQ389" s="61">
        <f t="shared" si="1726"/>
        <v>164.50597931110877</v>
      </c>
      <c r="BR389" s="61">
        <f t="shared" si="1726"/>
        <v>165.37366633476631</v>
      </c>
      <c r="BS389" s="61">
        <f t="shared" si="1726"/>
        <v>163.91206173688101</v>
      </c>
      <c r="BT389" s="61">
        <f t="shared" si="1726"/>
        <v>166.71767369282441</v>
      </c>
      <c r="BU389" s="61">
        <f t="shared" si="1726"/>
        <v>169.06472489869847</v>
      </c>
      <c r="BV389" s="61">
        <f t="shared" si="1726"/>
        <v>172.263469229766</v>
      </c>
      <c r="BW389" s="61">
        <f t="shared" si="1726"/>
        <v>173.38526069408101</v>
      </c>
      <c r="BX389" s="61">
        <f t="shared" si="1726"/>
        <v>170.44714591101661</v>
      </c>
      <c r="BY389" s="61">
        <f t="shared" si="1726"/>
        <v>173.70037710413351</v>
      </c>
      <c r="BZ389" s="61">
        <f t="shared" si="1726"/>
        <v>175.71029914204584</v>
      </c>
      <c r="CA389" s="61">
        <f t="shared" si="1726"/>
        <v>176.1618791876341</v>
      </c>
      <c r="CB389" s="61">
        <f t="shared" si="1726"/>
        <v>177.16426024399016</v>
      </c>
      <c r="CC389" s="61">
        <f t="shared" si="1726"/>
        <v>175.71792059008803</v>
      </c>
      <c r="CD389" s="61">
        <f t="shared" si="1724"/>
        <v>177.46357632885918</v>
      </c>
      <c r="CE389" s="61">
        <f t="shared" si="1724"/>
        <v>179.4163621518444</v>
      </c>
      <c r="CF389" s="61">
        <f t="shared" si="1724"/>
        <v>179.34173842715609</v>
      </c>
      <c r="CG389" s="61">
        <f t="shared" si="1724"/>
        <v>180.33446026961241</v>
      </c>
      <c r="CH389" s="61">
        <f t="shared" si="1724"/>
        <v>179.16646661944279</v>
      </c>
      <c r="CI389" s="61">
        <f t="shared" si="1724"/>
        <v>180.87519817987624</v>
      </c>
      <c r="CJ389" s="61">
        <f t="shared" si="1724"/>
        <v>181.61944731598024</v>
      </c>
      <c r="CK389" s="61">
        <f t="shared" si="1724"/>
        <v>182.21405917126964</v>
      </c>
      <c r="CL389" s="61">
        <f t="shared" si="1724"/>
        <v>183.18965394446576</v>
      </c>
      <c r="CM389" s="61">
        <f t="shared" si="1724"/>
        <v>181.99746243404863</v>
      </c>
      <c r="CN389" s="61" t="str">
        <f t="shared" si="1724"/>
        <v/>
      </c>
      <c r="CO389" s="61" t="str">
        <f t="shared" si="1724"/>
        <v/>
      </c>
      <c r="CP389" s="61" t="str">
        <f t="shared" si="1724"/>
        <v/>
      </c>
      <c r="CQ389" s="61" t="str">
        <f t="shared" si="1724"/>
        <v/>
      </c>
      <c r="CR389" s="61" t="str">
        <f t="shared" si="1724"/>
        <v/>
      </c>
    </row>
    <row r="391" spans="1:96" s="31" customFormat="1" ht="15" x14ac:dyDescent="0.4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30"/>
      <c r="AV391" s="30"/>
      <c r="AW391" s="30"/>
      <c r="AX391" s="30"/>
      <c r="AY391" s="30"/>
      <c r="AZ391" s="30"/>
      <c r="BA391" s="30"/>
      <c r="BB391" s="30"/>
      <c r="BC391" s="30"/>
      <c r="BD391" s="30"/>
      <c r="BE391" s="30"/>
      <c r="BF391" s="30"/>
      <c r="BG391" s="30"/>
      <c r="BH391" s="30"/>
      <c r="BI391" s="30"/>
      <c r="BJ391" s="30"/>
      <c r="BK391" s="30"/>
      <c r="BL391" s="30"/>
      <c r="BM391" s="30"/>
      <c r="BN391" s="30"/>
      <c r="BO391" s="30"/>
      <c r="BP391" s="30"/>
      <c r="BQ391" s="30"/>
      <c r="BR391" s="30"/>
      <c r="BS391" s="30"/>
      <c r="BT391" s="30"/>
      <c r="BU391" s="30"/>
      <c r="BV391" s="30"/>
      <c r="BW391" s="30"/>
      <c r="BX391" s="30"/>
      <c r="BY391" s="30"/>
      <c r="BZ391" s="30"/>
      <c r="CA391" s="30"/>
      <c r="CB391" s="30"/>
      <c r="CC391" s="30"/>
      <c r="CD391" s="30"/>
      <c r="CE391" s="30"/>
      <c r="CF391" s="30"/>
      <c r="CG391" s="30"/>
      <c r="CH391" s="30"/>
      <c r="CI391" s="30"/>
      <c r="CJ391" s="30"/>
      <c r="CK391" s="30"/>
      <c r="CL391" s="30"/>
      <c r="CM391" s="30"/>
      <c r="CN391" s="30"/>
      <c r="CO391" s="30"/>
      <c r="CP391" s="30"/>
      <c r="CQ391" s="30"/>
      <c r="CR391" s="30"/>
    </row>
    <row r="392" spans="1:96" s="31" customFormat="1" ht="15" x14ac:dyDescent="0.4">
      <c r="A392" s="32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  <c r="AT392" s="33"/>
      <c r="AU392" s="33"/>
      <c r="AV392" s="33"/>
      <c r="AW392" s="33"/>
      <c r="AX392" s="33"/>
      <c r="AY392" s="33"/>
      <c r="AZ392" s="33"/>
      <c r="BA392" s="33"/>
      <c r="BB392" s="33"/>
      <c r="BC392" s="33"/>
      <c r="BD392" s="33"/>
      <c r="BE392" s="33"/>
      <c r="BF392" s="33"/>
      <c r="BG392" s="33"/>
      <c r="BH392" s="33"/>
      <c r="BI392" s="33"/>
      <c r="BJ392" s="33"/>
      <c r="BK392" s="33"/>
      <c r="BL392" s="33"/>
      <c r="BM392" s="33"/>
      <c r="BN392" s="33"/>
      <c r="BO392" s="33"/>
      <c r="BP392" s="33"/>
      <c r="BQ392" s="33"/>
      <c r="BR392" s="33"/>
      <c r="BS392" s="33"/>
      <c r="BT392" s="33"/>
      <c r="BU392" s="33"/>
      <c r="BV392" s="33"/>
      <c r="BW392" s="33"/>
      <c r="BX392" s="33"/>
      <c r="BY392" s="33"/>
      <c r="BZ392" s="33"/>
      <c r="CA392" s="33"/>
      <c r="CB392" s="33"/>
      <c r="CC392" s="33"/>
      <c r="CD392" s="33"/>
      <c r="CE392" s="33"/>
      <c r="CF392" s="33"/>
      <c r="CG392" s="33"/>
      <c r="CH392" s="33"/>
      <c r="CI392" s="33"/>
      <c r="CJ392" s="33"/>
      <c r="CK392" s="33"/>
      <c r="CL392" s="33"/>
      <c r="CM392" s="33"/>
      <c r="CN392" s="33"/>
      <c r="CO392" s="33"/>
      <c r="CP392" s="33"/>
      <c r="CQ392" s="33"/>
      <c r="CR392" s="33"/>
    </row>
    <row r="393" spans="1:96" ht="20" x14ac:dyDescent="0.4">
      <c r="A393" s="1" t="s">
        <v>114</v>
      </c>
    </row>
    <row r="394" spans="1:96" ht="20.5" thickBot="1" x14ac:dyDescent="0.45">
      <c r="A394" s="1" t="str">
        <f>A382</f>
        <v>Kabupaten/Kota :</v>
      </c>
      <c r="B394" s="35" t="str">
        <f>B382</f>
        <v>Kepuluauan Tanimbar</v>
      </c>
      <c r="L394" s="35"/>
      <c r="V394" s="35"/>
      <c r="AF394" s="35"/>
      <c r="AP394" s="35"/>
      <c r="AZ394" s="35"/>
      <c r="BJ394" s="35"/>
      <c r="BT394" s="35"/>
    </row>
    <row r="395" spans="1:96" s="9" customFormat="1" ht="24" customHeight="1" thickBot="1" x14ac:dyDescent="0.35">
      <c r="A395" s="5" t="s">
        <v>2</v>
      </c>
      <c r="B395" s="6" t="s">
        <v>3</v>
      </c>
      <c r="C395" s="6" t="s">
        <v>4</v>
      </c>
      <c r="D395" s="6" t="s">
        <v>5</v>
      </c>
      <c r="E395" s="6" t="s">
        <v>6</v>
      </c>
      <c r="F395" s="6">
        <v>2008</v>
      </c>
      <c r="G395" s="7" t="s">
        <v>7</v>
      </c>
      <c r="H395" s="7" t="s">
        <v>8</v>
      </c>
      <c r="I395" s="7" t="s">
        <v>9</v>
      </c>
      <c r="J395" s="7" t="s">
        <v>10</v>
      </c>
      <c r="K395" s="7">
        <v>2009</v>
      </c>
      <c r="L395" s="6" t="s">
        <v>11</v>
      </c>
      <c r="M395" s="6" t="s">
        <v>12</v>
      </c>
      <c r="N395" s="6" t="s">
        <v>13</v>
      </c>
      <c r="O395" s="6" t="s">
        <v>14</v>
      </c>
      <c r="P395" s="6">
        <v>2010</v>
      </c>
      <c r="Q395" s="7" t="s">
        <v>15</v>
      </c>
      <c r="R395" s="7" t="s">
        <v>16</v>
      </c>
      <c r="S395" s="7" t="s">
        <v>17</v>
      </c>
      <c r="T395" s="7" t="s">
        <v>18</v>
      </c>
      <c r="U395" s="7">
        <v>2011</v>
      </c>
      <c r="V395" s="6" t="s">
        <v>19</v>
      </c>
      <c r="W395" s="6" t="s">
        <v>20</v>
      </c>
      <c r="X395" s="6" t="s">
        <v>21</v>
      </c>
      <c r="Y395" s="6" t="s">
        <v>22</v>
      </c>
      <c r="Z395" s="6">
        <v>2012</v>
      </c>
      <c r="AA395" s="7" t="s">
        <v>23</v>
      </c>
      <c r="AB395" s="7" t="s">
        <v>24</v>
      </c>
      <c r="AC395" s="7" t="s">
        <v>25</v>
      </c>
      <c r="AD395" s="7" t="s">
        <v>26</v>
      </c>
      <c r="AE395" s="7">
        <v>2013</v>
      </c>
      <c r="AF395" s="6" t="s">
        <v>27</v>
      </c>
      <c r="AG395" s="6" t="s">
        <v>28</v>
      </c>
      <c r="AH395" s="6" t="s">
        <v>29</v>
      </c>
      <c r="AI395" s="6" t="s">
        <v>30</v>
      </c>
      <c r="AJ395" s="6">
        <v>2014</v>
      </c>
      <c r="AK395" s="7" t="s">
        <v>31</v>
      </c>
      <c r="AL395" s="7" t="s">
        <v>32</v>
      </c>
      <c r="AM395" s="7" t="s">
        <v>33</v>
      </c>
      <c r="AN395" s="7" t="s">
        <v>34</v>
      </c>
      <c r="AO395" s="7">
        <v>2015</v>
      </c>
      <c r="AP395" s="6" t="s">
        <v>35</v>
      </c>
      <c r="AQ395" s="6" t="s">
        <v>36</v>
      </c>
      <c r="AR395" s="6" t="s">
        <v>37</v>
      </c>
      <c r="AS395" s="6" t="s">
        <v>38</v>
      </c>
      <c r="AT395" s="6">
        <v>2016</v>
      </c>
      <c r="AU395" s="7" t="s">
        <v>39</v>
      </c>
      <c r="AV395" s="7" t="s">
        <v>40</v>
      </c>
      <c r="AW395" s="7" t="s">
        <v>41</v>
      </c>
      <c r="AX395" s="7" t="s">
        <v>42</v>
      </c>
      <c r="AY395" s="7">
        <v>2017</v>
      </c>
      <c r="AZ395" s="6" t="s">
        <v>43</v>
      </c>
      <c r="BA395" s="6" t="s">
        <v>44</v>
      </c>
      <c r="BB395" s="6" t="s">
        <v>45</v>
      </c>
      <c r="BC395" s="6" t="s">
        <v>46</v>
      </c>
      <c r="BD395" s="6">
        <v>2018</v>
      </c>
      <c r="BE395" s="7" t="s">
        <v>47</v>
      </c>
      <c r="BF395" s="7" t="s">
        <v>48</v>
      </c>
      <c r="BG395" s="7" t="s">
        <v>49</v>
      </c>
      <c r="BH395" s="7" t="s">
        <v>50</v>
      </c>
      <c r="BI395" s="7">
        <v>2019</v>
      </c>
      <c r="BJ395" s="6" t="s">
        <v>51</v>
      </c>
      <c r="BK395" s="6" t="s">
        <v>52</v>
      </c>
      <c r="BL395" s="6" t="s">
        <v>53</v>
      </c>
      <c r="BM395" s="6" t="s">
        <v>54</v>
      </c>
      <c r="BN395" s="6">
        <v>2020</v>
      </c>
      <c r="BO395" s="7" t="s">
        <v>55</v>
      </c>
      <c r="BP395" s="7" t="s">
        <v>56</v>
      </c>
      <c r="BQ395" s="7" t="s">
        <v>57</v>
      </c>
      <c r="BR395" s="7" t="s">
        <v>58</v>
      </c>
      <c r="BS395" s="7">
        <v>2021</v>
      </c>
      <c r="BT395" s="6" t="s">
        <v>59</v>
      </c>
      <c r="BU395" s="6" t="s">
        <v>60</v>
      </c>
      <c r="BV395" s="6" t="s">
        <v>61</v>
      </c>
      <c r="BW395" s="6" t="s">
        <v>62</v>
      </c>
      <c r="BX395" s="6">
        <v>2022</v>
      </c>
      <c r="BY395" s="7" t="s">
        <v>63</v>
      </c>
      <c r="BZ395" s="7" t="s">
        <v>64</v>
      </c>
      <c r="CA395" s="7" t="s">
        <v>65</v>
      </c>
      <c r="CB395" s="7" t="s">
        <v>66</v>
      </c>
      <c r="CC395" s="7">
        <v>2023</v>
      </c>
      <c r="CD395" s="8" t="s">
        <v>67</v>
      </c>
      <c r="CE395" s="8" t="s">
        <v>68</v>
      </c>
      <c r="CF395" s="8" t="s">
        <v>69</v>
      </c>
      <c r="CG395" s="8" t="s">
        <v>70</v>
      </c>
      <c r="CH395" s="8">
        <v>2024</v>
      </c>
      <c r="CI395" s="7" t="s">
        <v>71</v>
      </c>
      <c r="CJ395" s="7" t="s">
        <v>72</v>
      </c>
      <c r="CK395" s="7" t="s">
        <v>73</v>
      </c>
      <c r="CL395" s="7" t="s">
        <v>74</v>
      </c>
      <c r="CM395" s="7">
        <v>2025</v>
      </c>
      <c r="CN395" s="8" t="s">
        <v>75</v>
      </c>
      <c r="CO395" s="8" t="s">
        <v>76</v>
      </c>
      <c r="CP395" s="8" t="s">
        <v>77</v>
      </c>
      <c r="CQ395" s="8" t="s">
        <v>78</v>
      </c>
      <c r="CR395" s="8">
        <v>2026</v>
      </c>
    </row>
    <row r="396" spans="1:96" s="9" customFormat="1" ht="13.5" thickBot="1" x14ac:dyDescent="0.35">
      <c r="A396" s="10">
        <v>-1</v>
      </c>
      <c r="B396" s="11">
        <f>A396-1</f>
        <v>-2</v>
      </c>
      <c r="C396" s="11">
        <f>B396-1</f>
        <v>-3</v>
      </c>
      <c r="D396" s="11">
        <f t="shared" ref="D396:BO396" si="1727">C396-1</f>
        <v>-4</v>
      </c>
      <c r="E396" s="11">
        <f t="shared" si="1727"/>
        <v>-5</v>
      </c>
      <c r="F396" s="11">
        <f t="shared" si="1727"/>
        <v>-6</v>
      </c>
      <c r="G396" s="11">
        <f t="shared" si="1727"/>
        <v>-7</v>
      </c>
      <c r="H396" s="11">
        <f t="shared" si="1727"/>
        <v>-8</v>
      </c>
      <c r="I396" s="11">
        <f t="shared" si="1727"/>
        <v>-9</v>
      </c>
      <c r="J396" s="11">
        <f t="shared" si="1727"/>
        <v>-10</v>
      </c>
      <c r="K396" s="11">
        <f t="shared" si="1727"/>
        <v>-11</v>
      </c>
      <c r="L396" s="11">
        <f t="shared" si="1727"/>
        <v>-12</v>
      </c>
      <c r="M396" s="11">
        <f t="shared" si="1727"/>
        <v>-13</v>
      </c>
      <c r="N396" s="11">
        <f t="shared" si="1727"/>
        <v>-14</v>
      </c>
      <c r="O396" s="11">
        <f t="shared" si="1727"/>
        <v>-15</v>
      </c>
      <c r="P396" s="11">
        <f t="shared" si="1727"/>
        <v>-16</v>
      </c>
      <c r="Q396" s="11">
        <f t="shared" si="1727"/>
        <v>-17</v>
      </c>
      <c r="R396" s="11">
        <f t="shared" si="1727"/>
        <v>-18</v>
      </c>
      <c r="S396" s="11">
        <f t="shared" si="1727"/>
        <v>-19</v>
      </c>
      <c r="T396" s="11">
        <f t="shared" si="1727"/>
        <v>-20</v>
      </c>
      <c r="U396" s="11">
        <f t="shared" si="1727"/>
        <v>-21</v>
      </c>
      <c r="V396" s="11">
        <f t="shared" si="1727"/>
        <v>-22</v>
      </c>
      <c r="W396" s="11">
        <f t="shared" si="1727"/>
        <v>-23</v>
      </c>
      <c r="X396" s="11">
        <f t="shared" si="1727"/>
        <v>-24</v>
      </c>
      <c r="Y396" s="11">
        <f t="shared" si="1727"/>
        <v>-25</v>
      </c>
      <c r="Z396" s="11">
        <f t="shared" si="1727"/>
        <v>-26</v>
      </c>
      <c r="AA396" s="11">
        <f t="shared" si="1727"/>
        <v>-27</v>
      </c>
      <c r="AB396" s="11">
        <f t="shared" si="1727"/>
        <v>-28</v>
      </c>
      <c r="AC396" s="11">
        <f t="shared" si="1727"/>
        <v>-29</v>
      </c>
      <c r="AD396" s="11">
        <f t="shared" si="1727"/>
        <v>-30</v>
      </c>
      <c r="AE396" s="11">
        <f t="shared" si="1727"/>
        <v>-31</v>
      </c>
      <c r="AF396" s="11">
        <f t="shared" si="1727"/>
        <v>-32</v>
      </c>
      <c r="AG396" s="11">
        <f t="shared" si="1727"/>
        <v>-33</v>
      </c>
      <c r="AH396" s="11">
        <f t="shared" si="1727"/>
        <v>-34</v>
      </c>
      <c r="AI396" s="11">
        <f t="shared" si="1727"/>
        <v>-35</v>
      </c>
      <c r="AJ396" s="11">
        <f t="shared" si="1727"/>
        <v>-36</v>
      </c>
      <c r="AK396" s="11">
        <f t="shared" si="1727"/>
        <v>-37</v>
      </c>
      <c r="AL396" s="11">
        <f t="shared" si="1727"/>
        <v>-38</v>
      </c>
      <c r="AM396" s="11">
        <f t="shared" si="1727"/>
        <v>-39</v>
      </c>
      <c r="AN396" s="11">
        <f t="shared" si="1727"/>
        <v>-40</v>
      </c>
      <c r="AO396" s="11">
        <f t="shared" si="1727"/>
        <v>-41</v>
      </c>
      <c r="AP396" s="11">
        <f t="shared" si="1727"/>
        <v>-42</v>
      </c>
      <c r="AQ396" s="11">
        <f t="shared" si="1727"/>
        <v>-43</v>
      </c>
      <c r="AR396" s="11">
        <f t="shared" si="1727"/>
        <v>-44</v>
      </c>
      <c r="AS396" s="11">
        <f t="shared" si="1727"/>
        <v>-45</v>
      </c>
      <c r="AT396" s="11">
        <f t="shared" si="1727"/>
        <v>-46</v>
      </c>
      <c r="AU396" s="11">
        <f t="shared" si="1727"/>
        <v>-47</v>
      </c>
      <c r="AV396" s="11">
        <f t="shared" si="1727"/>
        <v>-48</v>
      </c>
      <c r="AW396" s="11">
        <f t="shared" si="1727"/>
        <v>-49</v>
      </c>
      <c r="AX396" s="11">
        <f t="shared" si="1727"/>
        <v>-50</v>
      </c>
      <c r="AY396" s="11">
        <f t="shared" si="1727"/>
        <v>-51</v>
      </c>
      <c r="AZ396" s="11">
        <f t="shared" si="1727"/>
        <v>-52</v>
      </c>
      <c r="BA396" s="11">
        <f t="shared" si="1727"/>
        <v>-53</v>
      </c>
      <c r="BB396" s="11">
        <f t="shared" si="1727"/>
        <v>-54</v>
      </c>
      <c r="BC396" s="11">
        <f t="shared" si="1727"/>
        <v>-55</v>
      </c>
      <c r="BD396" s="11">
        <f t="shared" si="1727"/>
        <v>-56</v>
      </c>
      <c r="BE396" s="11">
        <f t="shared" si="1727"/>
        <v>-57</v>
      </c>
      <c r="BF396" s="11">
        <f t="shared" si="1727"/>
        <v>-58</v>
      </c>
      <c r="BG396" s="11">
        <f t="shared" si="1727"/>
        <v>-59</v>
      </c>
      <c r="BH396" s="11">
        <f t="shared" si="1727"/>
        <v>-60</v>
      </c>
      <c r="BI396" s="11">
        <f t="shared" si="1727"/>
        <v>-61</v>
      </c>
      <c r="BJ396" s="11">
        <f t="shared" si="1727"/>
        <v>-62</v>
      </c>
      <c r="BK396" s="11">
        <f t="shared" si="1727"/>
        <v>-63</v>
      </c>
      <c r="BL396" s="11">
        <f t="shared" si="1727"/>
        <v>-64</v>
      </c>
      <c r="BM396" s="11">
        <f t="shared" si="1727"/>
        <v>-65</v>
      </c>
      <c r="BN396" s="11">
        <f t="shared" si="1727"/>
        <v>-66</v>
      </c>
      <c r="BO396" s="11">
        <f t="shared" si="1727"/>
        <v>-67</v>
      </c>
      <c r="BP396" s="11">
        <f t="shared" ref="BP396:CR396" si="1728">BO396-1</f>
        <v>-68</v>
      </c>
      <c r="BQ396" s="11">
        <f t="shared" si="1728"/>
        <v>-69</v>
      </c>
      <c r="BR396" s="11">
        <f t="shared" si="1728"/>
        <v>-70</v>
      </c>
      <c r="BS396" s="11">
        <f t="shared" si="1728"/>
        <v>-71</v>
      </c>
      <c r="BT396" s="11">
        <f t="shared" si="1728"/>
        <v>-72</v>
      </c>
      <c r="BU396" s="11">
        <f t="shared" si="1728"/>
        <v>-73</v>
      </c>
      <c r="BV396" s="11">
        <f t="shared" si="1728"/>
        <v>-74</v>
      </c>
      <c r="BW396" s="11">
        <f t="shared" si="1728"/>
        <v>-75</v>
      </c>
      <c r="BX396" s="11">
        <f t="shared" si="1728"/>
        <v>-76</v>
      </c>
      <c r="BY396" s="11">
        <f t="shared" si="1728"/>
        <v>-77</v>
      </c>
      <c r="BZ396" s="11">
        <f t="shared" si="1728"/>
        <v>-78</v>
      </c>
      <c r="CA396" s="11">
        <f t="shared" si="1728"/>
        <v>-79</v>
      </c>
      <c r="CB396" s="11">
        <f t="shared" si="1728"/>
        <v>-80</v>
      </c>
      <c r="CC396" s="11">
        <f t="shared" si="1728"/>
        <v>-81</v>
      </c>
      <c r="CD396" s="11">
        <f t="shared" si="1728"/>
        <v>-82</v>
      </c>
      <c r="CE396" s="11">
        <f t="shared" si="1728"/>
        <v>-83</v>
      </c>
      <c r="CF396" s="11">
        <f t="shared" si="1728"/>
        <v>-84</v>
      </c>
      <c r="CG396" s="11">
        <f t="shared" si="1728"/>
        <v>-85</v>
      </c>
      <c r="CH396" s="11">
        <f t="shared" si="1728"/>
        <v>-86</v>
      </c>
      <c r="CI396" s="11">
        <f t="shared" si="1728"/>
        <v>-87</v>
      </c>
      <c r="CJ396" s="11">
        <f t="shared" si="1728"/>
        <v>-88</v>
      </c>
      <c r="CK396" s="11">
        <f t="shared" si="1728"/>
        <v>-89</v>
      </c>
      <c r="CL396" s="11">
        <f t="shared" si="1728"/>
        <v>-90</v>
      </c>
      <c r="CM396" s="11">
        <f t="shared" si="1728"/>
        <v>-91</v>
      </c>
      <c r="CN396" s="11">
        <f t="shared" si="1728"/>
        <v>-92</v>
      </c>
      <c r="CO396" s="11">
        <f t="shared" si="1728"/>
        <v>-93</v>
      </c>
      <c r="CP396" s="11">
        <f t="shared" si="1728"/>
        <v>-94</v>
      </c>
      <c r="CQ396" s="11">
        <f t="shared" si="1728"/>
        <v>-95</v>
      </c>
      <c r="CR396" s="11">
        <f t="shared" si="1728"/>
        <v>-96</v>
      </c>
    </row>
    <row r="397" spans="1:96" s="54" customFormat="1" ht="17.5" customHeight="1" thickTop="1" x14ac:dyDescent="0.4">
      <c r="A397" s="52" t="s">
        <v>106</v>
      </c>
      <c r="B397" s="38"/>
      <c r="C397" s="57">
        <f>IFERROR(C385/B385*100-100,"")</f>
        <v>0.49336309442482218</v>
      </c>
      <c r="D397" s="57">
        <f t="shared" ref="D397:E397" si="1729">IFERROR(D385/C385*100-100,"")</f>
        <v>3.8898463129695386</v>
      </c>
      <c r="E397" s="57">
        <f t="shared" si="1729"/>
        <v>1.2737011508478844</v>
      </c>
      <c r="F397" s="38"/>
      <c r="G397" s="57">
        <f>IFERROR(G385/E385*100-100,"")</f>
        <v>7.3354390009853887E-2</v>
      </c>
      <c r="H397" s="57">
        <f>IFERROR(H385/G385*100-100,"")</f>
        <v>0.34529074985817942</v>
      </c>
      <c r="I397" s="57">
        <f t="shared" ref="I397:J397" si="1730">IFERROR(I385/H385*100-100,"")</f>
        <v>1.4390239997959355</v>
      </c>
      <c r="J397" s="57">
        <f t="shared" si="1730"/>
        <v>0.81888625134713777</v>
      </c>
      <c r="K397" s="57">
        <f>IFERROR(K385/F385*100-100,"")</f>
        <v>4.2649337918837773</v>
      </c>
      <c r="L397" s="57">
        <f>IFERROR(L385/J385*100-100,"")</f>
        <v>1.0144939316977286</v>
      </c>
      <c r="M397" s="57">
        <f>IFERROR(M385/L385*100-100,"")</f>
        <v>2.893597949925848</v>
      </c>
      <c r="N397" s="57">
        <f t="shared" ref="N397:O397" si="1731">IFERROR(N385/M385*100-100,"")</f>
        <v>0.18155304906302661</v>
      </c>
      <c r="O397" s="57">
        <f t="shared" si="1731"/>
        <v>-1.5302717194232969</v>
      </c>
      <c r="P397" s="57">
        <f>IFERROR(P385/K385*100-100,"")</f>
        <v>4.3249034193930243</v>
      </c>
      <c r="Q397" s="57">
        <f>IFERROR(Q385/O385*100-100,"")</f>
        <v>-4.4988009100087112</v>
      </c>
      <c r="R397" s="57" t="str">
        <f>IFERROR(R385/Q385*100-100,"")</f>
        <v/>
      </c>
      <c r="S397" s="57" t="str">
        <f t="shared" ref="S397:T397" si="1732">IFERROR(S385/R385*100-100,"")</f>
        <v/>
      </c>
      <c r="T397" s="57">
        <f t="shared" si="1732"/>
        <v>-3.0451983994096281</v>
      </c>
      <c r="U397" s="57" t="str">
        <f>IFERROR(U385/P385*100-100,"")</f>
        <v/>
      </c>
      <c r="V397" s="57">
        <f>IFERROR(V385/T385*100-100,"")</f>
        <v>10.094500254247478</v>
      </c>
      <c r="W397" s="57">
        <f>IFERROR(W385/V385*100-100,"")</f>
        <v>0.57856671645890856</v>
      </c>
      <c r="X397" s="57">
        <f t="shared" ref="X397:Y397" si="1733">IFERROR(X385/W385*100-100,"")</f>
        <v>-1.5225992609142764</v>
      </c>
      <c r="Y397" s="57">
        <f t="shared" si="1733"/>
        <v>0.564823118690299</v>
      </c>
      <c r="Z397" s="57" t="str">
        <f>IFERROR(Z385/U385*100-100,"")</f>
        <v/>
      </c>
      <c r="AA397" s="57">
        <f>IFERROR(AA385/Y385*100-100,"")</f>
        <v>2.7589992494043543</v>
      </c>
      <c r="AB397" s="57">
        <f>IFERROR(AB385/AA385*100-100,"")</f>
        <v>2.9746546707272898</v>
      </c>
      <c r="AC397" s="57">
        <f t="shared" ref="AC397:AD397" si="1734">IFERROR(AC385/AB385*100-100,"")</f>
        <v>3.9464538838303866</v>
      </c>
      <c r="AD397" s="57">
        <f t="shared" si="1734"/>
        <v>2.111526029774268</v>
      </c>
      <c r="AE397" s="57">
        <f>IFERROR(AE385/Z385*100-100,"")</f>
        <v>7.7151310797244292</v>
      </c>
      <c r="AF397" s="57">
        <f>IFERROR(AF385/AD385*100-100,"")</f>
        <v>1.1627419336638098</v>
      </c>
      <c r="AG397" s="57">
        <f>IFERROR(AG385/AF385*100-100,"")</f>
        <v>0.65361449340200295</v>
      </c>
      <c r="AH397" s="57">
        <f t="shared" ref="AH397:AI397" si="1735">IFERROR(AH385/AG385*100-100,"")</f>
        <v>0.92776612913374379</v>
      </c>
      <c r="AI397" s="57">
        <f t="shared" si="1735"/>
        <v>1.8683645112972442</v>
      </c>
      <c r="AJ397" s="57">
        <f>IFERROR(AJ385/AE385*100-100,"")</f>
        <v>6.8678520983108058</v>
      </c>
      <c r="AK397" s="57">
        <f>IFERROR(AK385/AI385*100-100,"")</f>
        <v>1.8958879302011695</v>
      </c>
      <c r="AL397" s="57">
        <f>IFERROR(AL385/AK385*100-100,"")</f>
        <v>1.8641708781516968</v>
      </c>
      <c r="AM397" s="57">
        <f t="shared" ref="AM397:AN397" si="1736">IFERROR(AM385/AL385*100-100,"")</f>
        <v>1.332172811356287</v>
      </c>
      <c r="AN397" s="57">
        <f t="shared" si="1736"/>
        <v>1.7156712670592071</v>
      </c>
      <c r="AO397" s="57">
        <f>IFERROR(AO385/AJ385*100-100,"")</f>
        <v>6.6116839019161091</v>
      </c>
      <c r="AP397" s="57">
        <f>IFERROR(AP385/AN385*100-100,"")</f>
        <v>2.529838803536208</v>
      </c>
      <c r="AQ397" s="57">
        <f>IFERROR(AQ385/AP385*100-100,"")</f>
        <v>-0.26464415560357679</v>
      </c>
      <c r="AR397" s="57">
        <f t="shared" ref="AR397:AS397" si="1737">IFERROR(AR385/AQ385*100-100,"")</f>
        <v>0.91632139957043535</v>
      </c>
      <c r="AS397" s="57">
        <f t="shared" si="1737"/>
        <v>1.1386911557964794</v>
      </c>
      <c r="AT397" s="57">
        <f>IFERROR(AT385/AO385*100-100,"")</f>
        <v>5.4947578942588677</v>
      </c>
      <c r="AU397" s="57">
        <f>IFERROR(AU385/AS385*100-100,"")</f>
        <v>0.79323556293282138</v>
      </c>
      <c r="AV397" s="57">
        <f>IFERROR(AV385/AU385*100-100,"")</f>
        <v>0.6488504266072681</v>
      </c>
      <c r="AW397" s="57">
        <f t="shared" ref="AW397:AX397" si="1738">IFERROR(AW385/AV385*100-100,"")</f>
        <v>1.0000593638350779</v>
      </c>
      <c r="AX397" s="57">
        <f t="shared" si="1738"/>
        <v>0.39227579592389361</v>
      </c>
      <c r="AY397" s="57">
        <f>IFERROR(AY385/AT385*100-100,"")</f>
        <v>3.1701605525295378</v>
      </c>
      <c r="AZ397" s="57">
        <f>IFERROR(AZ385/AX385*100-100,"")</f>
        <v>0.48324232630849906</v>
      </c>
      <c r="BA397" s="57">
        <f>IFERROR(BA385/AZ385*100-100,"")</f>
        <v>0.24132958403642135</v>
      </c>
      <c r="BB397" s="57">
        <f t="shared" ref="BB397:BC397" si="1739">IFERROR(BB385/BA385*100-100,"")</f>
        <v>4.8289398479511192E-2</v>
      </c>
      <c r="BC397" s="57">
        <f t="shared" si="1739"/>
        <v>4.3242895975083684E-2</v>
      </c>
      <c r="BD397" s="57">
        <f>IFERROR(BD385/AY385*100-100,"")</f>
        <v>1.6318348180453484</v>
      </c>
      <c r="BE397" s="57">
        <f>IFERROR(BE385/BC385*100-100,"")</f>
        <v>2.5501632237784833</v>
      </c>
      <c r="BF397" s="57">
        <f>IFERROR(BF385/BE385*100-100,"")</f>
        <v>0.36239762292295552</v>
      </c>
      <c r="BG397" s="57">
        <f t="shared" ref="BG397:BH397" si="1740">IFERROR(BG385/BF385*100-100,"")</f>
        <v>2.6571300387795844</v>
      </c>
      <c r="BH397" s="57">
        <f t="shared" si="1740"/>
        <v>-0.51399484607686929</v>
      </c>
      <c r="BI397" s="57">
        <f>IFERROR(BI385/BD385*100-100,"")</f>
        <v>4.2203395862656663</v>
      </c>
      <c r="BJ397" s="57">
        <f>IFERROR(BJ385/BH385*100-100,"")</f>
        <v>-1.3289076337406129</v>
      </c>
      <c r="BK397" s="57">
        <f>IFERROR(BK385/BJ385*100-100,"")</f>
        <v>1.7740515745477694</v>
      </c>
      <c r="BL397" s="57">
        <f t="shared" ref="BL397:BM397" si="1741">IFERROR(BL385/BK385*100-100,"")</f>
        <v>2.7214618589296293</v>
      </c>
      <c r="BM397" s="57">
        <f t="shared" si="1741"/>
        <v>0.27241743629389248</v>
      </c>
      <c r="BN397" s="57">
        <f>IFERROR(BN385/BI385*100-100,"")</f>
        <v>2.4071228507429367</v>
      </c>
      <c r="BO397" s="57">
        <f>IFERROR(BO385/BM385*100-100,"")</f>
        <v>1.1580205937172963</v>
      </c>
      <c r="BP397" s="57">
        <f>IFERROR(BP385/BO385*100-100,"")</f>
        <v>1.8029285227907792</v>
      </c>
      <c r="BQ397" s="57">
        <f t="shared" ref="BQ397:BR397" si="1742">IFERROR(BQ385/BP385*100-100,"")</f>
        <v>-2.3703790376021914</v>
      </c>
      <c r="BR397" s="57">
        <f t="shared" si="1742"/>
        <v>3.0915845107852107</v>
      </c>
      <c r="BS397" s="57">
        <f>IFERROR(BS385/BN385*100-100,"")</f>
        <v>4.1261018939352709</v>
      </c>
      <c r="BT397" s="57">
        <f>IFERROR(BT385/BR385*100-100,"")</f>
        <v>2.0528186302963576</v>
      </c>
      <c r="BU397" s="57">
        <f>IFERROR(BU385/BT385*100-100,"")</f>
        <v>0.58451266224935239</v>
      </c>
      <c r="BV397" s="57">
        <f t="shared" ref="BV397:BW397" si="1743">IFERROR(BV385/BU385*100-100,"")</f>
        <v>1.0327136123696761</v>
      </c>
      <c r="BW397" s="57">
        <f t="shared" si="1743"/>
        <v>0.49044702023867615</v>
      </c>
      <c r="BX397" s="57">
        <f>IFERROR(BX385/BS385*100-100,"")</f>
        <v>4.7362869241726457</v>
      </c>
      <c r="BY397" s="57">
        <f>IFERROR(BY385/BW385*100-100,"")</f>
        <v>0.9665543474832532</v>
      </c>
      <c r="BZ397" s="57">
        <f>IFERROR(BZ385/BY385*100-100,"")</f>
        <v>1.016267917923642</v>
      </c>
      <c r="CA397" s="57">
        <f t="shared" ref="CA397:CB397" si="1744">IFERROR(CA385/BZ385*100-100,"")</f>
        <v>0.62979119307613018</v>
      </c>
      <c r="CB397" s="57">
        <f t="shared" si="1744"/>
        <v>0.50151084539686508</v>
      </c>
      <c r="CC397" s="57">
        <f>IFERROR(CC385/BX385*100-100,"")</f>
        <v>3.2346154870807879</v>
      </c>
      <c r="CD397" s="57">
        <f>IFERROR(CD385/CB385*100-100,"")</f>
        <v>-3.7186588001361542E-2</v>
      </c>
      <c r="CE397" s="57">
        <f>IFERROR(CE385/CD385*100-100,"")</f>
        <v>1.6335959144842889</v>
      </c>
      <c r="CF397" s="57">
        <f t="shared" ref="CF397:CG397" si="1745">IFERROR(CF385/CE385*100-100,"")</f>
        <v>0.41040905683691165</v>
      </c>
      <c r="CG397" s="57">
        <f t="shared" si="1745"/>
        <v>-0.88765249277599878</v>
      </c>
      <c r="CH397" s="57">
        <f>IFERROR(CH385/CC385*100-100,"")</f>
        <v>2.110612414513696</v>
      </c>
      <c r="CI397" s="57">
        <f>IFERROR(CI385/CG385*100-100,"")</f>
        <v>0.72816244099016103</v>
      </c>
      <c r="CJ397" s="57">
        <f>IFERROR(CJ385/CI385*100-100,"")</f>
        <v>2.8254087453875059</v>
      </c>
      <c r="CK397" s="57">
        <f t="shared" ref="CK397:CL401" si="1746">IFERROR(CK385/CJ385*100-100,"")</f>
        <v>2.5051855777391552</v>
      </c>
      <c r="CL397" s="57">
        <f t="shared" si="1746"/>
        <v>-0.42425340003607914</v>
      </c>
      <c r="CM397" s="57">
        <f>IFERROR(CM385/CH385*100-100,"")</f>
        <v>3.9993046109684514</v>
      </c>
      <c r="CN397" s="57" t="str">
        <f>IFERROR(CN385/CL385*100-100,"")</f>
        <v/>
      </c>
      <c r="CO397" s="57" t="str">
        <f>IFERROR(CO385/CN385*100-100,"")</f>
        <v/>
      </c>
      <c r="CP397" s="57" t="str">
        <f t="shared" ref="CP397:CQ401" si="1747">IFERROR(CP385/CO385*100-100,"")</f>
        <v/>
      </c>
      <c r="CQ397" s="57" t="str">
        <f t="shared" si="1747"/>
        <v/>
      </c>
      <c r="CR397" s="57" t="str">
        <f>IFERROR(CR385/CM385*100-100,"")</f>
        <v/>
      </c>
    </row>
    <row r="398" spans="1:96" s="54" customFormat="1" ht="17.5" customHeight="1" x14ac:dyDescent="0.4">
      <c r="A398" s="52" t="s">
        <v>107</v>
      </c>
      <c r="B398" s="38"/>
      <c r="C398" s="57">
        <f t="shared" ref="C398:E401" si="1748">IFERROR(C386/B386*100-100,"")</f>
        <v>0.67845724777946259</v>
      </c>
      <c r="D398" s="57">
        <f t="shared" si="1748"/>
        <v>-2.265263076074632</v>
      </c>
      <c r="E398" s="57">
        <f t="shared" si="1748"/>
        <v>3.1281492524563674</v>
      </c>
      <c r="F398" s="38"/>
      <c r="G398" s="57">
        <f t="shared" ref="G398:G401" si="1749">IFERROR(G386/E386*100-100,"")</f>
        <v>12.034598838806218</v>
      </c>
      <c r="H398" s="57">
        <f t="shared" ref="H398:J401" si="1750">IFERROR(H386/G386*100-100,"")</f>
        <v>2.6070035306859012</v>
      </c>
      <c r="I398" s="57">
        <f t="shared" si="1750"/>
        <v>1.1306551424692799</v>
      </c>
      <c r="J398" s="57">
        <f t="shared" si="1750"/>
        <v>1.6499553522167929</v>
      </c>
      <c r="K398" s="57">
        <f t="shared" ref="K398:K401" si="1751">IFERROR(K386/F386*100-100,"")</f>
        <v>17.105964955397468</v>
      </c>
      <c r="L398" s="57">
        <f t="shared" ref="L398:L401" si="1752">IFERROR(L386/J386*100-100,"")</f>
        <v>1.720203321091887</v>
      </c>
      <c r="M398" s="57">
        <f t="shared" ref="M398:O401" si="1753">IFERROR(M386/L386*100-100,"")</f>
        <v>2.0310008478618471</v>
      </c>
      <c r="N398" s="57">
        <f t="shared" si="1753"/>
        <v>2.5907815406176553</v>
      </c>
      <c r="O398" s="57">
        <f t="shared" si="1753"/>
        <v>-0.66070541813728312</v>
      </c>
      <c r="P398" s="57">
        <f t="shared" ref="P398:P401" si="1754">IFERROR(P386/K386*100-100,"")</f>
        <v>6.9550089777564779</v>
      </c>
      <c r="Q398" s="57">
        <f t="shared" ref="Q398:Q401" si="1755">IFERROR(Q386/O386*100-100,"")</f>
        <v>13.910612428875396</v>
      </c>
      <c r="R398" s="57" t="str">
        <f t="shared" ref="R398:T401" si="1756">IFERROR(R386/Q386*100-100,"")</f>
        <v/>
      </c>
      <c r="S398" s="57" t="str">
        <f t="shared" si="1756"/>
        <v/>
      </c>
      <c r="T398" s="57">
        <f t="shared" si="1756"/>
        <v>-3.5900595240775033</v>
      </c>
      <c r="U398" s="57" t="str">
        <f t="shared" ref="U398:U401" si="1757">IFERROR(U386/P386*100-100,"")</f>
        <v/>
      </c>
      <c r="V398" s="57">
        <f t="shared" ref="V398:V401" si="1758">IFERROR(V386/T386*100-100,"")</f>
        <v>-1.4386832661532054</v>
      </c>
      <c r="W398" s="57">
        <f t="shared" ref="W398:Y401" si="1759">IFERROR(W386/V386*100-100,"")</f>
        <v>0.74078229790610806</v>
      </c>
      <c r="X398" s="57">
        <f t="shared" si="1759"/>
        <v>-1.4034578665910402</v>
      </c>
      <c r="Y398" s="57">
        <f t="shared" si="1759"/>
        <v>5.7120396495303254</v>
      </c>
      <c r="Z398" s="57" t="str">
        <f t="shared" ref="Z398:Z401" si="1760">IFERROR(Z386/U386*100-100,"")</f>
        <v/>
      </c>
      <c r="AA398" s="57">
        <f t="shared" ref="AA398:AA401" si="1761">IFERROR(AA386/Y386*100-100,"")</f>
        <v>-6.1636627231278567</v>
      </c>
      <c r="AB398" s="57">
        <f t="shared" ref="AB398:AD401" si="1762">IFERROR(AB386/AA386*100-100,"")</f>
        <v>2.4957223230613721</v>
      </c>
      <c r="AC398" s="57">
        <f t="shared" si="1762"/>
        <v>2.6515728304577664</v>
      </c>
      <c r="AD398" s="57">
        <f t="shared" si="1762"/>
        <v>1.6095841799116215</v>
      </c>
      <c r="AE398" s="57">
        <f t="shared" ref="AE398:AE401" si="1763">IFERROR(AE386/Z386*100-100,"")</f>
        <v>0.96087165720464895</v>
      </c>
      <c r="AF398" s="57">
        <f t="shared" ref="AF398:AF401" si="1764">IFERROR(AF386/AD386*100-100,"")</f>
        <v>0.87036441664398012</v>
      </c>
      <c r="AG398" s="57">
        <f t="shared" ref="AG398:AI401" si="1765">IFERROR(AG386/AF386*100-100,"")</f>
        <v>1.3423348160876145</v>
      </c>
      <c r="AH398" s="57">
        <f t="shared" si="1765"/>
        <v>1.3895809745913681</v>
      </c>
      <c r="AI398" s="57">
        <f t="shared" si="1765"/>
        <v>0.40193395303487023</v>
      </c>
      <c r="AJ398" s="57">
        <f t="shared" ref="AJ398:AJ401" si="1766">IFERROR(AJ386/AE386*100-100,"")</f>
        <v>5.7867339438911927</v>
      </c>
      <c r="AK398" s="57">
        <f t="shared" ref="AK398:AK401" si="1767">IFERROR(AK386/AI386*100-100,"")</f>
        <v>1.9249747199492191</v>
      </c>
      <c r="AL398" s="57">
        <f t="shared" ref="AL398:AN401" si="1768">IFERROR(AL386/AK386*100-100,"")</f>
        <v>-0.10664462521953055</v>
      </c>
      <c r="AM398" s="57">
        <f t="shared" si="1768"/>
        <v>0.98528516366233987</v>
      </c>
      <c r="AN398" s="57">
        <f t="shared" si="1768"/>
        <v>1.967002833672467</v>
      </c>
      <c r="AO398" s="57">
        <f t="shared" ref="AO398:AO401" si="1769">IFERROR(AO386/AJ386*100-100,"")</f>
        <v>4.1875906095065289</v>
      </c>
      <c r="AP398" s="57">
        <f t="shared" ref="AP398:AP401" si="1770">IFERROR(AP386/AN386*100-100,"")</f>
        <v>1.1576715134564779</v>
      </c>
      <c r="AQ398" s="57">
        <f t="shared" ref="AQ398:AS401" si="1771">IFERROR(AQ386/AP386*100-100,"")</f>
        <v>2.4419103673235725</v>
      </c>
      <c r="AR398" s="57">
        <f t="shared" si="1771"/>
        <v>2.0982977262875835</v>
      </c>
      <c r="AS398" s="57">
        <f t="shared" si="1771"/>
        <v>0.61993532173391941</v>
      </c>
      <c r="AT398" s="57">
        <f t="shared" ref="AT398:AT401" si="1772">IFERROR(AT386/AO386*100-100,"")</f>
        <v>6.3232370947510219</v>
      </c>
      <c r="AU398" s="57">
        <f t="shared" ref="AU398:AU401" si="1773">IFERROR(AU386/AS386*100-100,"")</f>
        <v>0.20658948037417701</v>
      </c>
      <c r="AV398" s="57">
        <f t="shared" ref="AV398:AX401" si="1774">IFERROR(AV386/AU386*100-100,"")</f>
        <v>1.3424904949027194</v>
      </c>
      <c r="AW398" s="57">
        <f t="shared" si="1774"/>
        <v>0.1627190884384504</v>
      </c>
      <c r="AX398" s="57">
        <f t="shared" si="1774"/>
        <v>0.23175178946375752</v>
      </c>
      <c r="AY398" s="57">
        <f t="shared" ref="AY398:AY401" si="1775">IFERROR(AY386/AT386*100-100,"")</f>
        <v>3.3884690019591091</v>
      </c>
      <c r="AZ398" s="57">
        <f t="shared" ref="AZ398:AZ401" si="1776">IFERROR(AZ386/AX386*100-100,"")</f>
        <v>6.8772223481758488E-2</v>
      </c>
      <c r="BA398" s="57">
        <f t="shared" ref="BA398:BC401" si="1777">IFERROR(BA386/AZ386*100-100,"")</f>
        <v>1.5743537902510525</v>
      </c>
      <c r="BB398" s="57">
        <f t="shared" si="1777"/>
        <v>0.94194137330138972</v>
      </c>
      <c r="BC398" s="57">
        <f t="shared" si="1777"/>
        <v>0.24647978622689948</v>
      </c>
      <c r="BD398" s="57">
        <f t="shared" ref="BD398:BD401" si="1778">IFERROR(BD386/AY386*100-100,"")</f>
        <v>2.4248252579016452</v>
      </c>
      <c r="BE398" s="57">
        <f t="shared" ref="BE398:BE401" si="1779">IFERROR(BE386/BC386*100-100,"")</f>
        <v>1.5857944226349758</v>
      </c>
      <c r="BF398" s="57">
        <f t="shared" ref="BF398:BH401" si="1780">IFERROR(BF386/BE386*100-100,"")</f>
        <v>6.7995372478369944</v>
      </c>
      <c r="BG398" s="57">
        <f t="shared" si="1780"/>
        <v>3.5049120851737428</v>
      </c>
      <c r="BH398" s="57">
        <f t="shared" si="1780"/>
        <v>5.3444978647149526</v>
      </c>
      <c r="BI398" s="57">
        <f t="shared" ref="BI398:BI401" si="1781">IFERROR(BI386/BD386*100-100,"")</f>
        <v>11.662178813500731</v>
      </c>
      <c r="BJ398" s="57">
        <f t="shared" ref="BJ398:BJ401" si="1782">IFERROR(BJ386/BH386*100-100,"")</f>
        <v>-5.1003293832721823</v>
      </c>
      <c r="BK398" s="57">
        <f t="shared" ref="BK398:BM401" si="1783">IFERROR(BK386/BJ386*100-100,"")</f>
        <v>0.69869505000414733</v>
      </c>
      <c r="BL398" s="57">
        <f t="shared" si="1783"/>
        <v>1.3373366600738734</v>
      </c>
      <c r="BM398" s="57">
        <f t="shared" si="1783"/>
        <v>-3.6547905138286865</v>
      </c>
      <c r="BN398" s="57">
        <f t="shared" ref="BN398:BN401" si="1784">IFERROR(BN386/BI386*100-100,"")</f>
        <v>1.654111617882819</v>
      </c>
      <c r="BO398" s="57">
        <f t="shared" ref="BO398:BO401" si="1785">IFERROR(BO386/BM386*100-100,"")</f>
        <v>2.2630117420429769</v>
      </c>
      <c r="BP398" s="57">
        <f t="shared" ref="BP398:BR401" si="1786">IFERROR(BP386/BO386*100-100,"")</f>
        <v>1.8273153642769557</v>
      </c>
      <c r="BQ398" s="57">
        <f t="shared" si="1786"/>
        <v>-1.5593544655945522</v>
      </c>
      <c r="BR398" s="57">
        <f t="shared" si="1786"/>
        <v>2.3198100849015475</v>
      </c>
      <c r="BS398" s="57">
        <f t="shared" ref="BS398:BS401" si="1787">IFERROR(BS386/BN386*100-100,"")</f>
        <v>1.8919462821707782</v>
      </c>
      <c r="BT398" s="57">
        <f t="shared" ref="BT398:BT401" si="1788">IFERROR(BT386/BR386*100-100,"")</f>
        <v>0.33209634278850331</v>
      </c>
      <c r="BU398" s="57">
        <f t="shared" ref="BU398:BW401" si="1789">IFERROR(BU386/BT386*100-100,"")</f>
        <v>0.4648221560093333</v>
      </c>
      <c r="BV398" s="57">
        <f t="shared" si="1789"/>
        <v>0.47592917107172639</v>
      </c>
      <c r="BW398" s="57">
        <f t="shared" si="1789"/>
        <v>-2.8473387490175526</v>
      </c>
      <c r="BX398" s="57">
        <f t="shared" ref="BX398:BX401" si="1790">IFERROR(BX386/BS386*100-100,"")</f>
        <v>1.0157840186373761</v>
      </c>
      <c r="BY398" s="57">
        <f t="shared" ref="BY398:BY401" si="1791">IFERROR(BY386/BW386*100-100,"")</f>
        <v>1.4435880289616279</v>
      </c>
      <c r="BZ398" s="57">
        <f t="shared" ref="BZ398:CB401" si="1792">IFERROR(BZ386/BY386*100-100,"")</f>
        <v>0.86540722447256258</v>
      </c>
      <c r="CA398" s="57">
        <f t="shared" si="1792"/>
        <v>0.384777760122617</v>
      </c>
      <c r="CB398" s="57">
        <f t="shared" si="1792"/>
        <v>9.3166568439556841E-2</v>
      </c>
      <c r="CC398" s="57">
        <f t="shared" ref="CC398:CC401" si="1793">IFERROR(CC386/BX386*100-100,"")</f>
        <v>0.85150667831877058</v>
      </c>
      <c r="CD398" s="57">
        <f t="shared" ref="CD398:CD401" si="1794">IFERROR(CD386/CB386*100-100,"")</f>
        <v>1.263342511697104</v>
      </c>
      <c r="CE398" s="57">
        <f t="shared" ref="CE398:CG401" si="1795">IFERROR(CE386/CD386*100-100,"")</f>
        <v>0.44262832690962739</v>
      </c>
      <c r="CF398" s="57">
        <f t="shared" si="1795"/>
        <v>-0.35420489067050198</v>
      </c>
      <c r="CG398" s="57">
        <f t="shared" si="1795"/>
        <v>-0.30357544080736432</v>
      </c>
      <c r="CH398" s="57">
        <f t="shared" ref="CH398:CH401" si="1796">IFERROR(CH386/CC386*100-100,"")</f>
        <v>1.6751519083759234</v>
      </c>
      <c r="CI398" s="57">
        <f t="shared" ref="CI398:CI401" si="1797">IFERROR(CI386/CG386*100-100,"")</f>
        <v>1.4099632733057774</v>
      </c>
      <c r="CJ398" s="57">
        <f t="shared" ref="CJ398:CJ401" si="1798">IFERROR(CJ386/CI386*100-100,"")</f>
        <v>1.5191542729015026</v>
      </c>
      <c r="CK398" s="57">
        <f t="shared" si="1746"/>
        <v>0.85241153771147538</v>
      </c>
      <c r="CL398" s="57">
        <f t="shared" si="1746"/>
        <v>0.53518159197803072</v>
      </c>
      <c r="CM398" s="57">
        <f t="shared" ref="CM398:CM401" si="1799">IFERROR(CM386/CH386*100-100,"")</f>
        <v>3.0165731636058837</v>
      </c>
      <c r="CN398" s="57" t="str">
        <f t="shared" ref="CN398:CN401" si="1800">IFERROR(CN386/CL386*100-100,"")</f>
        <v/>
      </c>
      <c r="CO398" s="57" t="str">
        <f t="shared" ref="CO398:CO401" si="1801">IFERROR(CO386/CN386*100-100,"")</f>
        <v/>
      </c>
      <c r="CP398" s="57" t="str">
        <f t="shared" si="1747"/>
        <v/>
      </c>
      <c r="CQ398" s="57" t="str">
        <f t="shared" si="1747"/>
        <v/>
      </c>
      <c r="CR398" s="57" t="str">
        <f t="shared" ref="CR398:CR401" si="1802">IFERROR(CR386/CM386*100-100,"")</f>
        <v/>
      </c>
    </row>
    <row r="399" spans="1:96" s="54" customFormat="1" ht="17.5" customHeight="1" x14ac:dyDescent="0.4">
      <c r="A399" s="52" t="s">
        <v>108</v>
      </c>
      <c r="B399" s="38"/>
      <c r="C399" s="57">
        <f t="shared" si="1748"/>
        <v>0.66094680644570758</v>
      </c>
      <c r="D399" s="57">
        <f t="shared" si="1748"/>
        <v>1.9312032691459962</v>
      </c>
      <c r="E399" s="57">
        <f t="shared" si="1748"/>
        <v>-0.57389171503176328</v>
      </c>
      <c r="F399" s="38"/>
      <c r="G399" s="57">
        <f t="shared" si="1749"/>
        <v>8.7912882922340287</v>
      </c>
      <c r="H399" s="57">
        <f t="shared" si="1750"/>
        <v>2.7734716778378186</v>
      </c>
      <c r="I399" s="57">
        <f t="shared" si="1750"/>
        <v>4.2461480638317823</v>
      </c>
      <c r="J399" s="57">
        <f t="shared" si="1750"/>
        <v>2.5581046070053901</v>
      </c>
      <c r="K399" s="57">
        <f t="shared" si="1751"/>
        <v>15.076023439330072</v>
      </c>
      <c r="L399" s="57">
        <f t="shared" si="1752"/>
        <v>5.1827773983902432</v>
      </c>
      <c r="M399" s="57">
        <f t="shared" si="1753"/>
        <v>0.20284540388004757</v>
      </c>
      <c r="N399" s="57">
        <f t="shared" si="1753"/>
        <v>0.26321177599540135</v>
      </c>
      <c r="O399" s="57">
        <f t="shared" si="1753"/>
        <v>-0.73684624102095597</v>
      </c>
      <c r="P399" s="57">
        <f t="shared" si="1754"/>
        <v>10.103409768818381</v>
      </c>
      <c r="Q399" s="57">
        <f t="shared" si="1755"/>
        <v>3.4102180539966014</v>
      </c>
      <c r="R399" s="57" t="str">
        <f t="shared" si="1756"/>
        <v/>
      </c>
      <c r="S399" s="57" t="str">
        <f t="shared" si="1756"/>
        <v/>
      </c>
      <c r="T399" s="57">
        <f t="shared" si="1756"/>
        <v>0.59494102445812302</v>
      </c>
      <c r="U399" s="57" t="str">
        <f t="shared" si="1757"/>
        <v/>
      </c>
      <c r="V399" s="57">
        <f t="shared" si="1758"/>
        <v>0.48413171054886561</v>
      </c>
      <c r="W399" s="57">
        <f t="shared" si="1759"/>
        <v>4.6055741023988617</v>
      </c>
      <c r="X399" s="57">
        <f t="shared" si="1759"/>
        <v>3.8919755479091833</v>
      </c>
      <c r="Y399" s="57">
        <f t="shared" si="1759"/>
        <v>2.6195292205453171</v>
      </c>
      <c r="Z399" s="57" t="str">
        <f t="shared" si="1760"/>
        <v/>
      </c>
      <c r="AA399" s="57">
        <f t="shared" si="1761"/>
        <v>-3.6390073005422607</v>
      </c>
      <c r="AB399" s="57">
        <f t="shared" si="1762"/>
        <v>4.3279277734428661</v>
      </c>
      <c r="AC399" s="57">
        <f t="shared" si="1762"/>
        <v>2.6891309928509344</v>
      </c>
      <c r="AD399" s="57">
        <f t="shared" si="1762"/>
        <v>-0.60553043324966893</v>
      </c>
      <c r="AE399" s="57">
        <f t="shared" si="1763"/>
        <v>5.577000113758146</v>
      </c>
      <c r="AF399" s="57">
        <f t="shared" si="1764"/>
        <v>1.2251297114986386</v>
      </c>
      <c r="AG399" s="57">
        <f t="shared" si="1765"/>
        <v>1.2741156784595375</v>
      </c>
      <c r="AH399" s="57">
        <f t="shared" si="1765"/>
        <v>9.3647430208321225E-2</v>
      </c>
      <c r="AI399" s="57">
        <f t="shared" si="1765"/>
        <v>-1.3578527418559645</v>
      </c>
      <c r="AJ399" s="57">
        <f t="shared" si="1766"/>
        <v>3.8860787362102513</v>
      </c>
      <c r="AK399" s="57">
        <f t="shared" si="1767"/>
        <v>1.2730775404588428</v>
      </c>
      <c r="AL399" s="57">
        <f t="shared" si="1768"/>
        <v>1.0257509637448834</v>
      </c>
      <c r="AM399" s="57">
        <f t="shared" si="1768"/>
        <v>8.4448294453238759E-3</v>
      </c>
      <c r="AN399" s="57">
        <f t="shared" si="1768"/>
        <v>1.4262835853223805</v>
      </c>
      <c r="AO399" s="57">
        <f t="shared" si="1769"/>
        <v>1.820740148544715</v>
      </c>
      <c r="AP399" s="57">
        <f t="shared" si="1770"/>
        <v>1.2685683495288487</v>
      </c>
      <c r="AQ399" s="57">
        <f t="shared" si="1771"/>
        <v>1.8893199564357985</v>
      </c>
      <c r="AR399" s="57">
        <f t="shared" si="1771"/>
        <v>1.7841084562753906</v>
      </c>
      <c r="AS399" s="57">
        <f t="shared" si="1771"/>
        <v>0.68092735887449862</v>
      </c>
      <c r="AT399" s="57">
        <f t="shared" si="1772"/>
        <v>5.2042886589598822</v>
      </c>
      <c r="AU399" s="57">
        <f t="shared" si="1773"/>
        <v>1.2604055136513637</v>
      </c>
      <c r="AV399" s="57">
        <f t="shared" si="1774"/>
        <v>1.0082495747264204</v>
      </c>
      <c r="AW399" s="57">
        <f t="shared" si="1774"/>
        <v>1.4902422930692012</v>
      </c>
      <c r="AX399" s="57">
        <f t="shared" si="1774"/>
        <v>1.1678889247611863</v>
      </c>
      <c r="AY399" s="57">
        <f t="shared" si="1775"/>
        <v>4.9940951599180039</v>
      </c>
      <c r="AZ399" s="57">
        <f t="shared" si="1776"/>
        <v>0.29901786651973339</v>
      </c>
      <c r="BA399" s="57">
        <f t="shared" si="1777"/>
        <v>0.72538260575558411</v>
      </c>
      <c r="BB399" s="57">
        <f t="shared" si="1777"/>
        <v>0.47992429417624294</v>
      </c>
      <c r="BC399" s="57">
        <f t="shared" si="1777"/>
        <v>1.143564021892189</v>
      </c>
      <c r="BD399" s="57">
        <f t="shared" si="1778"/>
        <v>3.2273776822495819</v>
      </c>
      <c r="BE399" s="57">
        <f t="shared" si="1779"/>
        <v>1.4529078951740075</v>
      </c>
      <c r="BF399" s="57">
        <f t="shared" si="1780"/>
        <v>0.85443168483692489</v>
      </c>
      <c r="BG399" s="57">
        <f t="shared" si="1780"/>
        <v>0.92693021949314414</v>
      </c>
      <c r="BH399" s="57">
        <f t="shared" si="1780"/>
        <v>0.49490564252624836</v>
      </c>
      <c r="BI399" s="57">
        <f t="shared" si="1781"/>
        <v>4.0374742428485035</v>
      </c>
      <c r="BJ399" s="57">
        <f t="shared" si="1782"/>
        <v>1.2178090010263105</v>
      </c>
      <c r="BK399" s="57">
        <f t="shared" si="1783"/>
        <v>0.45380884540074362</v>
      </c>
      <c r="BL399" s="57">
        <f t="shared" si="1783"/>
        <v>0.54838154737078071</v>
      </c>
      <c r="BM399" s="57">
        <f t="shared" si="1783"/>
        <v>-0.2888192514456307</v>
      </c>
      <c r="BN399" s="57">
        <f t="shared" si="1784"/>
        <v>2.8013499544877476</v>
      </c>
      <c r="BO399" s="57">
        <f t="shared" si="1785"/>
        <v>-6.8558824908109273E-2</v>
      </c>
      <c r="BP399" s="57">
        <f t="shared" si="1786"/>
        <v>1.7625657276153532</v>
      </c>
      <c r="BQ399" s="57">
        <f t="shared" si="1786"/>
        <v>0.41175335927812284</v>
      </c>
      <c r="BR399" s="57">
        <f t="shared" si="1786"/>
        <v>0.70215925437257454</v>
      </c>
      <c r="BS399" s="57">
        <f t="shared" si="1787"/>
        <v>1.8341888394400456</v>
      </c>
      <c r="BT399" s="57">
        <f t="shared" si="1788"/>
        <v>0.13594645919494042</v>
      </c>
      <c r="BU399" s="57">
        <f t="shared" si="1789"/>
        <v>0.69089660894576355</v>
      </c>
      <c r="BV399" s="57">
        <f t="shared" si="1789"/>
        <v>0.61051356793255707</v>
      </c>
      <c r="BW399" s="57">
        <f t="shared" si="1789"/>
        <v>1.095835336160718</v>
      </c>
      <c r="BX399" s="57">
        <f t="shared" si="1790"/>
        <v>2.4369566125500342</v>
      </c>
      <c r="BY399" s="57">
        <f t="shared" si="1791"/>
        <v>-1.3783358172509139</v>
      </c>
      <c r="BZ399" s="57">
        <f t="shared" si="1792"/>
        <v>1.079653437817754</v>
      </c>
      <c r="CA399" s="57">
        <f t="shared" si="1792"/>
        <v>0.7568331977229974</v>
      </c>
      <c r="CB399" s="57">
        <f t="shared" si="1792"/>
        <v>0.4977489691326582</v>
      </c>
      <c r="CC399" s="57">
        <f t="shared" si="1793"/>
        <v>1.2060354098347261</v>
      </c>
      <c r="CD399" s="57">
        <f t="shared" si="1794"/>
        <v>0.26254438170414574</v>
      </c>
      <c r="CE399" s="57">
        <f t="shared" si="1795"/>
        <v>0.52490917440266571</v>
      </c>
      <c r="CF399" s="57">
        <f t="shared" si="1795"/>
        <v>0.52533477813163643</v>
      </c>
      <c r="CG399" s="57">
        <f t="shared" si="1795"/>
        <v>0.61148895021214855</v>
      </c>
      <c r="CH399" s="57">
        <f t="shared" si="1796"/>
        <v>2.0984789321622372</v>
      </c>
      <c r="CI399" s="57">
        <f t="shared" si="1797"/>
        <v>0.4529693471620817</v>
      </c>
      <c r="CJ399" s="57">
        <f t="shared" si="1798"/>
        <v>0.52601524841755065</v>
      </c>
      <c r="CK399" s="57">
        <f t="shared" si="1746"/>
        <v>0.34398851028831245</v>
      </c>
      <c r="CL399" s="57">
        <f t="shared" si="1746"/>
        <v>0.2940022537931668</v>
      </c>
      <c r="CM399" s="57">
        <f t="shared" si="1799"/>
        <v>1.949389058194285</v>
      </c>
      <c r="CN399" s="57" t="str">
        <f t="shared" si="1800"/>
        <v/>
      </c>
      <c r="CO399" s="57" t="str">
        <f t="shared" si="1801"/>
        <v/>
      </c>
      <c r="CP399" s="57" t="str">
        <f t="shared" si="1747"/>
        <v/>
      </c>
      <c r="CQ399" s="57" t="str">
        <f t="shared" si="1747"/>
        <v/>
      </c>
      <c r="CR399" s="57" t="str">
        <f t="shared" si="1802"/>
        <v/>
      </c>
    </row>
    <row r="400" spans="1:96" s="54" customFormat="1" ht="17.5" customHeight="1" x14ac:dyDescent="0.4">
      <c r="A400" s="52" t="s">
        <v>109</v>
      </c>
      <c r="B400" s="38"/>
      <c r="C400" s="58">
        <f t="shared" si="1748"/>
        <v>-1.2955412388833309</v>
      </c>
      <c r="D400" s="58">
        <f t="shared" si="1748"/>
        <v>1.3392938408194794</v>
      </c>
      <c r="E400" s="58">
        <f t="shared" si="1748"/>
        <v>1.3350069183699134</v>
      </c>
      <c r="F400" s="38"/>
      <c r="G400" s="58">
        <f t="shared" si="1749"/>
        <v>6.9601013587146383</v>
      </c>
      <c r="H400" s="58">
        <f t="shared" si="1750"/>
        <v>2.8423119904446708</v>
      </c>
      <c r="I400" s="58">
        <f t="shared" si="1750"/>
        <v>2.8641806635168194</v>
      </c>
      <c r="J400" s="58">
        <f t="shared" si="1750"/>
        <v>-3.9891672356958452E-2</v>
      </c>
      <c r="K400" s="58">
        <f t="shared" si="1751"/>
        <v>12.468606882391043</v>
      </c>
      <c r="L400" s="58">
        <f t="shared" si="1752"/>
        <v>3.4553817437564334</v>
      </c>
      <c r="M400" s="58">
        <f t="shared" si="1753"/>
        <v>2.1552067971527293</v>
      </c>
      <c r="N400" s="58">
        <f t="shared" si="1753"/>
        <v>0.53697085591997507</v>
      </c>
      <c r="O400" s="58">
        <f t="shared" si="1753"/>
        <v>-3.2249015186582284</v>
      </c>
      <c r="P400" s="58">
        <f t="shared" si="1754"/>
        <v>6.4957771166462663</v>
      </c>
      <c r="Q400" s="58">
        <f t="shared" si="1755"/>
        <v>2.6491487271461835</v>
      </c>
      <c r="R400" s="58" t="str">
        <f t="shared" si="1756"/>
        <v/>
      </c>
      <c r="S400" s="58" t="str">
        <f t="shared" si="1756"/>
        <v/>
      </c>
      <c r="T400" s="58">
        <f t="shared" si="1756"/>
        <v>-6.6224093207887336</v>
      </c>
      <c r="U400" s="58" t="str">
        <f t="shared" si="1757"/>
        <v/>
      </c>
      <c r="V400" s="58">
        <f t="shared" si="1758"/>
        <v>3.7234490078561038</v>
      </c>
      <c r="W400" s="58">
        <f t="shared" si="1759"/>
        <v>2.4982145858819536</v>
      </c>
      <c r="X400" s="58">
        <f t="shared" si="1759"/>
        <v>-1.8878947540459734</v>
      </c>
      <c r="Y400" s="58">
        <f t="shared" si="1759"/>
        <v>4.5723083588847828</v>
      </c>
      <c r="Z400" s="58" t="str">
        <f t="shared" si="1760"/>
        <v/>
      </c>
      <c r="AA400" s="58">
        <f t="shared" si="1761"/>
        <v>-4.5514784580584688</v>
      </c>
      <c r="AB400" s="58">
        <f t="shared" si="1762"/>
        <v>3.2025243714365104</v>
      </c>
      <c r="AC400" s="58">
        <f t="shared" si="1762"/>
        <v>4.5640850516347911</v>
      </c>
      <c r="AD400" s="58">
        <f t="shared" si="1762"/>
        <v>1.7631584159744307E-2</v>
      </c>
      <c r="AE400" s="58">
        <f t="shared" si="1763"/>
        <v>3.0761838188816881</v>
      </c>
      <c r="AF400" s="58">
        <f t="shared" si="1764"/>
        <v>0.38045714760563953</v>
      </c>
      <c r="AG400" s="58">
        <f t="shared" si="1765"/>
        <v>0.78317881363814479</v>
      </c>
      <c r="AH400" s="58">
        <f t="shared" si="1765"/>
        <v>9.768273912752079E-2</v>
      </c>
      <c r="AI400" s="58">
        <f t="shared" si="1765"/>
        <v>0.57339183131360016</v>
      </c>
      <c r="AJ400" s="58">
        <f t="shared" si="1766"/>
        <v>4.0765951495589974</v>
      </c>
      <c r="AK400" s="58">
        <f t="shared" si="1767"/>
        <v>1.9428756492695811</v>
      </c>
      <c r="AL400" s="58">
        <f t="shared" si="1768"/>
        <v>1.4300149918549039</v>
      </c>
      <c r="AM400" s="58">
        <f t="shared" si="1768"/>
        <v>0.76558473823868667</v>
      </c>
      <c r="AN400" s="58">
        <f t="shared" si="1768"/>
        <v>2.3678332876074535</v>
      </c>
      <c r="AO400" s="58">
        <f t="shared" si="1769"/>
        <v>4.8913500835040793</v>
      </c>
      <c r="AP400" s="58">
        <f t="shared" si="1770"/>
        <v>1.5396750263787311</v>
      </c>
      <c r="AQ400" s="58">
        <f t="shared" si="1771"/>
        <v>1.0320201072796777</v>
      </c>
      <c r="AR400" s="58">
        <f t="shared" si="1771"/>
        <v>2.4112001566480643</v>
      </c>
      <c r="AS400" s="58">
        <f t="shared" si="1771"/>
        <v>1.2745739835901873</v>
      </c>
      <c r="AT400" s="58">
        <f t="shared" si="1772"/>
        <v>6.4548153989079253</v>
      </c>
      <c r="AU400" s="58">
        <f t="shared" si="1773"/>
        <v>0.64029756655217795</v>
      </c>
      <c r="AV400" s="58">
        <f t="shared" si="1774"/>
        <v>1.3024645492942142</v>
      </c>
      <c r="AW400" s="58">
        <f t="shared" si="1774"/>
        <v>1.3957648756151428</v>
      </c>
      <c r="AX400" s="58">
        <f t="shared" si="1774"/>
        <v>0.47906331223157395</v>
      </c>
      <c r="AY400" s="58">
        <f t="shared" si="1775"/>
        <v>4.8890422547168413</v>
      </c>
      <c r="AZ400" s="58">
        <f t="shared" si="1776"/>
        <v>-0.4047728859793267</v>
      </c>
      <c r="BA400" s="58">
        <f t="shared" si="1777"/>
        <v>1.0549327508068558</v>
      </c>
      <c r="BB400" s="58">
        <f t="shared" si="1777"/>
        <v>0.60881696035824007</v>
      </c>
      <c r="BC400" s="58">
        <f t="shared" si="1777"/>
        <v>0.50851996005654598</v>
      </c>
      <c r="BD400" s="58">
        <f t="shared" si="1778"/>
        <v>2.1631219441806877</v>
      </c>
      <c r="BE400" s="58">
        <f t="shared" si="1779"/>
        <v>3.1619745379317834</v>
      </c>
      <c r="BF400" s="58">
        <f t="shared" si="1780"/>
        <v>4.1573464673359695</v>
      </c>
      <c r="BG400" s="58">
        <f t="shared" si="1780"/>
        <v>5.0240528210989623</v>
      </c>
      <c r="BH400" s="58">
        <f t="shared" si="1780"/>
        <v>2.4363198070125378</v>
      </c>
      <c r="BI400" s="58">
        <f t="shared" si="1781"/>
        <v>11.101097285522684</v>
      </c>
      <c r="BJ400" s="58">
        <f t="shared" si="1782"/>
        <v>-5.1971297630651492</v>
      </c>
      <c r="BK400" s="58">
        <f t="shared" si="1783"/>
        <v>2.7924968619574599</v>
      </c>
      <c r="BL400" s="58">
        <f t="shared" si="1783"/>
        <v>4.1109966634759871</v>
      </c>
      <c r="BM400" s="58">
        <f t="shared" si="1783"/>
        <v>-2.2416743337007006</v>
      </c>
      <c r="BN400" s="58">
        <f t="shared" si="1784"/>
        <v>3.2982808975059896</v>
      </c>
      <c r="BO400" s="58">
        <f t="shared" si="1785"/>
        <v>1.5074793110202052</v>
      </c>
      <c r="BP400" s="58">
        <f t="shared" si="1786"/>
        <v>3.5357997775183208</v>
      </c>
      <c r="BQ400" s="58">
        <f t="shared" si="1786"/>
        <v>-4.2556776626061321</v>
      </c>
      <c r="BR400" s="58">
        <f t="shared" si="1786"/>
        <v>4.2926307365416534</v>
      </c>
      <c r="BS400" s="58">
        <f t="shared" si="1787"/>
        <v>4.0977662169766376</v>
      </c>
      <c r="BT400" s="58">
        <f t="shared" si="1788"/>
        <v>2.818779494110828</v>
      </c>
      <c r="BU400" s="58">
        <f t="shared" si="1789"/>
        <v>-1.1457278314771031</v>
      </c>
      <c r="BV400" s="58">
        <f t="shared" si="1789"/>
        <v>-0.74191886655191297</v>
      </c>
      <c r="BW400" s="58">
        <f t="shared" si="1789"/>
        <v>-1.5436667686359584</v>
      </c>
      <c r="BX400" s="58">
        <f t="shared" si="1790"/>
        <v>2.5808996391793784</v>
      </c>
      <c r="BY400" s="58">
        <f t="shared" si="1791"/>
        <v>1.8897542230883744</v>
      </c>
      <c r="BZ400" s="58">
        <f t="shared" si="1792"/>
        <v>0.40604288607086403</v>
      </c>
      <c r="CA400" s="58">
        <f t="shared" si="1792"/>
        <v>0.80850436322137398</v>
      </c>
      <c r="CB400" s="58">
        <f t="shared" si="1792"/>
        <v>-4.3139406011633241E-2</v>
      </c>
      <c r="CC400" s="58">
        <f t="shared" si="1793"/>
        <v>1.0134752714556328</v>
      </c>
      <c r="CD400" s="58">
        <f t="shared" si="1794"/>
        <v>1.7560858342293244</v>
      </c>
      <c r="CE400" s="58">
        <f t="shared" si="1795"/>
        <v>0.51201476261151413</v>
      </c>
      <c r="CF400" s="58">
        <f t="shared" si="1795"/>
        <v>0.62979895242645512</v>
      </c>
      <c r="CG400" s="58">
        <f t="shared" si="1795"/>
        <v>-2.0068885599514346</v>
      </c>
      <c r="CH400" s="58">
        <f t="shared" si="1796"/>
        <v>2.304346950876706</v>
      </c>
      <c r="CI400" s="58">
        <f t="shared" si="1797"/>
        <v>2.8368618785347763</v>
      </c>
      <c r="CJ400" s="58">
        <f t="shared" si="1798"/>
        <v>4.212075989709362</v>
      </c>
      <c r="CK400" s="58">
        <f t="shared" si="1746"/>
        <v>3.2957179708275248</v>
      </c>
      <c r="CL400" s="58">
        <f t="shared" si="1746"/>
        <v>-1.4982996381968832</v>
      </c>
      <c r="CM400" s="58">
        <f t="shared" si="1799"/>
        <v>6.4843149504546318</v>
      </c>
      <c r="CN400" s="58" t="str">
        <f t="shared" si="1800"/>
        <v/>
      </c>
      <c r="CO400" s="58" t="str">
        <f t="shared" si="1801"/>
        <v/>
      </c>
      <c r="CP400" s="58" t="str">
        <f t="shared" si="1747"/>
        <v/>
      </c>
      <c r="CQ400" s="58" t="str">
        <f t="shared" si="1747"/>
        <v/>
      </c>
      <c r="CR400" s="58" t="str">
        <f t="shared" si="1802"/>
        <v/>
      </c>
    </row>
    <row r="401" spans="1:96" s="9" customFormat="1" ht="23.25" customHeight="1" thickBot="1" x14ac:dyDescent="0.35">
      <c r="A401" s="26" t="s">
        <v>95</v>
      </c>
      <c r="B401" s="38"/>
      <c r="C401" s="59">
        <f t="shared" si="1748"/>
        <v>1.8733688259682708</v>
      </c>
      <c r="D401" s="59">
        <f t="shared" si="1748"/>
        <v>1.740687245286793</v>
      </c>
      <c r="E401" s="59">
        <f t="shared" si="1748"/>
        <v>1.5982540783331416</v>
      </c>
      <c r="F401" s="38"/>
      <c r="G401" s="59">
        <f t="shared" si="1749"/>
        <v>4.5399878501644793</v>
      </c>
      <c r="H401" s="59">
        <f t="shared" si="1750"/>
        <v>0.57394344995644531</v>
      </c>
      <c r="I401" s="59">
        <f t="shared" si="1750"/>
        <v>1.1666261366426198</v>
      </c>
      <c r="J401" s="59">
        <f t="shared" si="1750"/>
        <v>2.8324997453530045</v>
      </c>
      <c r="K401" s="59">
        <f t="shared" si="1751"/>
        <v>9.0439922030152786</v>
      </c>
      <c r="L401" s="59">
        <f t="shared" si="1752"/>
        <v>1.1972861291344543</v>
      </c>
      <c r="M401" s="59">
        <f t="shared" si="1753"/>
        <v>1.7742142043403248</v>
      </c>
      <c r="N401" s="59">
        <f t="shared" si="1753"/>
        <v>1.2396010245971496</v>
      </c>
      <c r="O401" s="59">
        <f t="shared" si="1753"/>
        <v>1.0609293355443157</v>
      </c>
      <c r="P401" s="59">
        <f t="shared" si="1754"/>
        <v>6.3889186915080103</v>
      </c>
      <c r="Q401" s="59">
        <f t="shared" si="1755"/>
        <v>2.6369421109495619</v>
      </c>
      <c r="R401" s="59" t="str">
        <f t="shared" si="1756"/>
        <v/>
      </c>
      <c r="S401" s="59" t="str">
        <f t="shared" si="1756"/>
        <v/>
      </c>
      <c r="T401" s="59">
        <f t="shared" si="1756"/>
        <v>1.9489955391543958</v>
      </c>
      <c r="U401" s="59" t="str">
        <f t="shared" si="1757"/>
        <v/>
      </c>
      <c r="V401" s="59">
        <f t="shared" si="1758"/>
        <v>2.2035106628812002</v>
      </c>
      <c r="W401" s="59">
        <f t="shared" si="1759"/>
        <v>1.7232224199259321</v>
      </c>
      <c r="X401" s="59">
        <f t="shared" si="1759"/>
        <v>2.0375176081113011</v>
      </c>
      <c r="Y401" s="59">
        <f t="shared" si="1759"/>
        <v>1.2600789752627009</v>
      </c>
      <c r="Z401" s="59" t="str">
        <f t="shared" si="1760"/>
        <v/>
      </c>
      <c r="AA401" s="59">
        <f t="shared" si="1761"/>
        <v>5.6089102366897237E-2</v>
      </c>
      <c r="AB401" s="59">
        <f t="shared" si="1762"/>
        <v>3.2740800135389492</v>
      </c>
      <c r="AC401" s="59">
        <f t="shared" si="1762"/>
        <v>2.1521668487210377</v>
      </c>
      <c r="AD401" s="59">
        <f t="shared" si="1762"/>
        <v>2.3493660759077244</v>
      </c>
      <c r="AE401" s="59">
        <f t="shared" si="1763"/>
        <v>6.8229111083492313</v>
      </c>
      <c r="AF401" s="59">
        <f t="shared" si="1764"/>
        <v>1.1638155112165549</v>
      </c>
      <c r="AG401" s="59">
        <f t="shared" si="1765"/>
        <v>1.4627375646004879</v>
      </c>
      <c r="AH401" s="59">
        <f t="shared" si="1765"/>
        <v>1.8465074035653544</v>
      </c>
      <c r="AI401" s="59">
        <f t="shared" si="1765"/>
        <v>1.0728263851526663</v>
      </c>
      <c r="AJ401" s="59">
        <f t="shared" si="1766"/>
        <v>7.1807769293638017</v>
      </c>
      <c r="AK401" s="59">
        <f t="shared" si="1767"/>
        <v>0.60428549549872912</v>
      </c>
      <c r="AL401" s="59">
        <f t="shared" si="1768"/>
        <v>0.97704007918065372</v>
      </c>
      <c r="AM401" s="59">
        <f t="shared" si="1768"/>
        <v>1.2106124360010853</v>
      </c>
      <c r="AN401" s="59">
        <f t="shared" si="1768"/>
        <v>1.5258178275681473</v>
      </c>
      <c r="AO401" s="59">
        <f t="shared" si="1769"/>
        <v>4.4923978883913094</v>
      </c>
      <c r="AP401" s="59">
        <f t="shared" si="1770"/>
        <v>1.3785566709841675</v>
      </c>
      <c r="AQ401" s="59">
        <f t="shared" si="1771"/>
        <v>1.139132726125311</v>
      </c>
      <c r="AR401" s="59">
        <f t="shared" si="1771"/>
        <v>0.79119109680669908</v>
      </c>
      <c r="AS401" s="59">
        <f t="shared" si="1771"/>
        <v>0.65526576122915969</v>
      </c>
      <c r="AT401" s="59">
        <f t="shared" si="1772"/>
        <v>4.8466177026018897</v>
      </c>
      <c r="AU401" s="59">
        <f t="shared" si="1773"/>
        <v>0.35267994973156647</v>
      </c>
      <c r="AV401" s="59">
        <f t="shared" si="1774"/>
        <v>0.74897626893735492</v>
      </c>
      <c r="AW401" s="59">
        <f t="shared" si="1774"/>
        <v>0.61995006631303795</v>
      </c>
      <c r="AX401" s="59">
        <f t="shared" si="1774"/>
        <v>0.77676470574496648</v>
      </c>
      <c r="AY401" s="59">
        <f t="shared" si="1775"/>
        <v>2.6059864690875401</v>
      </c>
      <c r="AZ401" s="59">
        <f t="shared" si="1776"/>
        <v>0.41141110029153083</v>
      </c>
      <c r="BA401" s="59">
        <f t="shared" si="1777"/>
        <v>0.60784675206171812</v>
      </c>
      <c r="BB401" s="59">
        <f t="shared" si="1777"/>
        <v>0.37846548901153199</v>
      </c>
      <c r="BC401" s="59">
        <f t="shared" si="1777"/>
        <v>0.61211766403752677</v>
      </c>
      <c r="BD401" s="59">
        <f t="shared" si="1778"/>
        <v>2.302931271869042</v>
      </c>
      <c r="BE401" s="59">
        <f t="shared" si="1779"/>
        <v>0.48704766604501515</v>
      </c>
      <c r="BF401" s="59">
        <f t="shared" si="1780"/>
        <v>0.65299497810617879</v>
      </c>
      <c r="BG401" s="59">
        <f t="shared" si="1780"/>
        <v>9.8768724243456063E-2</v>
      </c>
      <c r="BH401" s="59">
        <f t="shared" si="1780"/>
        <v>0.40586253276566708</v>
      </c>
      <c r="BI401" s="59">
        <f t="shared" si="1781"/>
        <v>1.9326135923174235</v>
      </c>
      <c r="BJ401" s="59">
        <f t="shared" si="1782"/>
        <v>0.50177815832357453</v>
      </c>
      <c r="BK401" s="59">
        <f t="shared" si="1783"/>
        <v>0.1733025530841843</v>
      </c>
      <c r="BL401" s="59">
        <f t="shared" si="1783"/>
        <v>-0.29302209025622972</v>
      </c>
      <c r="BM401" s="59">
        <f t="shared" si="1783"/>
        <v>0.36039176300108977</v>
      </c>
      <c r="BN401" s="59">
        <f t="shared" si="1784"/>
        <v>1.0834827013555923</v>
      </c>
      <c r="BO401" s="59">
        <f t="shared" si="1785"/>
        <v>0.71895455303862832</v>
      </c>
      <c r="BP401" s="59">
        <f t="shared" si="1786"/>
        <v>0.55441483876057873</v>
      </c>
      <c r="BQ401" s="59">
        <f t="shared" si="1786"/>
        <v>0.7521119276976691</v>
      </c>
      <c r="BR401" s="59">
        <f t="shared" si="1786"/>
        <v>0.52745014332676021</v>
      </c>
      <c r="BS401" s="59">
        <f t="shared" si="1787"/>
        <v>1.8401304972483672</v>
      </c>
      <c r="BT401" s="59">
        <f t="shared" si="1788"/>
        <v>0.8127094161034023</v>
      </c>
      <c r="BU401" s="59">
        <f t="shared" si="1789"/>
        <v>1.4077998774134244</v>
      </c>
      <c r="BV401" s="59">
        <f t="shared" si="1789"/>
        <v>1.892023503415146</v>
      </c>
      <c r="BW401" s="59">
        <f t="shared" si="1789"/>
        <v>0.65120682250905304</v>
      </c>
      <c r="BX401" s="59">
        <f t="shared" si="1790"/>
        <v>3.9869452588705769</v>
      </c>
      <c r="BY401" s="59">
        <f t="shared" si="1791"/>
        <v>0.18174348199555368</v>
      </c>
      <c r="BZ401" s="59">
        <f t="shared" si="1792"/>
        <v>1.1571201349248668</v>
      </c>
      <c r="CA401" s="59">
        <f t="shared" si="1792"/>
        <v>0.25700260473814751</v>
      </c>
      <c r="CB401" s="59">
        <f t="shared" si="1792"/>
        <v>0.56901133263251324</v>
      </c>
      <c r="CC401" s="59">
        <f t="shared" si="1793"/>
        <v>3.092322051448761</v>
      </c>
      <c r="CD401" s="59">
        <f t="shared" si="1794"/>
        <v>0.16894834457966112</v>
      </c>
      <c r="CE401" s="59">
        <f t="shared" si="1795"/>
        <v>1.1003868305722051</v>
      </c>
      <c r="CF401" s="59">
        <f t="shared" si="1795"/>
        <v>-4.1592485653652034E-2</v>
      </c>
      <c r="CG401" s="59">
        <f t="shared" si="1795"/>
        <v>0.55353642223086297</v>
      </c>
      <c r="CH401" s="59">
        <f t="shared" si="1796"/>
        <v>1.9625465733796688</v>
      </c>
      <c r="CI401" s="59">
        <f t="shared" si="1797"/>
        <v>0.29985278989683195</v>
      </c>
      <c r="CJ401" s="59">
        <f t="shared" si="1798"/>
        <v>0.4114710825990926</v>
      </c>
      <c r="CK401" s="59">
        <f t="shared" si="1746"/>
        <v>0.32739437547945727</v>
      </c>
      <c r="CL401" s="59">
        <f t="shared" si="1746"/>
        <v>0.5354113604807651</v>
      </c>
      <c r="CM401" s="59">
        <f t="shared" si="1799"/>
        <v>1.5800924514624626</v>
      </c>
      <c r="CN401" s="59" t="str">
        <f t="shared" si="1800"/>
        <v/>
      </c>
      <c r="CO401" s="59" t="str">
        <f t="shared" si="1801"/>
        <v/>
      </c>
      <c r="CP401" s="59" t="str">
        <f t="shared" si="1747"/>
        <v/>
      </c>
      <c r="CQ401" s="59" t="str">
        <f t="shared" si="1747"/>
        <v/>
      </c>
      <c r="CR401" s="59" t="str">
        <f t="shared" si="1802"/>
        <v/>
      </c>
    </row>
    <row r="403" spans="1:96" s="31" customFormat="1" ht="15" x14ac:dyDescent="0.4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  <c r="AR403" s="30"/>
      <c r="AS403" s="30"/>
      <c r="AT403" s="30"/>
      <c r="AU403" s="30"/>
      <c r="AV403" s="30"/>
      <c r="AW403" s="30"/>
      <c r="AX403" s="30"/>
      <c r="AY403" s="30"/>
      <c r="AZ403" s="30"/>
      <c r="BA403" s="30"/>
      <c r="BB403" s="30"/>
      <c r="BC403" s="30"/>
      <c r="BD403" s="30"/>
      <c r="BE403" s="30"/>
      <c r="BF403" s="30"/>
      <c r="BG403" s="30"/>
      <c r="BH403" s="30"/>
      <c r="BI403" s="30"/>
      <c r="BJ403" s="30"/>
      <c r="BK403" s="30"/>
      <c r="BL403" s="30"/>
      <c r="BM403" s="30"/>
      <c r="BN403" s="30"/>
      <c r="BO403" s="30"/>
      <c r="BP403" s="30"/>
      <c r="BQ403" s="30"/>
      <c r="BR403" s="30"/>
      <c r="BS403" s="30"/>
      <c r="BT403" s="30"/>
      <c r="BU403" s="30"/>
      <c r="BV403" s="30"/>
      <c r="BW403" s="30"/>
      <c r="BX403" s="30"/>
      <c r="BY403" s="30"/>
      <c r="BZ403" s="30"/>
      <c r="CA403" s="30"/>
      <c r="CB403" s="30"/>
      <c r="CC403" s="30"/>
      <c r="CD403" s="30"/>
      <c r="CE403" s="30"/>
      <c r="CF403" s="30"/>
      <c r="CG403" s="30"/>
      <c r="CH403" s="30"/>
      <c r="CI403" s="30"/>
      <c r="CJ403" s="30"/>
      <c r="CK403" s="30"/>
      <c r="CL403" s="30"/>
      <c r="CM403" s="30"/>
      <c r="CN403" s="30"/>
      <c r="CO403" s="30"/>
      <c r="CP403" s="30"/>
      <c r="CQ403" s="30"/>
      <c r="CR403" s="30"/>
    </row>
    <row r="404" spans="1:96" s="31" customFormat="1" ht="15" x14ac:dyDescent="0.4">
      <c r="A404" s="32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/>
      <c r="BB404" s="33"/>
      <c r="BC404" s="33"/>
      <c r="BD404" s="33"/>
      <c r="BE404" s="33"/>
      <c r="BF404" s="33"/>
      <c r="BG404" s="33"/>
      <c r="BH404" s="33"/>
      <c r="BI404" s="33"/>
      <c r="BJ404" s="33"/>
      <c r="BK404" s="33"/>
      <c r="BL404" s="33"/>
      <c r="BM404" s="33"/>
      <c r="BN404" s="33"/>
      <c r="BO404" s="33"/>
      <c r="BP404" s="33"/>
      <c r="BQ404" s="33"/>
      <c r="BR404" s="33"/>
      <c r="BS404" s="33"/>
      <c r="BT404" s="33"/>
      <c r="BU404" s="33"/>
      <c r="BV404" s="33"/>
      <c r="BW404" s="33"/>
      <c r="BX404" s="33"/>
      <c r="BY404" s="33"/>
      <c r="BZ404" s="33"/>
      <c r="CA404" s="33"/>
      <c r="CB404" s="33"/>
      <c r="CC404" s="33"/>
      <c r="CD404" s="33"/>
      <c r="CE404" s="33"/>
      <c r="CF404" s="33"/>
      <c r="CG404" s="33"/>
      <c r="CH404" s="33"/>
      <c r="CI404" s="33"/>
      <c r="CJ404" s="33"/>
      <c r="CK404" s="33"/>
      <c r="CL404" s="33"/>
      <c r="CM404" s="33"/>
      <c r="CN404" s="33"/>
      <c r="CO404" s="33"/>
      <c r="CP404" s="33"/>
      <c r="CQ404" s="33"/>
      <c r="CR404" s="33"/>
    </row>
    <row r="405" spans="1:96" ht="20" x14ac:dyDescent="0.4">
      <c r="A405" s="1" t="s">
        <v>115</v>
      </c>
    </row>
    <row r="406" spans="1:96" ht="20.5" thickBot="1" x14ac:dyDescent="0.45">
      <c r="A406" s="1" t="str">
        <f>A394</f>
        <v>Kabupaten/Kota :</v>
      </c>
      <c r="B406" s="35" t="str">
        <f>B394</f>
        <v>Kepuluauan Tanimbar</v>
      </c>
      <c r="L406" s="35"/>
      <c r="V406" s="35"/>
      <c r="AF406" s="35"/>
      <c r="AP406" s="35"/>
      <c r="AZ406" s="35"/>
      <c r="BJ406" s="35"/>
      <c r="BT406" s="35"/>
    </row>
    <row r="407" spans="1:96" s="9" customFormat="1" ht="24" customHeight="1" thickBot="1" x14ac:dyDescent="0.35">
      <c r="A407" s="5" t="s">
        <v>2</v>
      </c>
      <c r="B407" s="6" t="s">
        <v>3</v>
      </c>
      <c r="C407" s="6" t="s">
        <v>4</v>
      </c>
      <c r="D407" s="6" t="s">
        <v>5</v>
      </c>
      <c r="E407" s="6" t="s">
        <v>6</v>
      </c>
      <c r="F407" s="6">
        <v>2008</v>
      </c>
      <c r="G407" s="7" t="s">
        <v>7</v>
      </c>
      <c r="H407" s="7" t="s">
        <v>8</v>
      </c>
      <c r="I407" s="7" t="s">
        <v>9</v>
      </c>
      <c r="J407" s="7" t="s">
        <v>10</v>
      </c>
      <c r="K407" s="7">
        <v>2009</v>
      </c>
      <c r="L407" s="6" t="s">
        <v>11</v>
      </c>
      <c r="M407" s="6" t="s">
        <v>12</v>
      </c>
      <c r="N407" s="6" t="s">
        <v>13</v>
      </c>
      <c r="O407" s="6" t="s">
        <v>14</v>
      </c>
      <c r="P407" s="6">
        <v>2010</v>
      </c>
      <c r="Q407" s="7" t="s">
        <v>15</v>
      </c>
      <c r="R407" s="7" t="s">
        <v>16</v>
      </c>
      <c r="S407" s="7" t="s">
        <v>17</v>
      </c>
      <c r="T407" s="7" t="s">
        <v>18</v>
      </c>
      <c r="U407" s="7">
        <v>2011</v>
      </c>
      <c r="V407" s="6" t="s">
        <v>19</v>
      </c>
      <c r="W407" s="6" t="s">
        <v>20</v>
      </c>
      <c r="X407" s="6" t="s">
        <v>21</v>
      </c>
      <c r="Y407" s="6" t="s">
        <v>22</v>
      </c>
      <c r="Z407" s="6">
        <v>2012</v>
      </c>
      <c r="AA407" s="7" t="s">
        <v>23</v>
      </c>
      <c r="AB407" s="7" t="s">
        <v>24</v>
      </c>
      <c r="AC407" s="7" t="s">
        <v>25</v>
      </c>
      <c r="AD407" s="7" t="s">
        <v>26</v>
      </c>
      <c r="AE407" s="7">
        <v>2013</v>
      </c>
      <c r="AF407" s="6" t="s">
        <v>27</v>
      </c>
      <c r="AG407" s="6" t="s">
        <v>28</v>
      </c>
      <c r="AH407" s="6" t="s">
        <v>29</v>
      </c>
      <c r="AI407" s="6" t="s">
        <v>30</v>
      </c>
      <c r="AJ407" s="6">
        <v>2014</v>
      </c>
      <c r="AK407" s="7" t="s">
        <v>31</v>
      </c>
      <c r="AL407" s="7" t="s">
        <v>32</v>
      </c>
      <c r="AM407" s="7" t="s">
        <v>33</v>
      </c>
      <c r="AN407" s="7" t="s">
        <v>34</v>
      </c>
      <c r="AO407" s="7">
        <v>2015</v>
      </c>
      <c r="AP407" s="6" t="s">
        <v>35</v>
      </c>
      <c r="AQ407" s="6" t="s">
        <v>36</v>
      </c>
      <c r="AR407" s="6" t="s">
        <v>37</v>
      </c>
      <c r="AS407" s="6" t="s">
        <v>38</v>
      </c>
      <c r="AT407" s="6">
        <v>2016</v>
      </c>
      <c r="AU407" s="7" t="s">
        <v>39</v>
      </c>
      <c r="AV407" s="7" t="s">
        <v>40</v>
      </c>
      <c r="AW407" s="7" t="s">
        <v>41</v>
      </c>
      <c r="AX407" s="7" t="s">
        <v>42</v>
      </c>
      <c r="AY407" s="7">
        <v>2017</v>
      </c>
      <c r="AZ407" s="6" t="s">
        <v>43</v>
      </c>
      <c r="BA407" s="6" t="s">
        <v>44</v>
      </c>
      <c r="BB407" s="6" t="s">
        <v>45</v>
      </c>
      <c r="BC407" s="6" t="s">
        <v>46</v>
      </c>
      <c r="BD407" s="6">
        <v>2018</v>
      </c>
      <c r="BE407" s="7" t="s">
        <v>47</v>
      </c>
      <c r="BF407" s="7" t="s">
        <v>48</v>
      </c>
      <c r="BG407" s="7" t="s">
        <v>49</v>
      </c>
      <c r="BH407" s="7" t="s">
        <v>50</v>
      </c>
      <c r="BI407" s="7">
        <v>2019</v>
      </c>
      <c r="BJ407" s="6" t="s">
        <v>51</v>
      </c>
      <c r="BK407" s="6" t="s">
        <v>52</v>
      </c>
      <c r="BL407" s="6" t="s">
        <v>53</v>
      </c>
      <c r="BM407" s="6" t="s">
        <v>54</v>
      </c>
      <c r="BN407" s="6">
        <v>2020</v>
      </c>
      <c r="BO407" s="7" t="s">
        <v>55</v>
      </c>
      <c r="BP407" s="7" t="s">
        <v>56</v>
      </c>
      <c r="BQ407" s="7" t="s">
        <v>57</v>
      </c>
      <c r="BR407" s="7" t="s">
        <v>58</v>
      </c>
      <c r="BS407" s="7">
        <v>2021</v>
      </c>
      <c r="BT407" s="6" t="s">
        <v>59</v>
      </c>
      <c r="BU407" s="6" t="s">
        <v>60</v>
      </c>
      <c r="BV407" s="6" t="s">
        <v>61</v>
      </c>
      <c r="BW407" s="6" t="s">
        <v>62</v>
      </c>
      <c r="BX407" s="6">
        <v>2022</v>
      </c>
      <c r="BY407" s="7" t="s">
        <v>63</v>
      </c>
      <c r="BZ407" s="7" t="s">
        <v>64</v>
      </c>
      <c r="CA407" s="7" t="s">
        <v>65</v>
      </c>
      <c r="CB407" s="7" t="s">
        <v>66</v>
      </c>
      <c r="CC407" s="7">
        <v>2023</v>
      </c>
      <c r="CD407" s="8" t="s">
        <v>67</v>
      </c>
      <c r="CE407" s="8" t="s">
        <v>68</v>
      </c>
      <c r="CF407" s="8" t="s">
        <v>69</v>
      </c>
      <c r="CG407" s="8" t="s">
        <v>70</v>
      </c>
      <c r="CH407" s="8">
        <v>2024</v>
      </c>
      <c r="CI407" s="7" t="s">
        <v>71</v>
      </c>
      <c r="CJ407" s="7" t="s">
        <v>72</v>
      </c>
      <c r="CK407" s="7" t="s">
        <v>73</v>
      </c>
      <c r="CL407" s="7" t="s">
        <v>74</v>
      </c>
      <c r="CM407" s="7">
        <v>2025</v>
      </c>
      <c r="CN407" s="8" t="s">
        <v>75</v>
      </c>
      <c r="CO407" s="8" t="s">
        <v>76</v>
      </c>
      <c r="CP407" s="8" t="s">
        <v>77</v>
      </c>
      <c r="CQ407" s="8" t="s">
        <v>78</v>
      </c>
      <c r="CR407" s="8">
        <v>2026</v>
      </c>
    </row>
    <row r="408" spans="1:96" s="9" customFormat="1" ht="13.5" thickBot="1" x14ac:dyDescent="0.35">
      <c r="A408" s="10">
        <v>-1</v>
      </c>
      <c r="B408" s="11">
        <f>A408-1</f>
        <v>-2</v>
      </c>
      <c r="C408" s="11">
        <f>B408-1</f>
        <v>-3</v>
      </c>
      <c r="D408" s="11">
        <f t="shared" ref="D408:BO408" si="1803">C408-1</f>
        <v>-4</v>
      </c>
      <c r="E408" s="11">
        <f t="shared" si="1803"/>
        <v>-5</v>
      </c>
      <c r="F408" s="11">
        <f t="shared" si="1803"/>
        <v>-6</v>
      </c>
      <c r="G408" s="11">
        <f t="shared" si="1803"/>
        <v>-7</v>
      </c>
      <c r="H408" s="11">
        <f t="shared" si="1803"/>
        <v>-8</v>
      </c>
      <c r="I408" s="11">
        <f t="shared" si="1803"/>
        <v>-9</v>
      </c>
      <c r="J408" s="11">
        <f t="shared" si="1803"/>
        <v>-10</v>
      </c>
      <c r="K408" s="11">
        <f t="shared" si="1803"/>
        <v>-11</v>
      </c>
      <c r="L408" s="11">
        <f t="shared" si="1803"/>
        <v>-12</v>
      </c>
      <c r="M408" s="11">
        <f t="shared" si="1803"/>
        <v>-13</v>
      </c>
      <c r="N408" s="11">
        <f t="shared" si="1803"/>
        <v>-14</v>
      </c>
      <c r="O408" s="11">
        <f t="shared" si="1803"/>
        <v>-15</v>
      </c>
      <c r="P408" s="11">
        <f t="shared" si="1803"/>
        <v>-16</v>
      </c>
      <c r="Q408" s="11">
        <f t="shared" si="1803"/>
        <v>-17</v>
      </c>
      <c r="R408" s="11">
        <f t="shared" si="1803"/>
        <v>-18</v>
      </c>
      <c r="S408" s="11">
        <f t="shared" si="1803"/>
        <v>-19</v>
      </c>
      <c r="T408" s="11">
        <f t="shared" si="1803"/>
        <v>-20</v>
      </c>
      <c r="U408" s="11">
        <f t="shared" si="1803"/>
        <v>-21</v>
      </c>
      <c r="V408" s="11">
        <f t="shared" si="1803"/>
        <v>-22</v>
      </c>
      <c r="W408" s="11">
        <f t="shared" si="1803"/>
        <v>-23</v>
      </c>
      <c r="X408" s="11">
        <f t="shared" si="1803"/>
        <v>-24</v>
      </c>
      <c r="Y408" s="11">
        <f t="shared" si="1803"/>
        <v>-25</v>
      </c>
      <c r="Z408" s="11">
        <f t="shared" si="1803"/>
        <v>-26</v>
      </c>
      <c r="AA408" s="11">
        <f t="shared" si="1803"/>
        <v>-27</v>
      </c>
      <c r="AB408" s="11">
        <f t="shared" si="1803"/>
        <v>-28</v>
      </c>
      <c r="AC408" s="11">
        <f t="shared" si="1803"/>
        <v>-29</v>
      </c>
      <c r="AD408" s="11">
        <f t="shared" si="1803"/>
        <v>-30</v>
      </c>
      <c r="AE408" s="11">
        <f t="shared" si="1803"/>
        <v>-31</v>
      </c>
      <c r="AF408" s="11">
        <f t="shared" si="1803"/>
        <v>-32</v>
      </c>
      <c r="AG408" s="11">
        <f t="shared" si="1803"/>
        <v>-33</v>
      </c>
      <c r="AH408" s="11">
        <f t="shared" si="1803"/>
        <v>-34</v>
      </c>
      <c r="AI408" s="11">
        <f t="shared" si="1803"/>
        <v>-35</v>
      </c>
      <c r="AJ408" s="11">
        <f t="shared" si="1803"/>
        <v>-36</v>
      </c>
      <c r="AK408" s="11">
        <f t="shared" si="1803"/>
        <v>-37</v>
      </c>
      <c r="AL408" s="11">
        <f t="shared" si="1803"/>
        <v>-38</v>
      </c>
      <c r="AM408" s="11">
        <f t="shared" si="1803"/>
        <v>-39</v>
      </c>
      <c r="AN408" s="11">
        <f t="shared" si="1803"/>
        <v>-40</v>
      </c>
      <c r="AO408" s="11">
        <f t="shared" si="1803"/>
        <v>-41</v>
      </c>
      <c r="AP408" s="11">
        <f t="shared" si="1803"/>
        <v>-42</v>
      </c>
      <c r="AQ408" s="11">
        <f t="shared" si="1803"/>
        <v>-43</v>
      </c>
      <c r="AR408" s="11">
        <f t="shared" si="1803"/>
        <v>-44</v>
      </c>
      <c r="AS408" s="11">
        <f t="shared" si="1803"/>
        <v>-45</v>
      </c>
      <c r="AT408" s="11">
        <f t="shared" si="1803"/>
        <v>-46</v>
      </c>
      <c r="AU408" s="11">
        <f t="shared" si="1803"/>
        <v>-47</v>
      </c>
      <c r="AV408" s="11">
        <f t="shared" si="1803"/>
        <v>-48</v>
      </c>
      <c r="AW408" s="11">
        <f t="shared" si="1803"/>
        <v>-49</v>
      </c>
      <c r="AX408" s="11">
        <f t="shared" si="1803"/>
        <v>-50</v>
      </c>
      <c r="AY408" s="11">
        <f t="shared" si="1803"/>
        <v>-51</v>
      </c>
      <c r="AZ408" s="11">
        <f t="shared" si="1803"/>
        <v>-52</v>
      </c>
      <c r="BA408" s="11">
        <f t="shared" si="1803"/>
        <v>-53</v>
      </c>
      <c r="BB408" s="11">
        <f t="shared" si="1803"/>
        <v>-54</v>
      </c>
      <c r="BC408" s="11">
        <f t="shared" si="1803"/>
        <v>-55</v>
      </c>
      <c r="BD408" s="11">
        <f t="shared" si="1803"/>
        <v>-56</v>
      </c>
      <c r="BE408" s="11">
        <f t="shared" si="1803"/>
        <v>-57</v>
      </c>
      <c r="BF408" s="11">
        <f t="shared" si="1803"/>
        <v>-58</v>
      </c>
      <c r="BG408" s="11">
        <f t="shared" si="1803"/>
        <v>-59</v>
      </c>
      <c r="BH408" s="11">
        <f t="shared" si="1803"/>
        <v>-60</v>
      </c>
      <c r="BI408" s="11">
        <f t="shared" si="1803"/>
        <v>-61</v>
      </c>
      <c r="BJ408" s="11">
        <f t="shared" si="1803"/>
        <v>-62</v>
      </c>
      <c r="BK408" s="11">
        <f t="shared" si="1803"/>
        <v>-63</v>
      </c>
      <c r="BL408" s="11">
        <f t="shared" si="1803"/>
        <v>-64</v>
      </c>
      <c r="BM408" s="11">
        <f t="shared" si="1803"/>
        <v>-65</v>
      </c>
      <c r="BN408" s="11">
        <f t="shared" si="1803"/>
        <v>-66</v>
      </c>
      <c r="BO408" s="11">
        <f t="shared" si="1803"/>
        <v>-67</v>
      </c>
      <c r="BP408" s="11">
        <f t="shared" ref="BP408:CR408" si="1804">BO408-1</f>
        <v>-68</v>
      </c>
      <c r="BQ408" s="11">
        <f t="shared" si="1804"/>
        <v>-69</v>
      </c>
      <c r="BR408" s="11">
        <f t="shared" si="1804"/>
        <v>-70</v>
      </c>
      <c r="BS408" s="11">
        <f t="shared" si="1804"/>
        <v>-71</v>
      </c>
      <c r="BT408" s="11">
        <f t="shared" si="1804"/>
        <v>-72</v>
      </c>
      <c r="BU408" s="11">
        <f t="shared" si="1804"/>
        <v>-73</v>
      </c>
      <c r="BV408" s="11">
        <f t="shared" si="1804"/>
        <v>-74</v>
      </c>
      <c r="BW408" s="11">
        <f t="shared" si="1804"/>
        <v>-75</v>
      </c>
      <c r="BX408" s="11">
        <f t="shared" si="1804"/>
        <v>-76</v>
      </c>
      <c r="BY408" s="11">
        <f t="shared" si="1804"/>
        <v>-77</v>
      </c>
      <c r="BZ408" s="11">
        <f t="shared" si="1804"/>
        <v>-78</v>
      </c>
      <c r="CA408" s="11">
        <f t="shared" si="1804"/>
        <v>-79</v>
      </c>
      <c r="CB408" s="11">
        <f t="shared" si="1804"/>
        <v>-80</v>
      </c>
      <c r="CC408" s="11">
        <f t="shared" si="1804"/>
        <v>-81</v>
      </c>
      <c r="CD408" s="11">
        <f t="shared" si="1804"/>
        <v>-82</v>
      </c>
      <c r="CE408" s="11">
        <f t="shared" si="1804"/>
        <v>-83</v>
      </c>
      <c r="CF408" s="11">
        <f t="shared" si="1804"/>
        <v>-84</v>
      </c>
      <c r="CG408" s="11">
        <f t="shared" si="1804"/>
        <v>-85</v>
      </c>
      <c r="CH408" s="11">
        <f t="shared" si="1804"/>
        <v>-86</v>
      </c>
      <c r="CI408" s="11">
        <f t="shared" si="1804"/>
        <v>-87</v>
      </c>
      <c r="CJ408" s="11">
        <f t="shared" si="1804"/>
        <v>-88</v>
      </c>
      <c r="CK408" s="11">
        <f t="shared" si="1804"/>
        <v>-89</v>
      </c>
      <c r="CL408" s="11">
        <f t="shared" si="1804"/>
        <v>-90</v>
      </c>
      <c r="CM408" s="11">
        <f t="shared" si="1804"/>
        <v>-91</v>
      </c>
      <c r="CN408" s="11">
        <f t="shared" si="1804"/>
        <v>-92</v>
      </c>
      <c r="CO408" s="11">
        <f t="shared" si="1804"/>
        <v>-93</v>
      </c>
      <c r="CP408" s="11">
        <f t="shared" si="1804"/>
        <v>-94</v>
      </c>
      <c r="CQ408" s="11">
        <f t="shared" si="1804"/>
        <v>-95</v>
      </c>
      <c r="CR408" s="11">
        <f t="shared" si="1804"/>
        <v>-96</v>
      </c>
    </row>
    <row r="409" spans="1:96" s="54" customFormat="1" ht="17.5" customHeight="1" thickTop="1" x14ac:dyDescent="0.4">
      <c r="A409" s="52" t="s">
        <v>106</v>
      </c>
      <c r="B409" s="38"/>
      <c r="C409" s="38"/>
      <c r="D409" s="38"/>
      <c r="E409" s="38"/>
      <c r="F409" s="38"/>
      <c r="G409" s="57">
        <f>IFERROR(G385/B385*100-100,"")</f>
        <v>5.8097342419285951</v>
      </c>
      <c r="H409" s="57">
        <f t="shared" ref="H409:BS412" si="1805">IFERROR(H385/C385*100-100,"")</f>
        <v>5.6538284692015566</v>
      </c>
      <c r="I409" s="57">
        <f t="shared" si="1805"/>
        <v>3.1613927839616309</v>
      </c>
      <c r="J409" s="57">
        <f t="shared" si="1805"/>
        <v>2.6981003599836981</v>
      </c>
      <c r="K409" s="57">
        <f t="shared" si="1805"/>
        <v>4.2649337918837773</v>
      </c>
      <c r="L409" s="57">
        <f t="shared" si="1805"/>
        <v>3.6639243167617224</v>
      </c>
      <c r="M409" s="57">
        <f t="shared" si="1805"/>
        <v>6.296509490909969</v>
      </c>
      <c r="N409" s="57">
        <f t="shared" si="1805"/>
        <v>4.9788235789339979</v>
      </c>
      <c r="O409" s="57">
        <f t="shared" si="1805"/>
        <v>2.5327358532896085</v>
      </c>
      <c r="P409" s="57">
        <f t="shared" si="1805"/>
        <v>4.3249034193930243</v>
      </c>
      <c r="Q409" s="57">
        <f t="shared" si="1805"/>
        <v>-3.0634234866583796</v>
      </c>
      <c r="R409" s="57" t="str">
        <f t="shared" si="1805"/>
        <v/>
      </c>
      <c r="S409" s="57">
        <f t="shared" si="1805"/>
        <v>6.9426834949393879</v>
      </c>
      <c r="T409" s="57">
        <f t="shared" si="1805"/>
        <v>5.2974029880795683</v>
      </c>
      <c r="U409" s="57" t="str">
        <f t="shared" si="1805"/>
        <v/>
      </c>
      <c r="V409" s="57">
        <f t="shared" si="1805"/>
        <v>21.387637752264197</v>
      </c>
      <c r="W409" s="57" t="str">
        <f t="shared" si="1805"/>
        <v/>
      </c>
      <c r="X409" s="57">
        <f t="shared" si="1805"/>
        <v>5.7248228156294232</v>
      </c>
      <c r="Y409" s="57">
        <f t="shared" si="1805"/>
        <v>9.6613878857538111</v>
      </c>
      <c r="Z409" s="57" t="str">
        <f t="shared" si="1805"/>
        <v/>
      </c>
      <c r="AA409" s="57">
        <f t="shared" si="1805"/>
        <v>2.3547447821406138</v>
      </c>
      <c r="AB409" s="57">
        <f t="shared" si="1805"/>
        <v>4.7931467105165666</v>
      </c>
      <c r="AC409" s="57">
        <f t="shared" si="1805"/>
        <v>10.612951907074404</v>
      </c>
      <c r="AD409" s="57">
        <f t="shared" si="1805"/>
        <v>12.314196630752193</v>
      </c>
      <c r="AE409" s="57">
        <f t="shared" si="1805"/>
        <v>7.7151310797244292</v>
      </c>
      <c r="AF409" s="57">
        <f t="shared" si="1805"/>
        <v>10.569508969886357</v>
      </c>
      <c r="AG409" s="57">
        <f t="shared" si="1805"/>
        <v>8.0772814064450529</v>
      </c>
      <c r="AH409" s="57">
        <f t="shared" si="1805"/>
        <v>4.9386311326497179</v>
      </c>
      <c r="AI409" s="57">
        <f t="shared" si="1805"/>
        <v>4.6887373362757785</v>
      </c>
      <c r="AJ409" s="57">
        <f t="shared" si="1805"/>
        <v>6.8678520983108058</v>
      </c>
      <c r="AK409" s="57">
        <f t="shared" si="1805"/>
        <v>5.4474369048478763</v>
      </c>
      <c r="AL409" s="57">
        <f t="shared" si="1805"/>
        <v>6.7156483709052566</v>
      </c>
      <c r="AM409" s="57">
        <f t="shared" si="1805"/>
        <v>7.1432464735293593</v>
      </c>
      <c r="AN409" s="57">
        <f t="shared" si="1805"/>
        <v>6.9826465661810602</v>
      </c>
      <c r="AO409" s="57">
        <f t="shared" si="1805"/>
        <v>6.6116839019161091</v>
      </c>
      <c r="AP409" s="57">
        <f t="shared" si="1805"/>
        <v>7.6482449882565646</v>
      </c>
      <c r="AQ409" s="57">
        <f t="shared" si="1805"/>
        <v>5.398551103617848</v>
      </c>
      <c r="AR409" s="57">
        <f t="shared" si="1805"/>
        <v>4.966011910382349</v>
      </c>
      <c r="AS409" s="57">
        <f t="shared" si="1805"/>
        <v>4.3705943068171678</v>
      </c>
      <c r="AT409" s="57">
        <f t="shared" si="1805"/>
        <v>5.4947578942588677</v>
      </c>
      <c r="AU409" s="57">
        <f t="shared" si="1805"/>
        <v>2.6028131963423249</v>
      </c>
      <c r="AV409" s="57">
        <f t="shared" si="1805"/>
        <v>3.5425713511202872</v>
      </c>
      <c r="AW409" s="57">
        <f t="shared" si="1805"/>
        <v>3.6284885151570023</v>
      </c>
      <c r="AX409" s="57">
        <f t="shared" si="1805"/>
        <v>2.8636981598127562</v>
      </c>
      <c r="AY409" s="57">
        <f t="shared" si="1805"/>
        <v>3.1701605525295378</v>
      </c>
      <c r="AZ409" s="57">
        <f t="shared" si="1805"/>
        <v>2.5473371406866647</v>
      </c>
      <c r="BA409" s="57">
        <f t="shared" si="1805"/>
        <v>2.1321294452401673</v>
      </c>
      <c r="BB409" s="57">
        <f t="shared" si="1805"/>
        <v>1.1696914633612039</v>
      </c>
      <c r="BC409" s="57">
        <f t="shared" si="1805"/>
        <v>0.8179557295268296</v>
      </c>
      <c r="BD409" s="57">
        <f t="shared" si="1805"/>
        <v>1.6318348180453484</v>
      </c>
      <c r="BE409" s="57">
        <f t="shared" si="1805"/>
        <v>2.8917616170882354</v>
      </c>
      <c r="BF409" s="57">
        <f t="shared" si="1805"/>
        <v>3.0160307568557982</v>
      </c>
      <c r="BG409" s="57">
        <f t="shared" si="1805"/>
        <v>5.7022576704462722</v>
      </c>
      <c r="BH409" s="57">
        <f t="shared" si="1805"/>
        <v>5.1134993926351626</v>
      </c>
      <c r="BI409" s="57">
        <f t="shared" si="1805"/>
        <v>4.2203395862656663</v>
      </c>
      <c r="BJ409" s="57">
        <f t="shared" si="1805"/>
        <v>1.1374675716416647</v>
      </c>
      <c r="BK409" s="57">
        <f t="shared" si="1805"/>
        <v>2.560023320969691</v>
      </c>
      <c r="BL409" s="57">
        <f t="shared" si="1805"/>
        <v>2.624294287558925</v>
      </c>
      <c r="BM409" s="57">
        <f t="shared" si="1805"/>
        <v>3.4355139698901667</v>
      </c>
      <c r="BN409" s="57">
        <f t="shared" si="1805"/>
        <v>2.4071228507429367</v>
      </c>
      <c r="BO409" s="57">
        <f t="shared" si="1805"/>
        <v>6.0425257424820273</v>
      </c>
      <c r="BP409" s="57">
        <f t="shared" si="1805"/>
        <v>6.0726138099221032</v>
      </c>
      <c r="BQ409" s="57">
        <f t="shared" si="1805"/>
        <v>0.81465833279766287</v>
      </c>
      <c r="BR409" s="57">
        <f t="shared" si="1805"/>
        <v>3.6490705536707253</v>
      </c>
      <c r="BS409" s="57">
        <f t="shared" si="1805"/>
        <v>4.1261018939352709</v>
      </c>
      <c r="BT409" s="57">
        <f t="shared" ref="BT409:CR413" si="1806">IFERROR(BT385/BO385*100-100,"")</f>
        <v>4.565903290020529</v>
      </c>
      <c r="BU409" s="57">
        <f t="shared" si="1806"/>
        <v>3.3144191049474045</v>
      </c>
      <c r="BV409" s="57">
        <f t="shared" si="1806"/>
        <v>6.9156677508637188</v>
      </c>
      <c r="BW409" s="57">
        <f t="shared" si="1806"/>
        <v>4.2180435652106922</v>
      </c>
      <c r="BX409" s="57">
        <f t="shared" si="1806"/>
        <v>4.7362869241726457</v>
      </c>
      <c r="BY409" s="57">
        <f t="shared" si="1806"/>
        <v>3.1087323294312483</v>
      </c>
      <c r="BZ409" s="57">
        <f t="shared" si="1806"/>
        <v>3.551322703544102</v>
      </c>
      <c r="CA409" s="57">
        <f t="shared" si="1806"/>
        <v>3.1383559725421435</v>
      </c>
      <c r="CB409" s="57">
        <f t="shared" si="1806"/>
        <v>3.1497113279159095</v>
      </c>
      <c r="CC409" s="57">
        <f t="shared" si="1806"/>
        <v>3.2346154870807879</v>
      </c>
      <c r="CD409" s="57">
        <f t="shared" si="1806"/>
        <v>2.1242669279126574</v>
      </c>
      <c r="CE409" s="57">
        <f t="shared" si="1806"/>
        <v>2.7483660992862866</v>
      </c>
      <c r="CF409" s="57">
        <f t="shared" si="1806"/>
        <v>2.5243652762427189</v>
      </c>
      <c r="CG409" s="57">
        <f t="shared" si="1806"/>
        <v>1.1072414110075783</v>
      </c>
      <c r="CH409" s="57">
        <f t="shared" si="1806"/>
        <v>2.110612414513696</v>
      </c>
      <c r="CI409" s="57">
        <f t="shared" si="1806"/>
        <v>1.8813525669130655</v>
      </c>
      <c r="CJ409" s="57">
        <f t="shared" si="1806"/>
        <v>3.0760707319693097</v>
      </c>
      <c r="CK409" s="57">
        <f t="shared" si="1806"/>
        <v>5.2264586734622043</v>
      </c>
      <c r="CL409" s="57">
        <f t="shared" si="1806"/>
        <v>5.7184442505161996</v>
      </c>
      <c r="CM409" s="57">
        <f t="shared" si="1806"/>
        <v>3.9993046109684514</v>
      </c>
      <c r="CN409" s="57" t="str">
        <f t="shared" si="1806"/>
        <v/>
      </c>
      <c r="CO409" s="57" t="str">
        <f t="shared" si="1806"/>
        <v/>
      </c>
      <c r="CP409" s="57" t="str">
        <f t="shared" si="1806"/>
        <v/>
      </c>
      <c r="CQ409" s="57" t="str">
        <f t="shared" si="1806"/>
        <v/>
      </c>
      <c r="CR409" s="57" t="str">
        <f t="shared" si="1806"/>
        <v/>
      </c>
    </row>
    <row r="410" spans="1:96" s="54" customFormat="1" ht="17.5" customHeight="1" x14ac:dyDescent="0.4">
      <c r="A410" s="52" t="s">
        <v>107</v>
      </c>
      <c r="B410" s="38"/>
      <c r="C410" s="38"/>
      <c r="D410" s="38"/>
      <c r="E410" s="38"/>
      <c r="F410" s="38"/>
      <c r="G410" s="57">
        <f t="shared" ref="G410:V413" si="1807">IFERROR(G386/B386*100-100,"")</f>
        <v>13.688068375708113</v>
      </c>
      <c r="H410" s="57">
        <f t="shared" si="1805"/>
        <v>15.865820276863943</v>
      </c>
      <c r="I410" s="57">
        <f t="shared" si="1805"/>
        <v>19.891726135606945</v>
      </c>
      <c r="J410" s="57">
        <f t="shared" si="1805"/>
        <v>18.173250437676899</v>
      </c>
      <c r="K410" s="57">
        <f t="shared" si="1805"/>
        <v>17.105964955397468</v>
      </c>
      <c r="L410" s="57">
        <f t="shared" si="1805"/>
        <v>7.2937037863623004</v>
      </c>
      <c r="M410" s="57">
        <f t="shared" si="1805"/>
        <v>6.6913914772167118</v>
      </c>
      <c r="N410" s="57">
        <f t="shared" si="1805"/>
        <v>8.231803896493588</v>
      </c>
      <c r="O410" s="57">
        <f t="shared" si="1805"/>
        <v>5.7715275244899544</v>
      </c>
      <c r="P410" s="57">
        <f t="shared" si="1805"/>
        <v>6.9550089777564779</v>
      </c>
      <c r="Q410" s="57">
        <f t="shared" si="1805"/>
        <v>18.447457677800557</v>
      </c>
      <c r="R410" s="57" t="str">
        <f t="shared" si="1805"/>
        <v/>
      </c>
      <c r="S410" s="57">
        <f t="shared" si="1805"/>
        <v>21.078746698869466</v>
      </c>
      <c r="T410" s="57">
        <f t="shared" si="1805"/>
        <v>17.508331534584755</v>
      </c>
      <c r="U410" s="57" t="str">
        <f t="shared" si="1805"/>
        <v/>
      </c>
      <c r="V410" s="57">
        <f t="shared" si="1805"/>
        <v>1.6742482222859394</v>
      </c>
      <c r="W410" s="57" t="str">
        <f t="shared" si="1805"/>
        <v/>
      </c>
      <c r="X410" s="57">
        <f t="shared" si="1805"/>
        <v>-5.6166659131831267</v>
      </c>
      <c r="Y410" s="57">
        <f t="shared" si="1805"/>
        <v>3.4898964358579718</v>
      </c>
      <c r="Z410" s="57" t="str">
        <f t="shared" si="1805"/>
        <v/>
      </c>
      <c r="AA410" s="57">
        <f t="shared" si="1805"/>
        <v>-1.4713566284077615</v>
      </c>
      <c r="AB410" s="57">
        <f t="shared" si="1805"/>
        <v>0.24504715497488405</v>
      </c>
      <c r="AC410" s="57">
        <f t="shared" si="1805"/>
        <v>4.3678767658805526</v>
      </c>
      <c r="AD410" s="57">
        <f t="shared" si="1805"/>
        <v>0.31758534864765409</v>
      </c>
      <c r="AE410" s="57">
        <f t="shared" si="1805"/>
        <v>0.96087165720464895</v>
      </c>
      <c r="AF410" s="57">
        <f t="shared" si="1805"/>
        <v>7.8374506632615777</v>
      </c>
      <c r="AG410" s="57">
        <f t="shared" si="1805"/>
        <v>6.6239525234380636</v>
      </c>
      <c r="AH410" s="57">
        <f t="shared" si="1805"/>
        <v>5.3131244862768057</v>
      </c>
      <c r="AI410" s="57">
        <f t="shared" si="1805"/>
        <v>4.0614569422608753</v>
      </c>
      <c r="AJ410" s="57">
        <f t="shared" si="1805"/>
        <v>5.7867339438911927</v>
      </c>
      <c r="AK410" s="57">
        <f t="shared" si="1805"/>
        <v>5.149430454629325</v>
      </c>
      <c r="AL410" s="57">
        <f t="shared" si="1805"/>
        <v>3.6460176580877004</v>
      </c>
      <c r="AM410" s="57">
        <f t="shared" si="1805"/>
        <v>3.2327241977947381</v>
      </c>
      <c r="AN410" s="57">
        <f t="shared" si="1805"/>
        <v>4.8419195364123055</v>
      </c>
      <c r="AO410" s="57">
        <f t="shared" si="1805"/>
        <v>4.1875906095065289</v>
      </c>
      <c r="AP410" s="57">
        <f t="shared" si="1805"/>
        <v>4.0526572260101972</v>
      </c>
      <c r="AQ410" s="57">
        <f t="shared" si="1805"/>
        <v>6.7073274797603659</v>
      </c>
      <c r="AR410" s="57">
        <f t="shared" si="1805"/>
        <v>7.8834057154821409</v>
      </c>
      <c r="AS410" s="57">
        <f t="shared" si="1805"/>
        <v>6.4581776821185883</v>
      </c>
      <c r="AT410" s="57">
        <f t="shared" si="1805"/>
        <v>6.3232370947510219</v>
      </c>
      <c r="AU410" s="57">
        <f t="shared" si="1805"/>
        <v>5.4572604155059565</v>
      </c>
      <c r="AV410" s="57">
        <f t="shared" si="1805"/>
        <v>4.3254794151698945</v>
      </c>
      <c r="AW410" s="57">
        <f t="shared" si="1805"/>
        <v>2.347677886287201</v>
      </c>
      <c r="AX410" s="57">
        <f t="shared" si="1805"/>
        <v>1.9528288636307138</v>
      </c>
      <c r="AY410" s="57">
        <f t="shared" si="1805"/>
        <v>3.3884690019591091</v>
      </c>
      <c r="AZ410" s="57">
        <f t="shared" si="1805"/>
        <v>1.8126099490935559</v>
      </c>
      <c r="BA410" s="57">
        <f t="shared" si="1805"/>
        <v>2.0455488391438053</v>
      </c>
      <c r="BB410" s="57">
        <f t="shared" si="1805"/>
        <v>2.8394187185779174</v>
      </c>
      <c r="BC410" s="57">
        <f t="shared" si="1805"/>
        <v>2.8545298844407085</v>
      </c>
      <c r="BD410" s="57">
        <f t="shared" si="1805"/>
        <v>2.4248252579016452</v>
      </c>
      <c r="BE410" s="57">
        <f t="shared" si="1805"/>
        <v>4.4137836021709518</v>
      </c>
      <c r="BF410" s="57">
        <f t="shared" si="1805"/>
        <v>9.7850328837429004</v>
      </c>
      <c r="BG410" s="57">
        <f t="shared" si="1805"/>
        <v>12.572534491646365</v>
      </c>
      <c r="BH410" s="57">
        <f t="shared" si="1805"/>
        <v>18.297392034808553</v>
      </c>
      <c r="BI410" s="57">
        <f t="shared" si="1805"/>
        <v>11.662178813500731</v>
      </c>
      <c r="BJ410" s="57">
        <f t="shared" si="1805"/>
        <v>10.511352524500481</v>
      </c>
      <c r="BK410" s="57">
        <f t="shared" si="1805"/>
        <v>4.1984757069119638</v>
      </c>
      <c r="BL410" s="57">
        <f t="shared" si="1805"/>
        <v>2.0163758362380975</v>
      </c>
      <c r="BM410" s="57">
        <f t="shared" si="1805"/>
        <v>-6.6986003048338745</v>
      </c>
      <c r="BN410" s="57">
        <f t="shared" si="1805"/>
        <v>1.654111617882819</v>
      </c>
      <c r="BO410" s="57">
        <f t="shared" si="1805"/>
        <v>0.54072970506172169</v>
      </c>
      <c r="BP410" s="57">
        <f t="shared" si="1805"/>
        <v>1.6675795604704291</v>
      </c>
      <c r="BQ410" s="57">
        <f t="shared" si="1805"/>
        <v>-1.2385514390926886</v>
      </c>
      <c r="BR410" s="57">
        <f t="shared" si="1805"/>
        <v>4.8858860171168601</v>
      </c>
      <c r="BS410" s="57">
        <f t="shared" si="1805"/>
        <v>1.8919462821707782</v>
      </c>
      <c r="BT410" s="57">
        <f t="shared" si="1806"/>
        <v>2.9054458850995388</v>
      </c>
      <c r="BU410" s="57">
        <f t="shared" si="1806"/>
        <v>1.5285268274712394</v>
      </c>
      <c r="BV410" s="57">
        <f t="shared" si="1806"/>
        <v>3.6276531404388237</v>
      </c>
      <c r="BW410" s="57">
        <f t="shared" si="1806"/>
        <v>-1.6055417476487008</v>
      </c>
      <c r="BX410" s="57">
        <f t="shared" si="1806"/>
        <v>1.0157840186373761</v>
      </c>
      <c r="BY410" s="57">
        <f t="shared" si="1806"/>
        <v>-0.51551546194896503</v>
      </c>
      <c r="BZ410" s="57">
        <f t="shared" si="1806"/>
        <v>-0.11883931009334958</v>
      </c>
      <c r="CA410" s="57">
        <f t="shared" si="1806"/>
        <v>-0.20945114915996044</v>
      </c>
      <c r="CB410" s="57">
        <f t="shared" si="1806"/>
        <v>2.8108947245347053</v>
      </c>
      <c r="CC410" s="57">
        <f t="shared" si="1806"/>
        <v>0.85150667831877058</v>
      </c>
      <c r="CD410" s="57">
        <f t="shared" si="1806"/>
        <v>2.6282197693195712</v>
      </c>
      <c r="CE410" s="57">
        <f t="shared" si="1806"/>
        <v>2.1980520160049082</v>
      </c>
      <c r="CF410" s="57">
        <f t="shared" si="1806"/>
        <v>1.4457209448025736</v>
      </c>
      <c r="CG410" s="57">
        <f t="shared" si="1806"/>
        <v>1.0436177789523384</v>
      </c>
      <c r="CH410" s="57">
        <f t="shared" si="1806"/>
        <v>1.6751519083759234</v>
      </c>
      <c r="CI410" s="57">
        <f t="shared" si="1806"/>
        <v>1.1899203977182111</v>
      </c>
      <c r="CJ410" s="57">
        <f t="shared" si="1806"/>
        <v>2.2744556851307607</v>
      </c>
      <c r="CK410" s="57">
        <f t="shared" si="1806"/>
        <v>3.5129027093941119</v>
      </c>
      <c r="CL410" s="57">
        <f t="shared" si="1806"/>
        <v>4.3837681944445279</v>
      </c>
      <c r="CM410" s="57">
        <f t="shared" si="1806"/>
        <v>3.0165731636058837</v>
      </c>
      <c r="CN410" s="57" t="str">
        <f t="shared" si="1806"/>
        <v/>
      </c>
      <c r="CO410" s="57" t="str">
        <f t="shared" si="1806"/>
        <v/>
      </c>
      <c r="CP410" s="57" t="str">
        <f t="shared" si="1806"/>
        <v/>
      </c>
      <c r="CQ410" s="57" t="str">
        <f t="shared" si="1806"/>
        <v/>
      </c>
      <c r="CR410" s="57" t="str">
        <f t="shared" si="1806"/>
        <v/>
      </c>
    </row>
    <row r="411" spans="1:96" s="54" customFormat="1" ht="17.5" customHeight="1" x14ac:dyDescent="0.4">
      <c r="A411" s="52" t="s">
        <v>108</v>
      </c>
      <c r="B411" s="38"/>
      <c r="C411" s="38"/>
      <c r="D411" s="38"/>
      <c r="E411" s="38"/>
      <c r="F411" s="38"/>
      <c r="G411" s="57">
        <f t="shared" si="1807"/>
        <v>10.984600298918195</v>
      </c>
      <c r="H411" s="57">
        <f t="shared" si="1805"/>
        <v>13.313782925461524</v>
      </c>
      <c r="I411" s="57">
        <f t="shared" si="1805"/>
        <v>15.887235838175769</v>
      </c>
      <c r="J411" s="57">
        <f t="shared" si="1805"/>
        <v>19.537769914959014</v>
      </c>
      <c r="K411" s="57">
        <f t="shared" si="1805"/>
        <v>15.076023439330072</v>
      </c>
      <c r="L411" s="57">
        <f t="shared" si="1805"/>
        <v>15.57280772235012</v>
      </c>
      <c r="M411" s="57">
        <f t="shared" si="1805"/>
        <v>12.682037456094648</v>
      </c>
      <c r="N411" s="57">
        <f t="shared" si="1805"/>
        <v>8.3767908421247199</v>
      </c>
      <c r="O411" s="57">
        <f t="shared" si="1805"/>
        <v>4.8948992816284118</v>
      </c>
      <c r="P411" s="57">
        <f t="shared" si="1805"/>
        <v>10.103409768818381</v>
      </c>
      <c r="Q411" s="57">
        <f t="shared" si="1805"/>
        <v>3.1271913117519006</v>
      </c>
      <c r="R411" s="57" t="str">
        <f t="shared" si="1805"/>
        <v/>
      </c>
      <c r="S411" s="57">
        <f t="shared" si="1805"/>
        <v>4.3766128935181996</v>
      </c>
      <c r="T411" s="57">
        <f t="shared" si="1805"/>
        <v>5.7770060767022642</v>
      </c>
      <c r="U411" s="57" t="str">
        <f t="shared" si="1805"/>
        <v/>
      </c>
      <c r="V411" s="57">
        <f t="shared" si="1805"/>
        <v>2.783949309621363</v>
      </c>
      <c r="W411" s="57" t="str">
        <f t="shared" si="1805"/>
        <v/>
      </c>
      <c r="X411" s="57">
        <f t="shared" si="1805"/>
        <v>9.8526293747686537</v>
      </c>
      <c r="Y411" s="57">
        <f t="shared" si="1805"/>
        <v>12.063539133016079</v>
      </c>
      <c r="Z411" s="57" t="str">
        <f t="shared" si="1805"/>
        <v/>
      </c>
      <c r="AA411" s="57">
        <f t="shared" si="1805"/>
        <v>7.4652653354054195</v>
      </c>
      <c r="AB411" s="57">
        <f t="shared" si="1805"/>
        <v>7.180028753448056</v>
      </c>
      <c r="AC411" s="57">
        <f t="shared" si="1805"/>
        <v>5.9391156481079577</v>
      </c>
      <c r="AD411" s="57">
        <f t="shared" si="1805"/>
        <v>2.6097301965224915</v>
      </c>
      <c r="AE411" s="57">
        <f t="shared" si="1805"/>
        <v>5.577000113758146</v>
      </c>
      <c r="AF411" s="57">
        <f t="shared" si="1805"/>
        <v>7.7892927193071557</v>
      </c>
      <c r="AG411" s="57">
        <f t="shared" si="1805"/>
        <v>4.6341620381846553</v>
      </c>
      <c r="AH411" s="57">
        <f t="shared" si="1805"/>
        <v>1.9895175170435095</v>
      </c>
      <c r="AI411" s="57">
        <f t="shared" si="1805"/>
        <v>1.2175531451169945</v>
      </c>
      <c r="AJ411" s="57">
        <f t="shared" si="1805"/>
        <v>3.8860787362102513</v>
      </c>
      <c r="AK411" s="57">
        <f t="shared" si="1805"/>
        <v>1.2654973852459221</v>
      </c>
      <c r="AL411" s="57">
        <f t="shared" si="1805"/>
        <v>1.0171538060398149</v>
      </c>
      <c r="AM411" s="57">
        <f t="shared" si="1805"/>
        <v>0.93116509000314807</v>
      </c>
      <c r="AN411" s="57">
        <f t="shared" si="1805"/>
        <v>3.7799080572068675</v>
      </c>
      <c r="AO411" s="57">
        <f t="shared" si="1805"/>
        <v>1.820740148544715</v>
      </c>
      <c r="AP411" s="57">
        <f t="shared" si="1805"/>
        <v>3.7752872494710914</v>
      </c>
      <c r="AQ411" s="57">
        <f t="shared" si="1805"/>
        <v>4.6623593021044343</v>
      </c>
      <c r="AR411" s="57">
        <f t="shared" si="1805"/>
        <v>6.5206538174116986</v>
      </c>
      <c r="AS411" s="57">
        <f t="shared" si="1805"/>
        <v>5.7378603465130453</v>
      </c>
      <c r="AT411" s="57">
        <f t="shared" si="1805"/>
        <v>5.2042886589598822</v>
      </c>
      <c r="AU411" s="57">
        <f t="shared" si="1805"/>
        <v>5.7293372596943755</v>
      </c>
      <c r="AV411" s="57">
        <f t="shared" si="1805"/>
        <v>4.8150609883726361</v>
      </c>
      <c r="AW411" s="57">
        <f t="shared" si="1805"/>
        <v>4.512444005367783</v>
      </c>
      <c r="AX411" s="57">
        <f t="shared" si="1805"/>
        <v>5.0179373964456033</v>
      </c>
      <c r="AY411" s="57">
        <f t="shared" si="1805"/>
        <v>4.9940951599180039</v>
      </c>
      <c r="AZ411" s="57">
        <f t="shared" si="1805"/>
        <v>4.0208749491045666</v>
      </c>
      <c r="BA411" s="57">
        <f t="shared" si="1805"/>
        <v>3.7295713206343208</v>
      </c>
      <c r="BB411" s="57">
        <f t="shared" si="1805"/>
        <v>2.6969611843804131</v>
      </c>
      <c r="BC411" s="57">
        <f t="shared" si="1805"/>
        <v>2.6722686299315512</v>
      </c>
      <c r="BD411" s="57">
        <f t="shared" si="1805"/>
        <v>3.2273776822495819</v>
      </c>
      <c r="BE411" s="57">
        <f t="shared" si="1805"/>
        <v>3.8534617214636739</v>
      </c>
      <c r="BF411" s="57">
        <f t="shared" si="1805"/>
        <v>3.9865184867779533</v>
      </c>
      <c r="BG411" s="57">
        <f t="shared" si="1805"/>
        <v>4.4491242286033241</v>
      </c>
      <c r="BH411" s="57">
        <f t="shared" si="1805"/>
        <v>3.7792664842820614</v>
      </c>
      <c r="BI411" s="57">
        <f t="shared" si="1805"/>
        <v>4.0374742428485035</v>
      </c>
      <c r="BJ411" s="57">
        <f t="shared" si="1805"/>
        <v>3.5387766718941975</v>
      </c>
      <c r="BK411" s="57">
        <f t="shared" si="1805"/>
        <v>3.1274908413253968</v>
      </c>
      <c r="BL411" s="57">
        <f t="shared" si="1805"/>
        <v>2.7406884821097321</v>
      </c>
      <c r="BM411" s="57">
        <f t="shared" si="1805"/>
        <v>1.9394495071346256</v>
      </c>
      <c r="BN411" s="57">
        <f t="shared" si="1805"/>
        <v>2.8013499544877476</v>
      </c>
      <c r="BO411" s="57">
        <f t="shared" si="1805"/>
        <v>0.64391041837492935</v>
      </c>
      <c r="BP411" s="57">
        <f t="shared" si="1805"/>
        <v>1.9551440283991326</v>
      </c>
      <c r="BQ411" s="57">
        <f t="shared" si="1805"/>
        <v>1.8166042888135365</v>
      </c>
      <c r="BR411" s="57">
        <f t="shared" si="1805"/>
        <v>2.8285075240189315</v>
      </c>
      <c r="BS411" s="57">
        <f t="shared" si="1805"/>
        <v>1.8341888394400456</v>
      </c>
      <c r="BT411" s="57">
        <f t="shared" si="1806"/>
        <v>3.0389415265492232</v>
      </c>
      <c r="BU411" s="57">
        <f t="shared" si="1806"/>
        <v>1.9538307997818407</v>
      </c>
      <c r="BV411" s="57">
        <f t="shared" si="1806"/>
        <v>2.1556434761363477</v>
      </c>
      <c r="BW411" s="57">
        <f t="shared" si="1806"/>
        <v>2.5550016801113316</v>
      </c>
      <c r="BX411" s="57">
        <f t="shared" si="1806"/>
        <v>2.4369566125500342</v>
      </c>
      <c r="BY411" s="57">
        <f t="shared" si="1806"/>
        <v>1.0041378105782144</v>
      </c>
      <c r="BZ411" s="57">
        <f t="shared" si="1806"/>
        <v>1.3941040303715511</v>
      </c>
      <c r="CA411" s="57">
        <f t="shared" si="1806"/>
        <v>1.5415632494783154</v>
      </c>
      <c r="CB411" s="57">
        <f t="shared" si="1806"/>
        <v>0.94083994110174274</v>
      </c>
      <c r="CC411" s="57">
        <f t="shared" si="1806"/>
        <v>1.2060354098347261</v>
      </c>
      <c r="CD411" s="57">
        <f t="shared" si="1806"/>
        <v>2.6203068908616274</v>
      </c>
      <c r="CE411" s="57">
        <f t="shared" si="1806"/>
        <v>2.0571072297881585</v>
      </c>
      <c r="CF411" s="57">
        <f t="shared" si="1806"/>
        <v>1.8226213067798369</v>
      </c>
      <c r="CG411" s="57">
        <f t="shared" si="1806"/>
        <v>1.9378607339281473</v>
      </c>
      <c r="CH411" s="57">
        <f t="shared" si="1806"/>
        <v>2.0984789321622372</v>
      </c>
      <c r="CI411" s="57">
        <f t="shared" si="1806"/>
        <v>2.1314675661586762</v>
      </c>
      <c r="CJ411" s="57">
        <f t="shared" si="1806"/>
        <v>2.1325913171106095</v>
      </c>
      <c r="CK411" s="57">
        <f t="shared" si="1806"/>
        <v>1.9483455814321076</v>
      </c>
      <c r="CL411" s="57">
        <f t="shared" si="1806"/>
        <v>1.626640339001554</v>
      </c>
      <c r="CM411" s="57">
        <f t="shared" si="1806"/>
        <v>1.949389058194285</v>
      </c>
      <c r="CN411" s="57" t="str">
        <f t="shared" si="1806"/>
        <v/>
      </c>
      <c r="CO411" s="57" t="str">
        <f t="shared" si="1806"/>
        <v/>
      </c>
      <c r="CP411" s="57" t="str">
        <f t="shared" si="1806"/>
        <v/>
      </c>
      <c r="CQ411" s="57" t="str">
        <f t="shared" si="1806"/>
        <v/>
      </c>
      <c r="CR411" s="57" t="str">
        <f t="shared" si="1806"/>
        <v/>
      </c>
    </row>
    <row r="412" spans="1:96" s="54" customFormat="1" ht="17.5" customHeight="1" x14ac:dyDescent="0.4">
      <c r="A412" s="52" t="s">
        <v>109</v>
      </c>
      <c r="B412" s="38"/>
      <c r="C412" s="38"/>
      <c r="D412" s="38"/>
      <c r="E412" s="38"/>
      <c r="F412" s="38"/>
      <c r="G412" s="57">
        <f t="shared" si="1807"/>
        <v>8.4166421742067428</v>
      </c>
      <c r="H412" s="57">
        <f t="shared" si="1805"/>
        <v>12.961646103757346</v>
      </c>
      <c r="I412" s="57">
        <f t="shared" si="1805"/>
        <v>14.661418414036035</v>
      </c>
      <c r="J412" s="57">
        <f t="shared" si="1805"/>
        <v>13.105709016244262</v>
      </c>
      <c r="K412" s="57">
        <f t="shared" si="1805"/>
        <v>12.468606882391043</v>
      </c>
      <c r="L412" s="57">
        <f t="shared" si="1805"/>
        <v>9.3996186898751972</v>
      </c>
      <c r="M412" s="57">
        <f t="shared" si="1805"/>
        <v>8.6687031290411056</v>
      </c>
      <c r="N412" s="57">
        <f t="shared" si="1805"/>
        <v>6.2101712079247591</v>
      </c>
      <c r="O412" s="57">
        <f t="shared" si="1805"/>
        <v>2.8260168013910061</v>
      </c>
      <c r="P412" s="57">
        <f t="shared" si="1805"/>
        <v>6.4957771166462663</v>
      </c>
      <c r="Q412" s="57">
        <f t="shared" si="1805"/>
        <v>2.0246884575728359</v>
      </c>
      <c r="R412" s="57" t="str">
        <f t="shared" si="1805"/>
        <v/>
      </c>
      <c r="S412" s="57">
        <f t="shared" si="1805"/>
        <v>11.661687843012942</v>
      </c>
      <c r="T412" s="57">
        <f t="shared" si="1805"/>
        <v>7.741552791754458</v>
      </c>
      <c r="U412" s="57" t="str">
        <f t="shared" si="1805"/>
        <v/>
      </c>
      <c r="V412" s="57">
        <f t="shared" si="1805"/>
        <v>8.869148897943063</v>
      </c>
      <c r="W412" s="57" t="str">
        <f t="shared" si="1805"/>
        <v/>
      </c>
      <c r="X412" s="57">
        <f t="shared" si="1805"/>
        <v>-2.6001004931583083</v>
      </c>
      <c r="Y412" s="57">
        <f t="shared" si="1805"/>
        <v>9.0768379358218851</v>
      </c>
      <c r="Z412" s="57" t="str">
        <f t="shared" si="1805"/>
        <v/>
      </c>
      <c r="AA412" s="57">
        <f t="shared" si="1805"/>
        <v>0.37482377447364001</v>
      </c>
      <c r="AB412" s="57">
        <f t="shared" si="1805"/>
        <v>1.064542818783849</v>
      </c>
      <c r="AC412" s="57">
        <f t="shared" si="1805"/>
        <v>7.7106787640121013</v>
      </c>
      <c r="AD412" s="57">
        <f t="shared" si="1805"/>
        <v>3.0193093694238655</v>
      </c>
      <c r="AE412" s="57">
        <f t="shared" si="1805"/>
        <v>3.0761838188816881</v>
      </c>
      <c r="AF412" s="57">
        <f t="shared" si="1805"/>
        <v>8.3424363465843214</v>
      </c>
      <c r="AG412" s="57">
        <f t="shared" si="1805"/>
        <v>5.8025973872893672</v>
      </c>
      <c r="AH412" s="57">
        <f t="shared" si="1805"/>
        <v>1.2832926431555478</v>
      </c>
      <c r="AI412" s="57">
        <f t="shared" si="1805"/>
        <v>1.8460856913447685</v>
      </c>
      <c r="AJ412" s="57">
        <f t="shared" si="1805"/>
        <v>4.0765951495589974</v>
      </c>
      <c r="AK412" s="57">
        <f t="shared" si="1805"/>
        <v>3.4313166529075403</v>
      </c>
      <c r="AL412" s="57">
        <f t="shared" si="1805"/>
        <v>4.0951488356114112</v>
      </c>
      <c r="AM412" s="57">
        <f t="shared" si="1805"/>
        <v>4.7897239356792056</v>
      </c>
      <c r="AN412" s="57">
        <f t="shared" si="1805"/>
        <v>6.6593936504995952</v>
      </c>
      <c r="AO412" s="57">
        <f t="shared" si="1805"/>
        <v>4.8913500835040793</v>
      </c>
      <c r="AP412" s="57">
        <f t="shared" si="1805"/>
        <v>6.2375384332208341</v>
      </c>
      <c r="AQ412" s="57">
        <f t="shared" si="1805"/>
        <v>5.8206796084470938</v>
      </c>
      <c r="AR412" s="57">
        <f t="shared" si="1805"/>
        <v>7.5488504159959717</v>
      </c>
      <c r="AS412" s="57">
        <f t="shared" si="1805"/>
        <v>6.4002593246586912</v>
      </c>
      <c r="AT412" s="57">
        <f t="shared" si="1805"/>
        <v>6.4548153989079253</v>
      </c>
      <c r="AU412" s="57">
        <f t="shared" si="1805"/>
        <v>5.4578297282330794</v>
      </c>
      <c r="AV412" s="57">
        <f t="shared" si="1805"/>
        <v>5.7401212620125079</v>
      </c>
      <c r="AW412" s="57">
        <f t="shared" si="1805"/>
        <v>4.6916788105432374</v>
      </c>
      <c r="AX412" s="57">
        <f t="shared" si="1805"/>
        <v>3.8693268181297071</v>
      </c>
      <c r="AY412" s="57">
        <f t="shared" si="1805"/>
        <v>4.8890422547168413</v>
      </c>
      <c r="AZ412" s="57">
        <f t="shared" si="1805"/>
        <v>2.7907254327335522</v>
      </c>
      <c r="BA412" s="57">
        <f t="shared" si="1805"/>
        <v>2.5395570801432399</v>
      </c>
      <c r="BB412" s="57">
        <f t="shared" si="1805"/>
        <v>1.7437320200475455</v>
      </c>
      <c r="BC412" s="57">
        <f t="shared" si="1805"/>
        <v>1.7735594207389624</v>
      </c>
      <c r="BD412" s="57">
        <f t="shared" si="1805"/>
        <v>2.1631219441806877</v>
      </c>
      <c r="BE412" s="57">
        <f t="shared" si="1805"/>
        <v>5.4183182249997799</v>
      </c>
      <c r="BF412" s="57">
        <f t="shared" si="1805"/>
        <v>8.6546890535386751</v>
      </c>
      <c r="BG412" s="57">
        <f t="shared" si="1805"/>
        <v>13.423019444858568</v>
      </c>
      <c r="BH412" s="57">
        <f t="shared" si="1805"/>
        <v>15.598525358327194</v>
      </c>
      <c r="BI412" s="57">
        <f t="shared" si="1805"/>
        <v>11.101097285522684</v>
      </c>
      <c r="BJ412" s="57">
        <f t="shared" si="1805"/>
        <v>6.2317006650251585</v>
      </c>
      <c r="BK412" s="57">
        <f t="shared" si="1805"/>
        <v>4.8396692851088403</v>
      </c>
      <c r="BL412" s="57">
        <f t="shared" si="1805"/>
        <v>3.9282161176426484</v>
      </c>
      <c r="BM412" s="57">
        <f t="shared" si="1805"/>
        <v>-0.8179089576143781</v>
      </c>
      <c r="BN412" s="57">
        <f t="shared" si="1805"/>
        <v>3.2982808975059896</v>
      </c>
      <c r="BO412" s="57">
        <f t="shared" si="1805"/>
        <v>6.1964055449698066</v>
      </c>
      <c r="BP412" s="57">
        <f t="shared" si="1805"/>
        <v>6.9643224676384676</v>
      </c>
      <c r="BQ412" s="57">
        <f t="shared" si="1805"/>
        <v>-1.6316537431119684</v>
      </c>
      <c r="BR412" s="57">
        <f t="shared" si="1805"/>
        <v>4.9434259681736563</v>
      </c>
      <c r="BS412" s="57">
        <f t="shared" ref="BS412:BS413" si="1808">IFERROR(BS388/BN388*100-100,"")</f>
        <v>4.0977662169766376</v>
      </c>
      <c r="BT412" s="57">
        <f t="shared" si="1806"/>
        <v>6.2991126093971701</v>
      </c>
      <c r="BU412" s="57">
        <f t="shared" si="1806"/>
        <v>1.4926376358908016</v>
      </c>
      <c r="BV412" s="57">
        <f t="shared" si="1806"/>
        <v>5.2173561311678043</v>
      </c>
      <c r="BW412" s="57">
        <f t="shared" si="1806"/>
        <v>-0.67068973317492464</v>
      </c>
      <c r="BX412" s="57">
        <f t="shared" si="1806"/>
        <v>2.5808996391793784</v>
      </c>
      <c r="BY412" s="57">
        <f t="shared" si="1806"/>
        <v>-1.5681856949548916</v>
      </c>
      <c r="BZ412" s="57">
        <f t="shared" si="1806"/>
        <v>-2.3046534420728904E-2</v>
      </c>
      <c r="CA412" s="57">
        <f t="shared" si="1806"/>
        <v>1.5386055681078261</v>
      </c>
      <c r="CB412" s="57">
        <f t="shared" si="1806"/>
        <v>3.0861084154830962</v>
      </c>
      <c r="CC412" s="57">
        <f t="shared" si="1806"/>
        <v>1.0134752714556328</v>
      </c>
      <c r="CD412" s="57">
        <f t="shared" si="1806"/>
        <v>2.950870538714085</v>
      </c>
      <c r="CE412" s="57">
        <f t="shared" si="1806"/>
        <v>3.0595283109844189</v>
      </c>
      <c r="CF412" s="57">
        <f t="shared" si="1806"/>
        <v>2.8768324614677283</v>
      </c>
      <c r="CG412" s="57">
        <f t="shared" si="1806"/>
        <v>0.85571763747569207</v>
      </c>
      <c r="CH412" s="57">
        <f t="shared" si="1806"/>
        <v>2.304346950876706</v>
      </c>
      <c r="CI412" s="57">
        <f t="shared" si="1806"/>
        <v>1.9269306529939598</v>
      </c>
      <c r="CJ412" s="57">
        <f t="shared" si="1806"/>
        <v>5.6790779460012004</v>
      </c>
      <c r="CK412" s="57">
        <f t="shared" si="1806"/>
        <v>8.4787641888061387</v>
      </c>
      <c r="CL412" s="57">
        <f t="shared" si="1806"/>
        <v>9.0417741483970673</v>
      </c>
      <c r="CM412" s="57">
        <f t="shared" si="1806"/>
        <v>6.4843149504546318</v>
      </c>
      <c r="CN412" s="57" t="str">
        <f t="shared" si="1806"/>
        <v/>
      </c>
      <c r="CO412" s="57" t="str">
        <f t="shared" si="1806"/>
        <v/>
      </c>
      <c r="CP412" s="57" t="str">
        <f t="shared" si="1806"/>
        <v/>
      </c>
      <c r="CQ412" s="57" t="str">
        <f t="shared" si="1806"/>
        <v/>
      </c>
      <c r="CR412" s="57" t="str">
        <f t="shared" si="1806"/>
        <v/>
      </c>
    </row>
    <row r="413" spans="1:96" s="9" customFormat="1" ht="23.25" customHeight="1" thickBot="1" x14ac:dyDescent="0.35">
      <c r="A413" s="26" t="s">
        <v>95</v>
      </c>
      <c r="B413" s="38"/>
      <c r="C413" s="38"/>
      <c r="D413" s="38"/>
      <c r="E413" s="38"/>
      <c r="F413" s="38"/>
      <c r="G413" s="60">
        <f t="shared" si="1807"/>
        <v>10.083955227803585</v>
      </c>
      <c r="H413" s="60">
        <f t="shared" si="1807"/>
        <v>8.679801359493581</v>
      </c>
      <c r="I413" s="60">
        <f t="shared" si="1807"/>
        <v>8.0665870305472112</v>
      </c>
      <c r="J413" s="60">
        <f t="shared" si="1807"/>
        <v>9.3794119211131601</v>
      </c>
      <c r="K413" s="60">
        <f t="shared" si="1807"/>
        <v>9.0439922030152786</v>
      </c>
      <c r="L413" s="60">
        <f t="shared" si="1807"/>
        <v>5.881967966958527</v>
      </c>
      <c r="M413" s="60">
        <f t="shared" si="1807"/>
        <v>7.1455858107848798</v>
      </c>
      <c r="N413" s="60">
        <f t="shared" si="1807"/>
        <v>7.2228735233236279</v>
      </c>
      <c r="O413" s="60">
        <f t="shared" si="1807"/>
        <v>5.3756669450632018</v>
      </c>
      <c r="P413" s="60">
        <f t="shared" si="1807"/>
        <v>6.3889186915080103</v>
      </c>
      <c r="Q413" s="60">
        <f t="shared" si="1807"/>
        <v>6.8747655380988988</v>
      </c>
      <c r="R413" s="60" t="str">
        <f t="shared" si="1807"/>
        <v/>
      </c>
      <c r="S413" s="60">
        <f t="shared" si="1807"/>
        <v>10.060719540493238</v>
      </c>
      <c r="T413" s="60">
        <f t="shared" si="1807"/>
        <v>11.027870802722362</v>
      </c>
      <c r="U413" s="60" t="str">
        <f t="shared" si="1807"/>
        <v/>
      </c>
      <c r="V413" s="60">
        <f t="shared" si="1807"/>
        <v>10.55900481910848</v>
      </c>
      <c r="W413" s="60" t="str">
        <f t="shared" ref="W413:BR413" si="1809">IFERROR(W389/R389*100-100,"")</f>
        <v/>
      </c>
      <c r="X413" s="60">
        <f t="shared" si="1809"/>
        <v>8.1505566410219359</v>
      </c>
      <c r="Y413" s="60">
        <f t="shared" si="1809"/>
        <v>7.4197332575243138</v>
      </c>
      <c r="Z413" s="60" t="str">
        <f t="shared" si="1809"/>
        <v/>
      </c>
      <c r="AA413" s="60">
        <f t="shared" si="1809"/>
        <v>5.1627124396897131</v>
      </c>
      <c r="AB413" s="60">
        <f t="shared" si="1809"/>
        <v>6.7660080026121108</v>
      </c>
      <c r="AC413" s="60">
        <f t="shared" si="1809"/>
        <v>6.8859701697381581</v>
      </c>
      <c r="AD413" s="60">
        <f t="shared" si="1809"/>
        <v>8.0357767837964786</v>
      </c>
      <c r="AE413" s="60">
        <f t="shared" si="1809"/>
        <v>6.8229111083492313</v>
      </c>
      <c r="AF413" s="60">
        <f t="shared" si="1809"/>
        <v>9.2318467493291365</v>
      </c>
      <c r="AG413" s="60">
        <f t="shared" si="1809"/>
        <v>7.3160099704678601</v>
      </c>
      <c r="AH413" s="60">
        <f t="shared" si="1809"/>
        <v>6.9948992874955422</v>
      </c>
      <c r="AI413" s="60">
        <f t="shared" si="1809"/>
        <v>5.6604187637223902</v>
      </c>
      <c r="AJ413" s="60">
        <f t="shared" si="1809"/>
        <v>7.1807769293638017</v>
      </c>
      <c r="AK413" s="60">
        <f t="shared" si="1809"/>
        <v>5.0760183486840305</v>
      </c>
      <c r="AL413" s="60">
        <f t="shared" si="1809"/>
        <v>4.5730242533651193</v>
      </c>
      <c r="AM413" s="60">
        <f t="shared" si="1809"/>
        <v>3.9201058415221439</v>
      </c>
      <c r="AN413" s="60">
        <f t="shared" si="1809"/>
        <v>4.3858583125348218</v>
      </c>
      <c r="AO413" s="60">
        <f t="shared" si="1809"/>
        <v>4.4923978883913094</v>
      </c>
      <c r="AP413" s="60">
        <f t="shared" si="1809"/>
        <v>5.1892332465312165</v>
      </c>
      <c r="AQ413" s="60">
        <f t="shared" si="1809"/>
        <v>5.3580874854120424</v>
      </c>
      <c r="AR413" s="60">
        <f t="shared" si="1809"/>
        <v>4.9214788226986173</v>
      </c>
      <c r="AS413" s="60">
        <f t="shared" si="1809"/>
        <v>4.0218100276383097</v>
      </c>
      <c r="AT413" s="60">
        <f t="shared" si="1809"/>
        <v>4.8466177026018897</v>
      </c>
      <c r="AU413" s="60">
        <f t="shared" si="1809"/>
        <v>2.9691855189244194</v>
      </c>
      <c r="AV413" s="60">
        <f t="shared" si="1809"/>
        <v>2.5719694113829519</v>
      </c>
      <c r="AW413" s="60">
        <f t="shared" si="1809"/>
        <v>2.3977028951265993</v>
      </c>
      <c r="AX413" s="60">
        <f t="shared" si="1809"/>
        <v>2.5213051004211877</v>
      </c>
      <c r="AY413" s="60">
        <f t="shared" si="1809"/>
        <v>2.6059864690875401</v>
      </c>
      <c r="AZ413" s="60">
        <f t="shared" si="1809"/>
        <v>2.5813054333318206</v>
      </c>
      <c r="BA413" s="60">
        <f t="shared" si="1809"/>
        <v>2.4376091833805162</v>
      </c>
      <c r="BB413" s="60">
        <f t="shared" si="1809"/>
        <v>2.1917622838628432</v>
      </c>
      <c r="BC413" s="60">
        <f t="shared" si="1809"/>
        <v>2.0248034477061481</v>
      </c>
      <c r="BD413" s="60">
        <f t="shared" si="1809"/>
        <v>2.302931271869042</v>
      </c>
      <c r="BE413" s="60">
        <f t="shared" si="1809"/>
        <v>2.1016553280841066</v>
      </c>
      <c r="BF413" s="60">
        <f t="shared" si="1809"/>
        <v>2.1474739074800624</v>
      </c>
      <c r="BG413" s="60">
        <f t="shared" si="1809"/>
        <v>1.8628479387330117</v>
      </c>
      <c r="BH413" s="60">
        <f t="shared" si="1809"/>
        <v>1.654028806792212</v>
      </c>
      <c r="BI413" s="60">
        <f t="shared" si="1809"/>
        <v>1.9326135923174235</v>
      </c>
      <c r="BJ413" s="60">
        <f t="shared" si="1809"/>
        <v>1.668930367950594</v>
      </c>
      <c r="BK413" s="60">
        <f t="shared" si="1809"/>
        <v>1.1843961941964807</v>
      </c>
      <c r="BL413" s="60">
        <f t="shared" si="1809"/>
        <v>0.7883561878623766</v>
      </c>
      <c r="BM413" s="60">
        <f t="shared" si="1809"/>
        <v>0.74271219832269253</v>
      </c>
      <c r="BN413" s="60">
        <f t="shared" si="1809"/>
        <v>1.0834827013555923</v>
      </c>
      <c r="BO413" s="60">
        <f t="shared" si="1809"/>
        <v>0.96040923244464693</v>
      </c>
      <c r="BP413" s="60">
        <f t="shared" si="1809"/>
        <v>1.3445160887101508</v>
      </c>
      <c r="BQ413" s="60">
        <f t="shared" si="1809"/>
        <v>2.4068148717829558</v>
      </c>
      <c r="BR413" s="60">
        <f t="shared" si="1809"/>
        <v>2.5772796968624618</v>
      </c>
      <c r="BS413" s="60">
        <f t="shared" si="1808"/>
        <v>1.8401304972483672</v>
      </c>
      <c r="BT413" s="60">
        <f t="shared" si="1806"/>
        <v>2.6727643934046057</v>
      </c>
      <c r="BU413" s="60">
        <f t="shared" si="1806"/>
        <v>3.5441274374932874</v>
      </c>
      <c r="BV413" s="60">
        <f t="shared" si="1806"/>
        <v>4.7156279371380663</v>
      </c>
      <c r="BW413" s="60">
        <f t="shared" si="1806"/>
        <v>4.8445405709859557</v>
      </c>
      <c r="BX413" s="60">
        <f t="shared" si="1806"/>
        <v>3.9869452588705769</v>
      </c>
      <c r="BY413" s="60">
        <f t="shared" si="1806"/>
        <v>4.1883402381049706</v>
      </c>
      <c r="BZ413" s="60">
        <f t="shared" si="1806"/>
        <v>3.9307870091346899</v>
      </c>
      <c r="CA413" s="60">
        <f t="shared" si="1806"/>
        <v>2.2630508808970831</v>
      </c>
      <c r="CB413" s="60">
        <f t="shared" si="1806"/>
        <v>2.1795390996797437</v>
      </c>
      <c r="CC413" s="60">
        <f t="shared" si="1806"/>
        <v>3.092322051448761</v>
      </c>
      <c r="CD413" s="60">
        <f t="shared" si="1806"/>
        <v>2.1664888053004177</v>
      </c>
      <c r="CE413" s="60">
        <f t="shared" si="1806"/>
        <v>2.1091894031792293</v>
      </c>
      <c r="CF413" s="60">
        <f t="shared" si="1806"/>
        <v>1.8050779511355302</v>
      </c>
      <c r="CG413" s="60">
        <f t="shared" si="1806"/>
        <v>1.7894128427800666</v>
      </c>
      <c r="CH413" s="60">
        <f t="shared" si="1806"/>
        <v>1.9625465733796688</v>
      </c>
      <c r="CI413" s="60">
        <f t="shared" si="1806"/>
        <v>1.9224349703710146</v>
      </c>
      <c r="CJ413" s="60">
        <f t="shared" si="1806"/>
        <v>1.2279176423560187</v>
      </c>
      <c r="CK413" s="60">
        <f t="shared" si="1806"/>
        <v>1.6015907782003751</v>
      </c>
      <c r="CL413" s="60">
        <f t="shared" si="1806"/>
        <v>1.5832768016632173</v>
      </c>
      <c r="CM413" s="60">
        <f t="shared" si="1806"/>
        <v>1.5800924514624626</v>
      </c>
      <c r="CN413" s="60" t="str">
        <f t="shared" si="1806"/>
        <v/>
      </c>
      <c r="CO413" s="60" t="str">
        <f t="shared" si="1806"/>
        <v/>
      </c>
      <c r="CP413" s="60" t="str">
        <f t="shared" si="1806"/>
        <v/>
      </c>
      <c r="CQ413" s="60" t="str">
        <f t="shared" si="1806"/>
        <v/>
      </c>
      <c r="CR413" s="60" t="str">
        <f t="shared" si="1806"/>
        <v/>
      </c>
    </row>
    <row r="415" spans="1:96" s="31" customFormat="1" ht="15" x14ac:dyDescent="0.4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0"/>
      <c r="AV415" s="30"/>
      <c r="AW415" s="30"/>
      <c r="AX415" s="30"/>
      <c r="AY415" s="30"/>
      <c r="AZ415" s="30"/>
      <c r="BA415" s="30"/>
      <c r="BB415" s="30"/>
      <c r="BC415" s="30"/>
      <c r="BD415" s="30"/>
      <c r="BE415" s="30"/>
      <c r="BF415" s="30"/>
      <c r="BG415" s="30"/>
      <c r="BH415" s="30"/>
      <c r="BI415" s="30"/>
      <c r="BJ415" s="30"/>
      <c r="BK415" s="30"/>
      <c r="BL415" s="30"/>
      <c r="BM415" s="30"/>
      <c r="BN415" s="30"/>
      <c r="BO415" s="30"/>
      <c r="BP415" s="30"/>
      <c r="BQ415" s="30"/>
      <c r="BR415" s="30"/>
      <c r="BS415" s="30"/>
      <c r="BT415" s="30"/>
      <c r="BU415" s="30"/>
      <c r="BV415" s="30"/>
      <c r="BW415" s="30"/>
      <c r="BX415" s="30"/>
      <c r="BY415" s="30"/>
      <c r="BZ415" s="30"/>
      <c r="CA415" s="30"/>
      <c r="CB415" s="30"/>
      <c r="CC415" s="30"/>
      <c r="CD415" s="30"/>
      <c r="CE415" s="30"/>
      <c r="CF415" s="30"/>
      <c r="CG415" s="30"/>
      <c r="CH415" s="30"/>
      <c r="CI415" s="30"/>
      <c r="CJ415" s="30"/>
      <c r="CK415" s="30"/>
      <c r="CL415" s="30"/>
      <c r="CM415" s="30"/>
      <c r="CN415" s="30"/>
      <c r="CO415" s="30"/>
      <c r="CP415" s="30"/>
      <c r="CQ415" s="30"/>
      <c r="CR415" s="30"/>
    </row>
    <row r="416" spans="1:96" s="31" customFormat="1" ht="15" x14ac:dyDescent="0.4">
      <c r="A416" s="32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  <c r="AT416" s="33"/>
      <c r="AU416" s="33"/>
      <c r="AV416" s="33"/>
      <c r="AW416" s="33"/>
      <c r="AX416" s="33"/>
      <c r="AY416" s="33"/>
      <c r="AZ416" s="33"/>
      <c r="BA416" s="33"/>
      <c r="BB416" s="33"/>
      <c r="BC416" s="33"/>
      <c r="BD416" s="33"/>
      <c r="BE416" s="33"/>
      <c r="BF416" s="33"/>
      <c r="BG416" s="33"/>
      <c r="BH416" s="33"/>
      <c r="BI416" s="33"/>
      <c r="BJ416" s="33"/>
      <c r="BK416" s="33"/>
      <c r="BL416" s="33"/>
      <c r="BM416" s="33"/>
      <c r="BN416" s="33"/>
      <c r="BO416" s="33"/>
      <c r="BP416" s="33"/>
      <c r="BQ416" s="33"/>
      <c r="BR416" s="33"/>
      <c r="BS416" s="33"/>
      <c r="BT416" s="33"/>
      <c r="BU416" s="33"/>
      <c r="BV416" s="33"/>
      <c r="BW416" s="33"/>
      <c r="BX416" s="33"/>
      <c r="BY416" s="33"/>
      <c r="BZ416" s="33"/>
      <c r="CA416" s="33"/>
      <c r="CB416" s="33"/>
      <c r="CC416" s="33"/>
      <c r="CD416" s="33"/>
      <c r="CE416" s="33"/>
      <c r="CF416" s="33"/>
      <c r="CG416" s="33"/>
      <c r="CH416" s="33"/>
      <c r="CI416" s="33"/>
      <c r="CJ416" s="33"/>
      <c r="CK416" s="33"/>
      <c r="CL416" s="33"/>
      <c r="CM416" s="33"/>
      <c r="CN416" s="33"/>
      <c r="CO416" s="33"/>
      <c r="CP416" s="33"/>
      <c r="CQ416" s="33"/>
      <c r="CR416" s="33"/>
    </row>
    <row r="417" spans="1:96" ht="20" x14ac:dyDescent="0.4">
      <c r="A417" s="1" t="s">
        <v>116</v>
      </c>
    </row>
    <row r="418" spans="1:96" ht="20.5" thickBot="1" x14ac:dyDescent="0.45">
      <c r="A418" s="1" t="str">
        <f>A406</f>
        <v>Kabupaten/Kota :</v>
      </c>
      <c r="B418" s="35" t="str">
        <f>B406</f>
        <v>Kepuluauan Tanimbar</v>
      </c>
      <c r="L418" s="35"/>
      <c r="V418" s="35"/>
      <c r="AF418" s="35"/>
      <c r="AP418" s="35"/>
      <c r="AZ418" s="35"/>
      <c r="BJ418" s="35"/>
      <c r="BT418" s="35"/>
    </row>
    <row r="419" spans="1:96" s="9" customFormat="1" ht="24" customHeight="1" thickBot="1" x14ac:dyDescent="0.35">
      <c r="A419" s="5" t="s">
        <v>2</v>
      </c>
      <c r="B419" s="6" t="s">
        <v>3</v>
      </c>
      <c r="C419" s="6" t="s">
        <v>4</v>
      </c>
      <c r="D419" s="6" t="s">
        <v>5</v>
      </c>
      <c r="E419" s="6" t="s">
        <v>6</v>
      </c>
      <c r="F419" s="6">
        <v>2008</v>
      </c>
      <c r="G419" s="7" t="s">
        <v>7</v>
      </c>
      <c r="H419" s="7" t="s">
        <v>8</v>
      </c>
      <c r="I419" s="7" t="s">
        <v>9</v>
      </c>
      <c r="J419" s="7" t="s">
        <v>10</v>
      </c>
      <c r="K419" s="7">
        <v>2009</v>
      </c>
      <c r="L419" s="6" t="s">
        <v>11</v>
      </c>
      <c r="M419" s="6" t="s">
        <v>12</v>
      </c>
      <c r="N419" s="6" t="s">
        <v>13</v>
      </c>
      <c r="O419" s="6" t="s">
        <v>14</v>
      </c>
      <c r="P419" s="6">
        <v>2010</v>
      </c>
      <c r="Q419" s="7" t="s">
        <v>15</v>
      </c>
      <c r="R419" s="7" t="s">
        <v>16</v>
      </c>
      <c r="S419" s="7" t="s">
        <v>17</v>
      </c>
      <c r="T419" s="7" t="s">
        <v>18</v>
      </c>
      <c r="U419" s="7">
        <v>2011</v>
      </c>
      <c r="V419" s="6" t="s">
        <v>19</v>
      </c>
      <c r="W419" s="6" t="s">
        <v>20</v>
      </c>
      <c r="X419" s="6" t="s">
        <v>21</v>
      </c>
      <c r="Y419" s="6" t="s">
        <v>22</v>
      </c>
      <c r="Z419" s="6">
        <v>2012</v>
      </c>
      <c r="AA419" s="7" t="s">
        <v>23</v>
      </c>
      <c r="AB419" s="7" t="s">
        <v>24</v>
      </c>
      <c r="AC419" s="7" t="s">
        <v>25</v>
      </c>
      <c r="AD419" s="7" t="s">
        <v>26</v>
      </c>
      <c r="AE419" s="7">
        <v>2013</v>
      </c>
      <c r="AF419" s="6" t="s">
        <v>27</v>
      </c>
      <c r="AG419" s="6" t="s">
        <v>28</v>
      </c>
      <c r="AH419" s="6" t="s">
        <v>29</v>
      </c>
      <c r="AI419" s="6" t="s">
        <v>30</v>
      </c>
      <c r="AJ419" s="6">
        <v>2014</v>
      </c>
      <c r="AK419" s="7" t="s">
        <v>31</v>
      </c>
      <c r="AL419" s="7" t="s">
        <v>32</v>
      </c>
      <c r="AM419" s="7" t="s">
        <v>33</v>
      </c>
      <c r="AN419" s="7" t="s">
        <v>34</v>
      </c>
      <c r="AO419" s="7">
        <v>2015</v>
      </c>
      <c r="AP419" s="6" t="s">
        <v>35</v>
      </c>
      <c r="AQ419" s="6" t="s">
        <v>36</v>
      </c>
      <c r="AR419" s="6" t="s">
        <v>37</v>
      </c>
      <c r="AS419" s="6" t="s">
        <v>38</v>
      </c>
      <c r="AT419" s="6">
        <v>2016</v>
      </c>
      <c r="AU419" s="7" t="s">
        <v>39</v>
      </c>
      <c r="AV419" s="7" t="s">
        <v>40</v>
      </c>
      <c r="AW419" s="7" t="s">
        <v>41</v>
      </c>
      <c r="AX419" s="7" t="s">
        <v>42</v>
      </c>
      <c r="AY419" s="7">
        <v>2017</v>
      </c>
      <c r="AZ419" s="6" t="s">
        <v>43</v>
      </c>
      <c r="BA419" s="6" t="s">
        <v>44</v>
      </c>
      <c r="BB419" s="6" t="s">
        <v>45</v>
      </c>
      <c r="BC419" s="6" t="s">
        <v>46</v>
      </c>
      <c r="BD419" s="6">
        <v>2018</v>
      </c>
      <c r="BE419" s="7" t="s">
        <v>47</v>
      </c>
      <c r="BF419" s="7" t="s">
        <v>48</v>
      </c>
      <c r="BG419" s="7" t="s">
        <v>49</v>
      </c>
      <c r="BH419" s="7" t="s">
        <v>50</v>
      </c>
      <c r="BI419" s="7">
        <v>2019</v>
      </c>
      <c r="BJ419" s="6" t="s">
        <v>51</v>
      </c>
      <c r="BK419" s="6" t="s">
        <v>52</v>
      </c>
      <c r="BL419" s="6" t="s">
        <v>53</v>
      </c>
      <c r="BM419" s="6" t="s">
        <v>54</v>
      </c>
      <c r="BN419" s="6">
        <v>2020</v>
      </c>
      <c r="BO419" s="7" t="s">
        <v>55</v>
      </c>
      <c r="BP419" s="7" t="s">
        <v>56</v>
      </c>
      <c r="BQ419" s="7" t="s">
        <v>57</v>
      </c>
      <c r="BR419" s="7" t="s">
        <v>58</v>
      </c>
      <c r="BS419" s="7">
        <v>2021</v>
      </c>
      <c r="BT419" s="6" t="s">
        <v>59</v>
      </c>
      <c r="BU419" s="6" t="s">
        <v>60</v>
      </c>
      <c r="BV419" s="6" t="s">
        <v>61</v>
      </c>
      <c r="BW419" s="6" t="s">
        <v>62</v>
      </c>
      <c r="BX419" s="6">
        <v>2022</v>
      </c>
      <c r="BY419" s="7" t="s">
        <v>63</v>
      </c>
      <c r="BZ419" s="7" t="s">
        <v>64</v>
      </c>
      <c r="CA419" s="7" t="s">
        <v>65</v>
      </c>
      <c r="CB419" s="7" t="s">
        <v>66</v>
      </c>
      <c r="CC419" s="7">
        <v>2023</v>
      </c>
      <c r="CD419" s="8" t="s">
        <v>67</v>
      </c>
      <c r="CE419" s="8" t="s">
        <v>68</v>
      </c>
      <c r="CF419" s="8" t="s">
        <v>69</v>
      </c>
      <c r="CG419" s="8" t="s">
        <v>70</v>
      </c>
      <c r="CH419" s="8">
        <v>2024</v>
      </c>
      <c r="CI419" s="7" t="s">
        <v>71</v>
      </c>
      <c r="CJ419" s="7" t="s">
        <v>72</v>
      </c>
      <c r="CK419" s="7" t="s">
        <v>73</v>
      </c>
      <c r="CL419" s="7" t="s">
        <v>74</v>
      </c>
      <c r="CM419" s="7">
        <v>2025</v>
      </c>
      <c r="CN419" s="8" t="s">
        <v>75</v>
      </c>
      <c r="CO419" s="8" t="s">
        <v>76</v>
      </c>
      <c r="CP419" s="8" t="s">
        <v>77</v>
      </c>
      <c r="CQ419" s="8" t="s">
        <v>78</v>
      </c>
      <c r="CR419" s="8">
        <v>2026</v>
      </c>
    </row>
    <row r="420" spans="1:96" s="9" customFormat="1" ht="13.5" thickBot="1" x14ac:dyDescent="0.35">
      <c r="A420" s="10">
        <v>-1</v>
      </c>
      <c r="B420" s="11">
        <f>A420-1</f>
        <v>-2</v>
      </c>
      <c r="C420" s="11">
        <f>B420-1</f>
        <v>-3</v>
      </c>
      <c r="D420" s="11">
        <f t="shared" ref="D420:BO420" si="1810">C420-1</f>
        <v>-4</v>
      </c>
      <c r="E420" s="11">
        <f t="shared" si="1810"/>
        <v>-5</v>
      </c>
      <c r="F420" s="11">
        <f t="shared" si="1810"/>
        <v>-6</v>
      </c>
      <c r="G420" s="11">
        <f t="shared" si="1810"/>
        <v>-7</v>
      </c>
      <c r="H420" s="11">
        <f t="shared" si="1810"/>
        <v>-8</v>
      </c>
      <c r="I420" s="11">
        <f t="shared" si="1810"/>
        <v>-9</v>
      </c>
      <c r="J420" s="11">
        <f t="shared" si="1810"/>
        <v>-10</v>
      </c>
      <c r="K420" s="11">
        <f t="shared" si="1810"/>
        <v>-11</v>
      </c>
      <c r="L420" s="11">
        <f t="shared" si="1810"/>
        <v>-12</v>
      </c>
      <c r="M420" s="11">
        <f t="shared" si="1810"/>
        <v>-13</v>
      </c>
      <c r="N420" s="11">
        <f t="shared" si="1810"/>
        <v>-14</v>
      </c>
      <c r="O420" s="11">
        <f t="shared" si="1810"/>
        <v>-15</v>
      </c>
      <c r="P420" s="11">
        <f t="shared" si="1810"/>
        <v>-16</v>
      </c>
      <c r="Q420" s="11">
        <f t="shared" si="1810"/>
        <v>-17</v>
      </c>
      <c r="R420" s="11">
        <f t="shared" si="1810"/>
        <v>-18</v>
      </c>
      <c r="S420" s="11">
        <f t="shared" si="1810"/>
        <v>-19</v>
      </c>
      <c r="T420" s="11">
        <f t="shared" si="1810"/>
        <v>-20</v>
      </c>
      <c r="U420" s="11">
        <f t="shared" si="1810"/>
        <v>-21</v>
      </c>
      <c r="V420" s="11">
        <f t="shared" si="1810"/>
        <v>-22</v>
      </c>
      <c r="W420" s="11">
        <f t="shared" si="1810"/>
        <v>-23</v>
      </c>
      <c r="X420" s="11">
        <f t="shared" si="1810"/>
        <v>-24</v>
      </c>
      <c r="Y420" s="11">
        <f t="shared" si="1810"/>
        <v>-25</v>
      </c>
      <c r="Z420" s="11">
        <f t="shared" si="1810"/>
        <v>-26</v>
      </c>
      <c r="AA420" s="11">
        <f t="shared" si="1810"/>
        <v>-27</v>
      </c>
      <c r="AB420" s="11">
        <f t="shared" si="1810"/>
        <v>-28</v>
      </c>
      <c r="AC420" s="11">
        <f t="shared" si="1810"/>
        <v>-29</v>
      </c>
      <c r="AD420" s="11">
        <f t="shared" si="1810"/>
        <v>-30</v>
      </c>
      <c r="AE420" s="11">
        <f t="shared" si="1810"/>
        <v>-31</v>
      </c>
      <c r="AF420" s="11">
        <f t="shared" si="1810"/>
        <v>-32</v>
      </c>
      <c r="AG420" s="11">
        <f t="shared" si="1810"/>
        <v>-33</v>
      </c>
      <c r="AH420" s="11">
        <f t="shared" si="1810"/>
        <v>-34</v>
      </c>
      <c r="AI420" s="11">
        <f t="shared" si="1810"/>
        <v>-35</v>
      </c>
      <c r="AJ420" s="11">
        <f t="shared" si="1810"/>
        <v>-36</v>
      </c>
      <c r="AK420" s="11">
        <f t="shared" si="1810"/>
        <v>-37</v>
      </c>
      <c r="AL420" s="11">
        <f t="shared" si="1810"/>
        <v>-38</v>
      </c>
      <c r="AM420" s="11">
        <f t="shared" si="1810"/>
        <v>-39</v>
      </c>
      <c r="AN420" s="11">
        <f t="shared" si="1810"/>
        <v>-40</v>
      </c>
      <c r="AO420" s="11">
        <f t="shared" si="1810"/>
        <v>-41</v>
      </c>
      <c r="AP420" s="11">
        <f t="shared" si="1810"/>
        <v>-42</v>
      </c>
      <c r="AQ420" s="11">
        <f t="shared" si="1810"/>
        <v>-43</v>
      </c>
      <c r="AR420" s="11">
        <f t="shared" si="1810"/>
        <v>-44</v>
      </c>
      <c r="AS420" s="11">
        <f t="shared" si="1810"/>
        <v>-45</v>
      </c>
      <c r="AT420" s="11">
        <f t="shared" si="1810"/>
        <v>-46</v>
      </c>
      <c r="AU420" s="11">
        <f t="shared" si="1810"/>
        <v>-47</v>
      </c>
      <c r="AV420" s="11">
        <f t="shared" si="1810"/>
        <v>-48</v>
      </c>
      <c r="AW420" s="11">
        <f t="shared" si="1810"/>
        <v>-49</v>
      </c>
      <c r="AX420" s="11">
        <f t="shared" si="1810"/>
        <v>-50</v>
      </c>
      <c r="AY420" s="11">
        <f t="shared" si="1810"/>
        <v>-51</v>
      </c>
      <c r="AZ420" s="11">
        <f t="shared" si="1810"/>
        <v>-52</v>
      </c>
      <c r="BA420" s="11">
        <f t="shared" si="1810"/>
        <v>-53</v>
      </c>
      <c r="BB420" s="11">
        <f t="shared" si="1810"/>
        <v>-54</v>
      </c>
      <c r="BC420" s="11">
        <f t="shared" si="1810"/>
        <v>-55</v>
      </c>
      <c r="BD420" s="11">
        <f t="shared" si="1810"/>
        <v>-56</v>
      </c>
      <c r="BE420" s="11">
        <f t="shared" si="1810"/>
        <v>-57</v>
      </c>
      <c r="BF420" s="11">
        <f t="shared" si="1810"/>
        <v>-58</v>
      </c>
      <c r="BG420" s="11">
        <f t="shared" si="1810"/>
        <v>-59</v>
      </c>
      <c r="BH420" s="11">
        <f t="shared" si="1810"/>
        <v>-60</v>
      </c>
      <c r="BI420" s="11">
        <f t="shared" si="1810"/>
        <v>-61</v>
      </c>
      <c r="BJ420" s="11">
        <f t="shared" si="1810"/>
        <v>-62</v>
      </c>
      <c r="BK420" s="11">
        <f t="shared" si="1810"/>
        <v>-63</v>
      </c>
      <c r="BL420" s="11">
        <f t="shared" si="1810"/>
        <v>-64</v>
      </c>
      <c r="BM420" s="11">
        <f t="shared" si="1810"/>
        <v>-65</v>
      </c>
      <c r="BN420" s="11">
        <f t="shared" si="1810"/>
        <v>-66</v>
      </c>
      <c r="BO420" s="11">
        <f t="shared" si="1810"/>
        <v>-67</v>
      </c>
      <c r="BP420" s="11">
        <f t="shared" ref="BP420:CR420" si="1811">BO420-1</f>
        <v>-68</v>
      </c>
      <c r="BQ420" s="11">
        <f t="shared" si="1811"/>
        <v>-69</v>
      </c>
      <c r="BR420" s="11">
        <f t="shared" si="1811"/>
        <v>-70</v>
      </c>
      <c r="BS420" s="11">
        <f t="shared" si="1811"/>
        <v>-71</v>
      </c>
      <c r="BT420" s="11">
        <f t="shared" si="1811"/>
        <v>-72</v>
      </c>
      <c r="BU420" s="11">
        <f t="shared" si="1811"/>
        <v>-73</v>
      </c>
      <c r="BV420" s="11">
        <f t="shared" si="1811"/>
        <v>-74</v>
      </c>
      <c r="BW420" s="11">
        <f t="shared" si="1811"/>
        <v>-75</v>
      </c>
      <c r="BX420" s="11">
        <f t="shared" si="1811"/>
        <v>-76</v>
      </c>
      <c r="BY420" s="11">
        <f t="shared" si="1811"/>
        <v>-77</v>
      </c>
      <c r="BZ420" s="11">
        <f t="shared" si="1811"/>
        <v>-78</v>
      </c>
      <c r="CA420" s="11">
        <f t="shared" si="1811"/>
        <v>-79</v>
      </c>
      <c r="CB420" s="11">
        <f t="shared" si="1811"/>
        <v>-80</v>
      </c>
      <c r="CC420" s="11">
        <f t="shared" si="1811"/>
        <v>-81</v>
      </c>
      <c r="CD420" s="11">
        <f t="shared" si="1811"/>
        <v>-82</v>
      </c>
      <c r="CE420" s="11">
        <f t="shared" si="1811"/>
        <v>-83</v>
      </c>
      <c r="CF420" s="11">
        <f t="shared" si="1811"/>
        <v>-84</v>
      </c>
      <c r="CG420" s="11">
        <f t="shared" si="1811"/>
        <v>-85</v>
      </c>
      <c r="CH420" s="11">
        <f t="shared" si="1811"/>
        <v>-86</v>
      </c>
      <c r="CI420" s="11">
        <f t="shared" si="1811"/>
        <v>-87</v>
      </c>
      <c r="CJ420" s="11">
        <f t="shared" si="1811"/>
        <v>-88</v>
      </c>
      <c r="CK420" s="11">
        <f t="shared" si="1811"/>
        <v>-89</v>
      </c>
      <c r="CL420" s="11">
        <f t="shared" si="1811"/>
        <v>-90</v>
      </c>
      <c r="CM420" s="11">
        <f t="shared" si="1811"/>
        <v>-91</v>
      </c>
      <c r="CN420" s="11">
        <f t="shared" si="1811"/>
        <v>-92</v>
      </c>
      <c r="CO420" s="11">
        <f t="shared" si="1811"/>
        <v>-93</v>
      </c>
      <c r="CP420" s="11">
        <f t="shared" si="1811"/>
        <v>-94</v>
      </c>
      <c r="CQ420" s="11">
        <f t="shared" si="1811"/>
        <v>-95</v>
      </c>
      <c r="CR420" s="11">
        <f t="shared" si="1811"/>
        <v>-96</v>
      </c>
    </row>
    <row r="421" spans="1:96" s="54" customFormat="1" ht="17.5" customHeight="1" thickTop="1" x14ac:dyDescent="0.4">
      <c r="A421" s="52" t="s">
        <v>106</v>
      </c>
      <c r="B421" s="57">
        <f>IFERROR(B325/B$329*100,"")</f>
        <v>89.776340120817082</v>
      </c>
      <c r="C421" s="57">
        <f t="shared" ref="C421:BN424" si="1812">IFERROR(C325/C$329*100,"")</f>
        <v>87.467518808282634</v>
      </c>
      <c r="D421" s="57">
        <f t="shared" si="1812"/>
        <v>91.109000315407059</v>
      </c>
      <c r="E421" s="57">
        <f t="shared" si="1812"/>
        <v>90.831087192157881</v>
      </c>
      <c r="F421" s="57">
        <f t="shared" si="1812"/>
        <v>89.829217866397116</v>
      </c>
      <c r="G421" s="57">
        <f t="shared" si="1812"/>
        <v>84.687167590976017</v>
      </c>
      <c r="H421" s="57">
        <f t="shared" si="1812"/>
        <v>85.195562069818394</v>
      </c>
      <c r="I421" s="57">
        <f t="shared" si="1812"/>
        <v>87.616417736692725</v>
      </c>
      <c r="J421" s="57">
        <f t="shared" si="1812"/>
        <v>86.229819442227381</v>
      </c>
      <c r="K421" s="57">
        <f t="shared" si="1812"/>
        <v>85.960356578962944</v>
      </c>
      <c r="L421" s="57">
        <f t="shared" si="1812"/>
        <v>82.960838613787644</v>
      </c>
      <c r="M421" s="57">
        <f t="shared" si="1812"/>
        <v>82.543580739082373</v>
      </c>
      <c r="N421" s="57">
        <f t="shared" si="1812"/>
        <v>83.932606001818925</v>
      </c>
      <c r="O421" s="57">
        <f t="shared" si="1812"/>
        <v>84.096650136304063</v>
      </c>
      <c r="P421" s="57">
        <f t="shared" si="1812"/>
        <v>83.404629332657862</v>
      </c>
      <c r="Q421" s="57">
        <f t="shared" si="1812"/>
        <v>72.762107862087618</v>
      </c>
      <c r="R421" s="57">
        <f t="shared" si="1812"/>
        <v>84.247096854853126</v>
      </c>
      <c r="S421" s="57">
        <f t="shared" si="1812"/>
        <v>80.831341405716259</v>
      </c>
      <c r="T421" s="57">
        <f t="shared" si="1812"/>
        <v>74.753781540715579</v>
      </c>
      <c r="U421" s="57">
        <f t="shared" si="1812"/>
        <v>78.130452719959052</v>
      </c>
      <c r="V421" s="57">
        <f t="shared" si="1812"/>
        <v>76.244410540672092</v>
      </c>
      <c r="W421" s="57">
        <f t="shared" si="1812"/>
        <v>76.426377189211934</v>
      </c>
      <c r="X421" s="57">
        <f t="shared" si="1812"/>
        <v>77.837003968595241</v>
      </c>
      <c r="Y421" s="57">
        <f t="shared" si="1812"/>
        <v>77.969160454157119</v>
      </c>
      <c r="Z421" s="57">
        <f t="shared" si="1812"/>
        <v>77.1453077225746</v>
      </c>
      <c r="AA421" s="57">
        <f t="shared" si="1812"/>
        <v>76.488870244313276</v>
      </c>
      <c r="AB421" s="57">
        <f t="shared" si="1812"/>
        <v>76.835036048963119</v>
      </c>
      <c r="AC421" s="57">
        <f t="shared" si="1812"/>
        <v>80.002102821874956</v>
      </c>
      <c r="AD421" s="57">
        <f t="shared" si="1812"/>
        <v>79.144463378598147</v>
      </c>
      <c r="AE421" s="57">
        <f t="shared" si="1812"/>
        <v>78.201851000006144</v>
      </c>
      <c r="AF421" s="57">
        <f t="shared" si="1812"/>
        <v>76.542512262009808</v>
      </c>
      <c r="AG421" s="57">
        <f t="shared" si="1812"/>
        <v>77.11265223621082</v>
      </c>
      <c r="AH421" s="57">
        <f t="shared" si="1812"/>
        <v>78.297555945298598</v>
      </c>
      <c r="AI421" s="57">
        <f t="shared" si="1812"/>
        <v>81.767721065830131</v>
      </c>
      <c r="AJ421" s="57">
        <f t="shared" si="1812"/>
        <v>78.507822047918339</v>
      </c>
      <c r="AK421" s="57">
        <f t="shared" si="1812"/>
        <v>79.512361713376322</v>
      </c>
      <c r="AL421" s="57">
        <f t="shared" si="1812"/>
        <v>80.82788063256028</v>
      </c>
      <c r="AM421" s="57">
        <f t="shared" si="1812"/>
        <v>82.097703478699685</v>
      </c>
      <c r="AN421" s="57">
        <f t="shared" si="1812"/>
        <v>85.109287644795785</v>
      </c>
      <c r="AO421" s="57">
        <f t="shared" si="1812"/>
        <v>81.987197205706536</v>
      </c>
      <c r="AP421" s="57">
        <f t="shared" si="1812"/>
        <v>83.160837042570606</v>
      </c>
      <c r="AQ421" s="57">
        <f t="shared" si="1812"/>
        <v>81.509767807066581</v>
      </c>
      <c r="AR421" s="57">
        <f t="shared" si="1812"/>
        <v>81.641383069280167</v>
      </c>
      <c r="AS421" s="57">
        <f t="shared" si="1812"/>
        <v>82.797905596398351</v>
      </c>
      <c r="AT421" s="57">
        <f t="shared" si="1812"/>
        <v>82.271467057569254</v>
      </c>
      <c r="AU421" s="57">
        <f t="shared" si="1812"/>
        <v>81.027125924423103</v>
      </c>
      <c r="AV421" s="57">
        <f t="shared" si="1812"/>
        <v>81.758906473132413</v>
      </c>
      <c r="AW421" s="57">
        <f t="shared" si="1812"/>
        <v>83.219796391878546</v>
      </c>
      <c r="AX421" s="57">
        <f t="shared" si="1812"/>
        <v>84.263203799381088</v>
      </c>
      <c r="AY421" s="57">
        <f t="shared" si="1812"/>
        <v>82.612966191767882</v>
      </c>
      <c r="AZ421" s="57">
        <f t="shared" si="1812"/>
        <v>80.335812697871987</v>
      </c>
      <c r="BA421" s="57">
        <f t="shared" si="1812"/>
        <v>81.034678718755274</v>
      </c>
      <c r="BB421" s="57">
        <f t="shared" si="1812"/>
        <v>81.230001960846295</v>
      </c>
      <c r="BC421" s="57">
        <f t="shared" si="1812"/>
        <v>83.644213381157982</v>
      </c>
      <c r="BD421" s="57">
        <f t="shared" si="1812"/>
        <v>81.60317182293447</v>
      </c>
      <c r="BE421" s="57">
        <f t="shared" si="1812"/>
        <v>81.84951551329705</v>
      </c>
      <c r="BF421" s="57">
        <f t="shared" si="1812"/>
        <v>82.688613068058643</v>
      </c>
      <c r="BG421" s="57">
        <f t="shared" si="1812"/>
        <v>85.995586322572265</v>
      </c>
      <c r="BH421" s="57">
        <f t="shared" si="1812"/>
        <v>84.709068678028629</v>
      </c>
      <c r="BI421" s="57">
        <f t="shared" si="1812"/>
        <v>83.852385899481419</v>
      </c>
      <c r="BJ421" s="57">
        <f t="shared" si="1812"/>
        <v>83.247456619121522</v>
      </c>
      <c r="BK421" s="57">
        <f t="shared" si="1812"/>
        <v>84.455131009690362</v>
      </c>
      <c r="BL421" s="57">
        <f t="shared" si="1812"/>
        <v>86.800410762905742</v>
      </c>
      <c r="BM421" s="57">
        <f t="shared" si="1812"/>
        <v>87.465066468832546</v>
      </c>
      <c r="BN421" s="57">
        <f t="shared" si="1812"/>
        <v>85.495266480097399</v>
      </c>
      <c r="BO421" s="57">
        <f t="shared" ref="BO421:CR424" si="1813">IFERROR(BO325/BO$329*100,"")</f>
        <v>87.014897076769898</v>
      </c>
      <c r="BP421" s="57">
        <f t="shared" si="1813"/>
        <v>84.842541348793389</v>
      </c>
      <c r="BQ421" s="57">
        <f t="shared" si="1813"/>
        <v>82.337281567146889</v>
      </c>
      <c r="BR421" s="57">
        <f t="shared" si="1813"/>
        <v>85.566965235250876</v>
      </c>
      <c r="BS421" s="57">
        <f t="shared" si="1813"/>
        <v>84.917075667552609</v>
      </c>
      <c r="BT421" s="57">
        <f t="shared" si="1813"/>
        <v>88.803149200642522</v>
      </c>
      <c r="BU421" s="57">
        <f t="shared" si="1813"/>
        <v>84.688827172372299</v>
      </c>
      <c r="BV421" s="57">
        <f t="shared" si="1813"/>
        <v>84.063222616523674</v>
      </c>
      <c r="BW421" s="57">
        <f t="shared" si="1813"/>
        <v>82.878750162724202</v>
      </c>
      <c r="BX421" s="57">
        <f t="shared" si="1813"/>
        <v>84.998020456807836</v>
      </c>
      <c r="BY421" s="57">
        <f t="shared" si="1813"/>
        <v>85.818117654717099</v>
      </c>
      <c r="BZ421" s="57">
        <f t="shared" si="1813"/>
        <v>82.19484286819376</v>
      </c>
      <c r="CA421" s="57">
        <f t="shared" si="1813"/>
        <v>83.207463236871618</v>
      </c>
      <c r="CB421" s="57">
        <f t="shared" si="1813"/>
        <v>83.665827243907756</v>
      </c>
      <c r="CC421" s="57">
        <f t="shared" si="1813"/>
        <v>83.686473655137988</v>
      </c>
      <c r="CD421" s="57">
        <f t="shared" si="1813"/>
        <v>86.094384729932344</v>
      </c>
      <c r="CE421" s="57">
        <f t="shared" si="1813"/>
        <v>83.056209168766827</v>
      </c>
      <c r="CF421" s="57">
        <f t="shared" si="1813"/>
        <v>82.508005038858599</v>
      </c>
      <c r="CG421" s="57">
        <f t="shared" si="1813"/>
        <v>82.782308349595027</v>
      </c>
      <c r="CH421" s="57">
        <f t="shared" si="1813"/>
        <v>83.567283191431002</v>
      </c>
      <c r="CI421" s="57">
        <f t="shared" si="1813"/>
        <v>84.920409658344127</v>
      </c>
      <c r="CJ421" s="57">
        <f t="shared" si="1813"/>
        <v>84.74499791060353</v>
      </c>
      <c r="CK421" s="57">
        <f t="shared" si="1813"/>
        <v>85.162249296957356</v>
      </c>
      <c r="CL421" s="57">
        <f t="shared" si="1813"/>
        <v>84.800354765866501</v>
      </c>
      <c r="CM421" s="57">
        <f t="shared" si="1813"/>
        <v>84.906593374422712</v>
      </c>
      <c r="CN421" s="57" t="str">
        <f t="shared" si="1813"/>
        <v/>
      </c>
      <c r="CO421" s="57" t="str">
        <f t="shared" si="1813"/>
        <v/>
      </c>
      <c r="CP421" s="57" t="str">
        <f t="shared" si="1813"/>
        <v/>
      </c>
      <c r="CQ421" s="57" t="str">
        <f t="shared" si="1813"/>
        <v/>
      </c>
      <c r="CR421" s="57" t="str">
        <f t="shared" si="1813"/>
        <v/>
      </c>
    </row>
    <row r="422" spans="1:96" s="54" customFormat="1" ht="17.5" customHeight="1" x14ac:dyDescent="0.4">
      <c r="A422" s="52" t="s">
        <v>107</v>
      </c>
      <c r="B422" s="57">
        <f t="shared" ref="B422:Q424" si="1814">IFERROR(B326/B$329*100,"")</f>
        <v>46.418898133466605</v>
      </c>
      <c r="C422" s="57">
        <f t="shared" si="1814"/>
        <v>54.122076898277768</v>
      </c>
      <c r="D422" s="57">
        <f t="shared" si="1814"/>
        <v>56.167427675067394</v>
      </c>
      <c r="E422" s="57">
        <f t="shared" si="1814"/>
        <v>56.480886644820252</v>
      </c>
      <c r="F422" s="57">
        <f t="shared" si="1814"/>
        <v>53.461861609800501</v>
      </c>
      <c r="G422" s="57">
        <f t="shared" si="1814"/>
        <v>52.839123558174492</v>
      </c>
      <c r="H422" s="57">
        <f t="shared" si="1814"/>
        <v>60.185787315294306</v>
      </c>
      <c r="I422" s="57">
        <f t="shared" si="1814"/>
        <v>60.152870291269508</v>
      </c>
      <c r="J422" s="57">
        <f t="shared" si="1814"/>
        <v>65.083854025861797</v>
      </c>
      <c r="K422" s="57">
        <f t="shared" si="1814"/>
        <v>59.746631839845477</v>
      </c>
      <c r="L422" s="57">
        <f t="shared" si="1814"/>
        <v>51.617803256277959</v>
      </c>
      <c r="M422" s="57">
        <f t="shared" si="1814"/>
        <v>55.359810390779508</v>
      </c>
      <c r="N422" s="57">
        <f t="shared" si="1814"/>
        <v>57.589215448717859</v>
      </c>
      <c r="O422" s="57">
        <f t="shared" si="1814"/>
        <v>65.418757068432626</v>
      </c>
      <c r="P422" s="57">
        <f t="shared" si="1814"/>
        <v>57.699562852465327</v>
      </c>
      <c r="Q422" s="57">
        <f t="shared" si="1814"/>
        <v>55.826739233726094</v>
      </c>
      <c r="R422" s="57">
        <f t="shared" si="1812"/>
        <v>64.167693302619909</v>
      </c>
      <c r="S422" s="57">
        <f t="shared" si="1812"/>
        <v>68.74759880640795</v>
      </c>
      <c r="T422" s="57">
        <f t="shared" si="1812"/>
        <v>67.259657371868116</v>
      </c>
      <c r="U422" s="57">
        <f t="shared" si="1812"/>
        <v>64.283162321787842</v>
      </c>
      <c r="V422" s="57">
        <f t="shared" si="1812"/>
        <v>50.727206907913327</v>
      </c>
      <c r="W422" s="57">
        <f t="shared" si="1812"/>
        <v>61.337338289766627</v>
      </c>
      <c r="X422" s="57">
        <f t="shared" si="1812"/>
        <v>61.245315467899843</v>
      </c>
      <c r="Y422" s="57">
        <f t="shared" si="1812"/>
        <v>67.275026508834827</v>
      </c>
      <c r="Z422" s="57">
        <f t="shared" si="1812"/>
        <v>60.354162786308528</v>
      </c>
      <c r="AA422" s="57">
        <f t="shared" si="1812"/>
        <v>52.332886891571981</v>
      </c>
      <c r="AB422" s="57">
        <f t="shared" si="1812"/>
        <v>60.089741492238645</v>
      </c>
      <c r="AC422" s="57">
        <f t="shared" si="1812"/>
        <v>61.393306319877915</v>
      </c>
      <c r="AD422" s="57">
        <f t="shared" si="1812"/>
        <v>61.920408943636495</v>
      </c>
      <c r="AE422" s="57">
        <f t="shared" si="1812"/>
        <v>59.162507139850227</v>
      </c>
      <c r="AF422" s="57">
        <f t="shared" si="1812"/>
        <v>50.628084254686222</v>
      </c>
      <c r="AG422" s="57">
        <f t="shared" si="1812"/>
        <v>56.209489125567593</v>
      </c>
      <c r="AH422" s="57">
        <f t="shared" si="1812"/>
        <v>59.253195282758774</v>
      </c>
      <c r="AI422" s="57">
        <f t="shared" si="1812"/>
        <v>63.34520983985842</v>
      </c>
      <c r="AJ422" s="57">
        <f t="shared" si="1812"/>
        <v>57.544439937843293</v>
      </c>
      <c r="AK422" s="57">
        <f t="shared" si="1812"/>
        <v>53.257050334425237</v>
      </c>
      <c r="AL422" s="57">
        <f t="shared" si="1812"/>
        <v>56.341361241834285</v>
      </c>
      <c r="AM422" s="57">
        <f t="shared" si="1812"/>
        <v>58.949460320487049</v>
      </c>
      <c r="AN422" s="57">
        <f t="shared" si="1812"/>
        <v>62.623476984350056</v>
      </c>
      <c r="AO422" s="57">
        <f t="shared" si="1812"/>
        <v>57.961314897213455</v>
      </c>
      <c r="AP422" s="57">
        <f t="shared" si="1812"/>
        <v>53.15751636723266</v>
      </c>
      <c r="AQ422" s="57">
        <f t="shared" si="1812"/>
        <v>54.947587902012586</v>
      </c>
      <c r="AR422" s="57">
        <f t="shared" si="1812"/>
        <v>57.904711952641428</v>
      </c>
      <c r="AS422" s="57">
        <f t="shared" si="1812"/>
        <v>61.753876425162701</v>
      </c>
      <c r="AT422" s="57">
        <f t="shared" si="1812"/>
        <v>57.070209814927985</v>
      </c>
      <c r="AU422" s="57">
        <f t="shared" si="1812"/>
        <v>52.290935799306752</v>
      </c>
      <c r="AV422" s="57">
        <f t="shared" si="1812"/>
        <v>53.891266398275263</v>
      </c>
      <c r="AW422" s="57">
        <f t="shared" si="1812"/>
        <v>57.035988229258031</v>
      </c>
      <c r="AX422" s="57">
        <f t="shared" si="1812"/>
        <v>59.200359672408197</v>
      </c>
      <c r="AY422" s="57">
        <f t="shared" si="1812"/>
        <v>55.702309759538025</v>
      </c>
      <c r="AZ422" s="57">
        <f t="shared" si="1812"/>
        <v>49.2799324996301</v>
      </c>
      <c r="BA422" s="57">
        <f t="shared" si="1812"/>
        <v>51.138329637857048</v>
      </c>
      <c r="BB422" s="57">
        <f t="shared" si="1812"/>
        <v>53.759143852623126</v>
      </c>
      <c r="BC422" s="57">
        <f t="shared" si="1812"/>
        <v>56.255736151471716</v>
      </c>
      <c r="BD422" s="57">
        <f t="shared" si="1812"/>
        <v>52.70858115999777</v>
      </c>
      <c r="BE422" s="57">
        <f t="shared" si="1812"/>
        <v>47.423819802813362</v>
      </c>
      <c r="BF422" s="57">
        <f t="shared" si="1812"/>
        <v>51.564943611742521</v>
      </c>
      <c r="BG422" s="57">
        <f t="shared" si="1812"/>
        <v>57.208509599665256</v>
      </c>
      <c r="BH422" s="57">
        <f t="shared" si="1812"/>
        <v>61.059377575137333</v>
      </c>
      <c r="BI422" s="57">
        <f t="shared" si="1812"/>
        <v>54.473209251068134</v>
      </c>
      <c r="BJ422" s="57">
        <f t="shared" si="1812"/>
        <v>31.832143343136543</v>
      </c>
      <c r="BK422" s="57">
        <f t="shared" si="1812"/>
        <v>38.966854294170169</v>
      </c>
      <c r="BL422" s="57">
        <f t="shared" si="1812"/>
        <v>41.581592432345047</v>
      </c>
      <c r="BM422" s="57">
        <f t="shared" si="1812"/>
        <v>50.450356797143371</v>
      </c>
      <c r="BN422" s="57">
        <f t="shared" si="1812"/>
        <v>40.717943958507128</v>
      </c>
      <c r="BO422" s="57">
        <f t="shared" si="1813"/>
        <v>23.418465730342628</v>
      </c>
      <c r="BP422" s="57">
        <f t="shared" si="1813"/>
        <v>44.330255183425223</v>
      </c>
      <c r="BQ422" s="57">
        <f t="shared" si="1813"/>
        <v>35.01139184367257</v>
      </c>
      <c r="BR422" s="57">
        <f t="shared" si="1813"/>
        <v>56.944666236402966</v>
      </c>
      <c r="BS422" s="57">
        <f t="shared" si="1813"/>
        <v>40.307800971475295</v>
      </c>
      <c r="BT422" s="57">
        <f t="shared" si="1813"/>
        <v>23.209809042323212</v>
      </c>
      <c r="BU422" s="57">
        <f t="shared" si="1813"/>
        <v>30.385536451462485</v>
      </c>
      <c r="BV422" s="57">
        <f t="shared" si="1813"/>
        <v>36.623548653586916</v>
      </c>
      <c r="BW422" s="57">
        <f t="shared" si="1813"/>
        <v>48.634379079478968</v>
      </c>
      <c r="BX422" s="57">
        <f t="shared" si="1813"/>
        <v>35.17032685304514</v>
      </c>
      <c r="BY422" s="57">
        <f t="shared" si="1813"/>
        <v>21.451098016823408</v>
      </c>
      <c r="BZ422" s="57">
        <f t="shared" si="1813"/>
        <v>33.481608212863406</v>
      </c>
      <c r="CA422" s="57">
        <f t="shared" si="1813"/>
        <v>31.384110175544016</v>
      </c>
      <c r="CB422" s="57">
        <f t="shared" si="1813"/>
        <v>45.132424982545857</v>
      </c>
      <c r="CC422" s="57">
        <f t="shared" si="1813"/>
        <v>33.131429285548229</v>
      </c>
      <c r="CD422" s="57">
        <f t="shared" si="1813"/>
        <v>22.124737222242914</v>
      </c>
      <c r="CE422" s="57">
        <f t="shared" si="1813"/>
        <v>32.754012893166738</v>
      </c>
      <c r="CF422" s="57">
        <f t="shared" si="1813"/>
        <v>30.131767314835852</v>
      </c>
      <c r="CG422" s="57">
        <f t="shared" si="1813"/>
        <v>43.385287793443013</v>
      </c>
      <c r="CH422" s="57">
        <f t="shared" si="1813"/>
        <v>32.328125826760221</v>
      </c>
      <c r="CI422" s="57">
        <f t="shared" si="1813"/>
        <v>23.086818670413123</v>
      </c>
      <c r="CJ422" s="57">
        <f t="shared" si="1813"/>
        <v>27.731913189192152</v>
      </c>
      <c r="CK422" s="57">
        <f t="shared" si="1813"/>
        <v>27.619670186916473</v>
      </c>
      <c r="CL422" s="57">
        <f t="shared" si="1813"/>
        <v>33.381584642804171</v>
      </c>
      <c r="CM422" s="57">
        <f t="shared" si="1813"/>
        <v>28.067768606639941</v>
      </c>
      <c r="CN422" s="57" t="str">
        <f t="shared" si="1813"/>
        <v/>
      </c>
      <c r="CO422" s="57" t="str">
        <f t="shared" si="1813"/>
        <v/>
      </c>
      <c r="CP422" s="57" t="str">
        <f t="shared" si="1813"/>
        <v/>
      </c>
      <c r="CQ422" s="57" t="str">
        <f t="shared" si="1813"/>
        <v/>
      </c>
      <c r="CR422" s="57" t="str">
        <f t="shared" si="1813"/>
        <v/>
      </c>
    </row>
    <row r="423" spans="1:96" s="54" customFormat="1" ht="17.5" customHeight="1" x14ac:dyDescent="0.4">
      <c r="A423" s="52" t="s">
        <v>108</v>
      </c>
      <c r="B423" s="57">
        <f t="shared" si="1814"/>
        <v>47.189987251094912</v>
      </c>
      <c r="C423" s="57">
        <f t="shared" si="1814"/>
        <v>45.922912157973627</v>
      </c>
      <c r="D423" s="57">
        <f t="shared" si="1814"/>
        <v>47.626494485118606</v>
      </c>
      <c r="E423" s="57">
        <f t="shared" si="1814"/>
        <v>43.634734165381303</v>
      </c>
      <c r="F423" s="57">
        <f t="shared" si="1814"/>
        <v>46.041110160453535</v>
      </c>
      <c r="G423" s="57">
        <f t="shared" si="1814"/>
        <v>39.449928397140084</v>
      </c>
      <c r="H423" s="57">
        <f t="shared" si="1814"/>
        <v>40.614353361948588</v>
      </c>
      <c r="I423" s="57">
        <f t="shared" si="1814"/>
        <v>42.355019465626803</v>
      </c>
      <c r="J423" s="57">
        <f t="shared" si="1814"/>
        <v>42.044606529234066</v>
      </c>
      <c r="K423" s="57">
        <f t="shared" si="1814"/>
        <v>41.15875754857575</v>
      </c>
      <c r="L423" s="57">
        <f t="shared" si="1814"/>
        <v>41.172883323511059</v>
      </c>
      <c r="M423" s="57">
        <f t="shared" si="1814"/>
        <v>46.154567810558817</v>
      </c>
      <c r="N423" s="57">
        <f t="shared" si="1814"/>
        <v>46.193128348625834</v>
      </c>
      <c r="O423" s="57">
        <f t="shared" si="1814"/>
        <v>42.642781925626018</v>
      </c>
      <c r="P423" s="57">
        <f t="shared" si="1814"/>
        <v>44.069668095847476</v>
      </c>
      <c r="Q423" s="57">
        <f t="shared" si="1814"/>
        <v>47.258156144980624</v>
      </c>
      <c r="R423" s="57">
        <f t="shared" si="1812"/>
        <v>47.905111544310763</v>
      </c>
      <c r="S423" s="57">
        <f t="shared" si="1812"/>
        <v>46.058275634129494</v>
      </c>
      <c r="T423" s="57">
        <f t="shared" si="1812"/>
        <v>45.234137523785229</v>
      </c>
      <c r="U423" s="57">
        <f t="shared" si="1812"/>
        <v>46.548631939265611</v>
      </c>
      <c r="V423" s="57">
        <f t="shared" si="1812"/>
        <v>50.81833310789208</v>
      </c>
      <c r="W423" s="57">
        <f t="shared" si="1812"/>
        <v>54.005453834176798</v>
      </c>
      <c r="X423" s="57">
        <f t="shared" si="1812"/>
        <v>54.675650232763971</v>
      </c>
      <c r="Y423" s="57">
        <f t="shared" si="1812"/>
        <v>54.353326144324008</v>
      </c>
      <c r="Z423" s="57">
        <f t="shared" si="1812"/>
        <v>53.5118180059442</v>
      </c>
      <c r="AA423" s="57">
        <f t="shared" si="1812"/>
        <v>59.163366118478542</v>
      </c>
      <c r="AB423" s="57">
        <f t="shared" si="1812"/>
        <v>50.242498021344119</v>
      </c>
      <c r="AC423" s="57">
        <f t="shared" si="1812"/>
        <v>51.5380852984039</v>
      </c>
      <c r="AD423" s="57">
        <f t="shared" si="1812"/>
        <v>51.179587179785948</v>
      </c>
      <c r="AE423" s="57">
        <f t="shared" si="1812"/>
        <v>52.861422516432008</v>
      </c>
      <c r="AF423" s="57">
        <f t="shared" si="1812"/>
        <v>54.927022612467283</v>
      </c>
      <c r="AG423" s="57">
        <f t="shared" si="1812"/>
        <v>50.553881817524058</v>
      </c>
      <c r="AH423" s="57">
        <f t="shared" si="1812"/>
        <v>50.279987703637218</v>
      </c>
      <c r="AI423" s="57">
        <f t="shared" si="1812"/>
        <v>49.967205739784745</v>
      </c>
      <c r="AJ423" s="57">
        <f t="shared" si="1812"/>
        <v>51.366347331305185</v>
      </c>
      <c r="AK423" s="57">
        <f t="shared" si="1812"/>
        <v>48.594992493878649</v>
      </c>
      <c r="AL423" s="57">
        <f t="shared" si="1812"/>
        <v>50.101701593229187</v>
      </c>
      <c r="AM423" s="57">
        <f t="shared" si="1812"/>
        <v>50.587101141655211</v>
      </c>
      <c r="AN423" s="57">
        <f t="shared" si="1812"/>
        <v>52.714859918516332</v>
      </c>
      <c r="AO423" s="57">
        <f t="shared" si="1812"/>
        <v>50.570668968733145</v>
      </c>
      <c r="AP423" s="57">
        <f t="shared" si="1812"/>
        <v>50.094004364920345</v>
      </c>
      <c r="AQ423" s="57">
        <f t="shared" si="1812"/>
        <v>50.073844091153738</v>
      </c>
      <c r="AR423" s="57">
        <f t="shared" si="1812"/>
        <v>51.829340457660457</v>
      </c>
      <c r="AS423" s="57">
        <f t="shared" si="1812"/>
        <v>53.716395375769856</v>
      </c>
      <c r="AT423" s="57">
        <f t="shared" si="1812"/>
        <v>51.484112351031619</v>
      </c>
      <c r="AU423" s="57">
        <f t="shared" si="1812"/>
        <v>51.546627487045846</v>
      </c>
      <c r="AV423" s="57">
        <f t="shared" si="1812"/>
        <v>52.100466687715631</v>
      </c>
      <c r="AW423" s="57">
        <f t="shared" si="1812"/>
        <v>53.145076139524107</v>
      </c>
      <c r="AX423" s="57">
        <f t="shared" si="1812"/>
        <v>54.842538729127035</v>
      </c>
      <c r="AY423" s="57">
        <f t="shared" si="1812"/>
        <v>52.953689295639919</v>
      </c>
      <c r="AZ423" s="57">
        <f t="shared" si="1812"/>
        <v>53.440564774354314</v>
      </c>
      <c r="BA423" s="57">
        <f t="shared" si="1812"/>
        <v>53.069165060717374</v>
      </c>
      <c r="BB423" s="57">
        <f t="shared" si="1812"/>
        <v>52.332831625935093</v>
      </c>
      <c r="BC423" s="57">
        <f t="shared" si="1812"/>
        <v>52.842110236211113</v>
      </c>
      <c r="BD423" s="57">
        <f t="shared" si="1812"/>
        <v>52.909783002738649</v>
      </c>
      <c r="BE423" s="57">
        <f t="shared" si="1812"/>
        <v>52.617092933031209</v>
      </c>
      <c r="BF423" s="57">
        <f t="shared" si="1812"/>
        <v>52.668742985654269</v>
      </c>
      <c r="BG423" s="57">
        <f t="shared" si="1812"/>
        <v>54.568652425817199</v>
      </c>
      <c r="BH423" s="57">
        <f t="shared" si="1812"/>
        <v>56.016710983934772</v>
      </c>
      <c r="BI423" s="57">
        <f t="shared" si="1812"/>
        <v>54.007689113460835</v>
      </c>
      <c r="BJ423" s="57">
        <f t="shared" si="1812"/>
        <v>52.42004490527831</v>
      </c>
      <c r="BK423" s="57">
        <f t="shared" si="1812"/>
        <v>54.291466191562833</v>
      </c>
      <c r="BL423" s="57">
        <f t="shared" si="1812"/>
        <v>56.907649041061234</v>
      </c>
      <c r="BM423" s="57">
        <f t="shared" si="1812"/>
        <v>57.177487608096754</v>
      </c>
      <c r="BN423" s="57">
        <f t="shared" si="1812"/>
        <v>55.201720472499929</v>
      </c>
      <c r="BO423" s="57">
        <f t="shared" si="1813"/>
        <v>55.858581521196186</v>
      </c>
      <c r="BP423" s="57">
        <f t="shared" si="1813"/>
        <v>54.626222206580934</v>
      </c>
      <c r="BQ423" s="57">
        <f t="shared" si="1813"/>
        <v>57.728016918227624</v>
      </c>
      <c r="BR423" s="57">
        <f t="shared" si="1813"/>
        <v>56.74804490934018</v>
      </c>
      <c r="BS423" s="57">
        <f t="shared" si="1813"/>
        <v>56.253451260152886</v>
      </c>
      <c r="BT423" s="57">
        <f t="shared" si="1813"/>
        <v>52.625900174232918</v>
      </c>
      <c r="BU423" s="57">
        <f t="shared" si="1813"/>
        <v>53.5042811777504</v>
      </c>
      <c r="BV423" s="57">
        <f t="shared" si="1813"/>
        <v>52.332883051004309</v>
      </c>
      <c r="BW423" s="57">
        <f t="shared" si="1813"/>
        <v>54.514037099667043</v>
      </c>
      <c r="BX423" s="57">
        <f t="shared" si="1813"/>
        <v>53.270891377566478</v>
      </c>
      <c r="BY423" s="57">
        <f t="shared" si="1813"/>
        <v>50.239882870148811</v>
      </c>
      <c r="BZ423" s="57">
        <f t="shared" si="1813"/>
        <v>48.570410033444915</v>
      </c>
      <c r="CA423" s="57">
        <f t="shared" si="1813"/>
        <v>51.879288632865574</v>
      </c>
      <c r="CB423" s="57">
        <f t="shared" si="1813"/>
        <v>51.1213617483373</v>
      </c>
      <c r="CC423" s="57">
        <f t="shared" si="1813"/>
        <v>50.460835227376563</v>
      </c>
      <c r="CD423" s="57">
        <f t="shared" si="1813"/>
        <v>49.063313990240523</v>
      </c>
      <c r="CE423" s="57">
        <f t="shared" si="1813"/>
        <v>48.160849041216203</v>
      </c>
      <c r="CF423" s="57">
        <f t="shared" si="1813"/>
        <v>49.838288366644093</v>
      </c>
      <c r="CG423" s="57">
        <f t="shared" si="1813"/>
        <v>50.278470964854549</v>
      </c>
      <c r="CH423" s="57">
        <f t="shared" si="1813"/>
        <v>49.349631405999453</v>
      </c>
      <c r="CI423" s="57">
        <f t="shared" si="1813"/>
        <v>47.60023806559996</v>
      </c>
      <c r="CJ423" s="57">
        <f t="shared" si="1813"/>
        <v>47.215167903823549</v>
      </c>
      <c r="CK423" s="57">
        <f t="shared" si="1813"/>
        <v>48.425683241790253</v>
      </c>
      <c r="CL423" s="57">
        <f t="shared" si="1813"/>
        <v>48.080691870617684</v>
      </c>
      <c r="CM423" s="57">
        <f t="shared" si="1813"/>
        <v>47.83861691363682</v>
      </c>
      <c r="CN423" s="57" t="str">
        <f t="shared" si="1813"/>
        <v/>
      </c>
      <c r="CO423" s="57" t="str">
        <f t="shared" si="1813"/>
        <v/>
      </c>
      <c r="CP423" s="57" t="str">
        <f t="shared" si="1813"/>
        <v/>
      </c>
      <c r="CQ423" s="57" t="str">
        <f t="shared" si="1813"/>
        <v/>
      </c>
      <c r="CR423" s="57" t="str">
        <f t="shared" si="1813"/>
        <v/>
      </c>
    </row>
    <row r="424" spans="1:96" s="54" customFormat="1" ht="17.5" customHeight="1" x14ac:dyDescent="0.4">
      <c r="A424" s="52" t="s">
        <v>109</v>
      </c>
      <c r="B424" s="57">
        <f t="shared" si="1814"/>
        <v>-83.385225505378585</v>
      </c>
      <c r="C424" s="57">
        <f t="shared" si="1812"/>
        <v>-87.512507864534015</v>
      </c>
      <c r="D424" s="57">
        <f t="shared" si="1812"/>
        <v>-94.902922475593058</v>
      </c>
      <c r="E424" s="57">
        <f t="shared" si="1812"/>
        <v>-90.946708002359415</v>
      </c>
      <c r="F424" s="57">
        <f t="shared" si="1812"/>
        <v>-89.332189636651165</v>
      </c>
      <c r="G424" s="57">
        <f t="shared" si="1812"/>
        <v>-76.976219546290608</v>
      </c>
      <c r="H424" s="57">
        <f t="shared" si="1812"/>
        <v>-85.995702747061273</v>
      </c>
      <c r="I424" s="57">
        <f t="shared" si="1812"/>
        <v>-90.124307493589029</v>
      </c>
      <c r="J424" s="57">
        <f t="shared" si="1812"/>
        <v>-93.358279997323265</v>
      </c>
      <c r="K424" s="57">
        <f t="shared" si="1812"/>
        <v>-86.865745967384171</v>
      </c>
      <c r="L424" s="57">
        <f t="shared" si="1812"/>
        <v>-75.751525193576654</v>
      </c>
      <c r="M424" s="57">
        <f t="shared" si="1812"/>
        <v>-84.05795894042069</v>
      </c>
      <c r="N424" s="57">
        <f t="shared" si="1812"/>
        <v>-87.714949799162611</v>
      </c>
      <c r="O424" s="57">
        <f t="shared" si="1812"/>
        <v>-92.158189130362715</v>
      </c>
      <c r="P424" s="57">
        <f t="shared" si="1812"/>
        <v>-85.173860280970644</v>
      </c>
      <c r="Q424" s="57">
        <f t="shared" si="1812"/>
        <v>-75.847003240794336</v>
      </c>
      <c r="R424" s="57">
        <f t="shared" si="1812"/>
        <v>-96.319901701783792</v>
      </c>
      <c r="S424" s="57">
        <f t="shared" si="1812"/>
        <v>-95.637215846253682</v>
      </c>
      <c r="T424" s="57">
        <f t="shared" si="1812"/>
        <v>-87.247576436368917</v>
      </c>
      <c r="U424" s="57">
        <f t="shared" si="1812"/>
        <v>-88.962246981012498</v>
      </c>
      <c r="V424" s="57">
        <f t="shared" si="1812"/>
        <v>-77.789950556477507</v>
      </c>
      <c r="W424" s="57">
        <f t="shared" si="1812"/>
        <v>-91.769169313155359</v>
      </c>
      <c r="X424" s="57">
        <f t="shared" si="1812"/>
        <v>-93.757969669259069</v>
      </c>
      <c r="Y424" s="57">
        <f t="shared" si="1812"/>
        <v>-99.597513107315962</v>
      </c>
      <c r="Z424" s="57">
        <f t="shared" si="1812"/>
        <v>-91.011288514827328</v>
      </c>
      <c r="AA424" s="57">
        <f t="shared" si="1812"/>
        <v>-87.985123254363828</v>
      </c>
      <c r="AB424" s="57">
        <f t="shared" si="1812"/>
        <v>-87.167275562545868</v>
      </c>
      <c r="AC424" s="57">
        <f t="shared" si="1812"/>
        <v>-92.933494440156778</v>
      </c>
      <c r="AD424" s="57">
        <f t="shared" si="1812"/>
        <v>-92.244459502020618</v>
      </c>
      <c r="AE424" s="57">
        <f t="shared" si="1812"/>
        <v>-90.225780656288379</v>
      </c>
      <c r="AF424" s="57">
        <f t="shared" si="1812"/>
        <v>-82.09761912916332</v>
      </c>
      <c r="AG424" s="57">
        <f t="shared" si="1812"/>
        <v>-83.876023179302464</v>
      </c>
      <c r="AH424" s="57">
        <f t="shared" si="1812"/>
        <v>-87.830738931694569</v>
      </c>
      <c r="AI424" s="57">
        <f t="shared" si="1812"/>
        <v>-95.080136645473274</v>
      </c>
      <c r="AJ424" s="57">
        <f t="shared" si="1812"/>
        <v>-87.418609317066824</v>
      </c>
      <c r="AK424" s="57">
        <f t="shared" si="1812"/>
        <v>-81.364404541680216</v>
      </c>
      <c r="AL424" s="57">
        <f t="shared" si="1812"/>
        <v>-87.270943467623766</v>
      </c>
      <c r="AM424" s="57">
        <f t="shared" si="1812"/>
        <v>-91.634264940841931</v>
      </c>
      <c r="AN424" s="57">
        <f t="shared" si="1812"/>
        <v>-100.44762454766219</v>
      </c>
      <c r="AO424" s="57">
        <f t="shared" si="1812"/>
        <v>-90.519181071653165</v>
      </c>
      <c r="AP424" s="57">
        <f t="shared" si="1812"/>
        <v>-86.412357774723631</v>
      </c>
      <c r="AQ424" s="57">
        <f t="shared" si="1812"/>
        <v>-86.531199800232912</v>
      </c>
      <c r="AR424" s="57">
        <f t="shared" si="1812"/>
        <v>-91.375435479582066</v>
      </c>
      <c r="AS424" s="57">
        <f t="shared" si="1812"/>
        <v>-98.26817739733093</v>
      </c>
      <c r="AT424" s="57">
        <f t="shared" si="1812"/>
        <v>-90.825789223528858</v>
      </c>
      <c r="AU424" s="57">
        <f t="shared" si="1812"/>
        <v>-84.864689210775694</v>
      </c>
      <c r="AV424" s="57">
        <f t="shared" si="1812"/>
        <v>-87.750639559123286</v>
      </c>
      <c r="AW424" s="57">
        <f t="shared" si="1812"/>
        <v>-93.400860760660663</v>
      </c>
      <c r="AX424" s="57">
        <f t="shared" si="1812"/>
        <v>-98.306102200916314</v>
      </c>
      <c r="AY424" s="57">
        <f t="shared" si="1812"/>
        <v>-91.268965246945825</v>
      </c>
      <c r="AZ424" s="57">
        <f t="shared" si="1812"/>
        <v>-83.056309971856393</v>
      </c>
      <c r="BA424" s="57">
        <f t="shared" si="1812"/>
        <v>-85.242173417329667</v>
      </c>
      <c r="BB424" s="57">
        <f t="shared" si="1812"/>
        <v>-87.321977439404506</v>
      </c>
      <c r="BC424" s="57">
        <f t="shared" si="1812"/>
        <v>-92.742059768840818</v>
      </c>
      <c r="BD424" s="57">
        <f t="shared" si="1812"/>
        <v>-87.221535985670911</v>
      </c>
      <c r="BE424" s="57">
        <f t="shared" si="1812"/>
        <v>-81.890428249141607</v>
      </c>
      <c r="BF424" s="57">
        <f t="shared" si="1812"/>
        <v>-86.922299665455441</v>
      </c>
      <c r="BG424" s="57">
        <f t="shared" si="1812"/>
        <v>-97.772748348054733</v>
      </c>
      <c r="BH424" s="57">
        <f t="shared" si="1812"/>
        <v>-101.78515723710071</v>
      </c>
      <c r="BI424" s="57">
        <f t="shared" si="1812"/>
        <v>-92.333284264010388</v>
      </c>
      <c r="BJ424" s="57">
        <f t="shared" si="1812"/>
        <v>-67.499644867536375</v>
      </c>
      <c r="BK424" s="57">
        <f t="shared" si="1812"/>
        <v>-77.713451495423385</v>
      </c>
      <c r="BL424" s="57">
        <f t="shared" si="1812"/>
        <v>-85.289652236312037</v>
      </c>
      <c r="BM424" s="57">
        <f t="shared" si="1812"/>
        <v>-95.092910874072658</v>
      </c>
      <c r="BN424" s="57">
        <f t="shared" si="1812"/>
        <v>-81.414930911104435</v>
      </c>
      <c r="BO424" s="57">
        <f t="shared" si="1813"/>
        <v>-66.291944328308745</v>
      </c>
      <c r="BP424" s="57">
        <f t="shared" si="1813"/>
        <v>-83.799018738799532</v>
      </c>
      <c r="BQ424" s="57">
        <f t="shared" si="1813"/>
        <v>-75.076690329047082</v>
      </c>
      <c r="BR424" s="57">
        <f t="shared" si="1813"/>
        <v>-99.259676380994009</v>
      </c>
      <c r="BS424" s="57">
        <f t="shared" si="1813"/>
        <v>-81.478327899180783</v>
      </c>
      <c r="BT424" s="57">
        <f t="shared" si="1813"/>
        <v>-64.638858417198648</v>
      </c>
      <c r="BU424" s="57">
        <f t="shared" si="1813"/>
        <v>-68.57864480158517</v>
      </c>
      <c r="BV424" s="57">
        <f t="shared" si="1813"/>
        <v>-73.019654321114885</v>
      </c>
      <c r="BW424" s="57">
        <f t="shared" si="1813"/>
        <v>-86.027166341870213</v>
      </c>
      <c r="BX424" s="57">
        <f t="shared" si="1813"/>
        <v>-73.439238687419433</v>
      </c>
      <c r="BY424" s="57">
        <f t="shared" si="1813"/>
        <v>-57.509098541689319</v>
      </c>
      <c r="BZ424" s="57">
        <f t="shared" si="1813"/>
        <v>-64.246861114502067</v>
      </c>
      <c r="CA424" s="57">
        <f t="shared" si="1813"/>
        <v>-66.470862045281208</v>
      </c>
      <c r="CB424" s="57">
        <f t="shared" si="1813"/>
        <v>-79.91961397479092</v>
      </c>
      <c r="CC424" s="57">
        <f t="shared" si="1813"/>
        <v>-67.278738168062816</v>
      </c>
      <c r="CD424" s="57">
        <f t="shared" si="1813"/>
        <v>-57.282435942415752</v>
      </c>
      <c r="CE424" s="57">
        <f t="shared" si="1813"/>
        <v>-63.971071103149782</v>
      </c>
      <c r="CF424" s="57">
        <f t="shared" si="1813"/>
        <v>-62.478060720338533</v>
      </c>
      <c r="CG424" s="57">
        <f t="shared" si="1813"/>
        <v>-76.446067107892574</v>
      </c>
      <c r="CH424" s="57">
        <f t="shared" si="1813"/>
        <v>-65.245040424190691</v>
      </c>
      <c r="CI424" s="57">
        <f t="shared" si="1813"/>
        <v>-55.607466394357211</v>
      </c>
      <c r="CJ424" s="57">
        <f t="shared" si="1813"/>
        <v>-59.692079003619227</v>
      </c>
      <c r="CK424" s="57">
        <f t="shared" si="1813"/>
        <v>-61.207602725664081</v>
      </c>
      <c r="CL424" s="57">
        <f t="shared" si="1813"/>
        <v>-66.262631279288343</v>
      </c>
      <c r="CM424" s="57">
        <f t="shared" si="1813"/>
        <v>-60.812978894699476</v>
      </c>
      <c r="CN424" s="57" t="str">
        <f t="shared" si="1813"/>
        <v/>
      </c>
      <c r="CO424" s="57" t="str">
        <f t="shared" si="1813"/>
        <v/>
      </c>
      <c r="CP424" s="57" t="str">
        <f t="shared" si="1813"/>
        <v/>
      </c>
      <c r="CQ424" s="57" t="str">
        <f t="shared" si="1813"/>
        <v/>
      </c>
      <c r="CR424" s="57" t="str">
        <f t="shared" si="1813"/>
        <v/>
      </c>
    </row>
    <row r="425" spans="1:96" s="9" customFormat="1" ht="23.25" customHeight="1" thickBot="1" x14ac:dyDescent="0.35">
      <c r="A425" s="26" t="s">
        <v>95</v>
      </c>
      <c r="B425" s="61">
        <f>SUM(B421:B424)</f>
        <v>100.00000000000001</v>
      </c>
      <c r="C425" s="61">
        <f t="shared" ref="C425:BN425" si="1815">SUM(C421:C424)</f>
        <v>100.00000000000001</v>
      </c>
      <c r="D425" s="61">
        <f t="shared" si="1815"/>
        <v>99.999999999999986</v>
      </c>
      <c r="E425" s="61">
        <f t="shared" si="1815"/>
        <v>100.00000000000001</v>
      </c>
      <c r="F425" s="61">
        <f t="shared" si="1815"/>
        <v>99.999999999999986</v>
      </c>
      <c r="G425" s="61">
        <f t="shared" si="1815"/>
        <v>99.999999999999957</v>
      </c>
      <c r="H425" s="61">
        <f t="shared" si="1815"/>
        <v>100</v>
      </c>
      <c r="I425" s="61">
        <f t="shared" si="1815"/>
        <v>100.00000000000001</v>
      </c>
      <c r="J425" s="61">
        <f t="shared" si="1815"/>
        <v>99.999999999999986</v>
      </c>
      <c r="K425" s="61">
        <f t="shared" si="1815"/>
        <v>99.999999999999986</v>
      </c>
      <c r="L425" s="61">
        <f t="shared" si="1815"/>
        <v>100.00000000000001</v>
      </c>
      <c r="M425" s="61">
        <f t="shared" si="1815"/>
        <v>100</v>
      </c>
      <c r="N425" s="61">
        <f t="shared" si="1815"/>
        <v>100</v>
      </c>
      <c r="O425" s="61">
        <f t="shared" si="1815"/>
        <v>99.999999999999986</v>
      </c>
      <c r="P425" s="61">
        <f t="shared" si="1815"/>
        <v>100.00000000000003</v>
      </c>
      <c r="Q425" s="61">
        <f t="shared" si="1815"/>
        <v>100.00000000000001</v>
      </c>
      <c r="R425" s="61">
        <f t="shared" si="1815"/>
        <v>99.999999999999986</v>
      </c>
      <c r="S425" s="61">
        <f t="shared" si="1815"/>
        <v>100.00000000000004</v>
      </c>
      <c r="T425" s="61">
        <f t="shared" si="1815"/>
        <v>100</v>
      </c>
      <c r="U425" s="61">
        <f t="shared" si="1815"/>
        <v>100</v>
      </c>
      <c r="V425" s="61">
        <f t="shared" si="1815"/>
        <v>99.999999999999986</v>
      </c>
      <c r="W425" s="61">
        <f t="shared" si="1815"/>
        <v>99.999999999999986</v>
      </c>
      <c r="X425" s="61">
        <f t="shared" si="1815"/>
        <v>100</v>
      </c>
      <c r="Y425" s="61">
        <f t="shared" si="1815"/>
        <v>99.999999999999972</v>
      </c>
      <c r="Z425" s="61">
        <f t="shared" si="1815"/>
        <v>100</v>
      </c>
      <c r="AA425" s="61">
        <f t="shared" si="1815"/>
        <v>99.999999999999972</v>
      </c>
      <c r="AB425" s="61">
        <f t="shared" si="1815"/>
        <v>100.00000000000001</v>
      </c>
      <c r="AC425" s="61">
        <f t="shared" si="1815"/>
        <v>100</v>
      </c>
      <c r="AD425" s="61">
        <f t="shared" si="1815"/>
        <v>99.999999999999972</v>
      </c>
      <c r="AE425" s="61">
        <f t="shared" si="1815"/>
        <v>100</v>
      </c>
      <c r="AF425" s="61">
        <f t="shared" si="1815"/>
        <v>100</v>
      </c>
      <c r="AG425" s="61">
        <f t="shared" si="1815"/>
        <v>100.00000000000001</v>
      </c>
      <c r="AH425" s="61">
        <f t="shared" si="1815"/>
        <v>100.00000000000004</v>
      </c>
      <c r="AI425" s="61">
        <f t="shared" si="1815"/>
        <v>100.00000000000004</v>
      </c>
      <c r="AJ425" s="61">
        <f t="shared" si="1815"/>
        <v>99.999999999999972</v>
      </c>
      <c r="AK425" s="61">
        <f t="shared" si="1815"/>
        <v>99.999999999999972</v>
      </c>
      <c r="AL425" s="61">
        <f t="shared" si="1815"/>
        <v>100</v>
      </c>
      <c r="AM425" s="61">
        <f t="shared" si="1815"/>
        <v>100.00000000000001</v>
      </c>
      <c r="AN425" s="61">
        <f t="shared" si="1815"/>
        <v>99.999999999999986</v>
      </c>
      <c r="AO425" s="61">
        <f t="shared" si="1815"/>
        <v>99.999999999999986</v>
      </c>
      <c r="AP425" s="61">
        <f t="shared" si="1815"/>
        <v>99.999999999999972</v>
      </c>
      <c r="AQ425" s="61">
        <f t="shared" si="1815"/>
        <v>100</v>
      </c>
      <c r="AR425" s="61">
        <f t="shared" si="1815"/>
        <v>99.999999999999986</v>
      </c>
      <c r="AS425" s="61">
        <f t="shared" si="1815"/>
        <v>99.999999999999972</v>
      </c>
      <c r="AT425" s="61">
        <f t="shared" si="1815"/>
        <v>100</v>
      </c>
      <c r="AU425" s="61">
        <f t="shared" si="1815"/>
        <v>99.999999999999986</v>
      </c>
      <c r="AV425" s="61">
        <f t="shared" si="1815"/>
        <v>100.00000000000001</v>
      </c>
      <c r="AW425" s="61">
        <f t="shared" si="1815"/>
        <v>100.00000000000003</v>
      </c>
      <c r="AX425" s="61">
        <f t="shared" si="1815"/>
        <v>100</v>
      </c>
      <c r="AY425" s="61">
        <f t="shared" si="1815"/>
        <v>100.00000000000001</v>
      </c>
      <c r="AZ425" s="61">
        <f t="shared" si="1815"/>
        <v>100.00000000000003</v>
      </c>
      <c r="BA425" s="61">
        <f t="shared" si="1815"/>
        <v>100.00000000000003</v>
      </c>
      <c r="BB425" s="61">
        <f t="shared" si="1815"/>
        <v>99.999999999999986</v>
      </c>
      <c r="BC425" s="61">
        <f t="shared" si="1815"/>
        <v>100</v>
      </c>
      <c r="BD425" s="61">
        <f t="shared" si="1815"/>
        <v>99.999999999999957</v>
      </c>
      <c r="BE425" s="61">
        <f t="shared" si="1815"/>
        <v>100.00000000000001</v>
      </c>
      <c r="BF425" s="61">
        <f t="shared" si="1815"/>
        <v>99.999999999999986</v>
      </c>
      <c r="BG425" s="61">
        <f t="shared" si="1815"/>
        <v>99.999999999999972</v>
      </c>
      <c r="BH425" s="61">
        <f t="shared" si="1815"/>
        <v>100.00000000000004</v>
      </c>
      <c r="BI425" s="61">
        <f t="shared" si="1815"/>
        <v>100</v>
      </c>
      <c r="BJ425" s="61">
        <f t="shared" si="1815"/>
        <v>100</v>
      </c>
      <c r="BK425" s="61">
        <f t="shared" si="1815"/>
        <v>100</v>
      </c>
      <c r="BL425" s="61">
        <f t="shared" si="1815"/>
        <v>99.999999999999972</v>
      </c>
      <c r="BM425" s="61">
        <f t="shared" si="1815"/>
        <v>100</v>
      </c>
      <c r="BN425" s="61">
        <f t="shared" si="1815"/>
        <v>100.00000000000004</v>
      </c>
      <c r="BO425" s="61">
        <f t="shared" ref="BO425:CR425" si="1816">SUM(BO421:BO424)</f>
        <v>99.999999999999972</v>
      </c>
      <c r="BP425" s="61">
        <f t="shared" si="1816"/>
        <v>100.00000000000003</v>
      </c>
      <c r="BQ425" s="61">
        <f t="shared" si="1816"/>
        <v>100.00000000000001</v>
      </c>
      <c r="BR425" s="61">
        <f t="shared" si="1816"/>
        <v>100.00000000000004</v>
      </c>
      <c r="BS425" s="61">
        <f t="shared" si="1816"/>
        <v>100</v>
      </c>
      <c r="BT425" s="61">
        <f t="shared" si="1816"/>
        <v>100.00000000000001</v>
      </c>
      <c r="BU425" s="61">
        <f t="shared" si="1816"/>
        <v>100.00000000000003</v>
      </c>
      <c r="BV425" s="61">
        <f t="shared" si="1816"/>
        <v>100.00000000000001</v>
      </c>
      <c r="BW425" s="61">
        <f t="shared" si="1816"/>
        <v>100</v>
      </c>
      <c r="BX425" s="61">
        <f t="shared" si="1816"/>
        <v>100.00000000000001</v>
      </c>
      <c r="BY425" s="61">
        <f t="shared" si="1816"/>
        <v>100</v>
      </c>
      <c r="BZ425" s="61">
        <f t="shared" si="1816"/>
        <v>100.00000000000001</v>
      </c>
      <c r="CA425" s="61">
        <f t="shared" si="1816"/>
        <v>100.00000000000001</v>
      </c>
      <c r="CB425" s="61">
        <f t="shared" si="1816"/>
        <v>99.999999999999986</v>
      </c>
      <c r="CC425" s="61">
        <f t="shared" si="1816"/>
        <v>99.999999999999957</v>
      </c>
      <c r="CD425" s="61">
        <f t="shared" si="1816"/>
        <v>100.00000000000003</v>
      </c>
      <c r="CE425" s="61">
        <f t="shared" si="1816"/>
        <v>99.999999999999986</v>
      </c>
      <c r="CF425" s="61">
        <f t="shared" si="1816"/>
        <v>100</v>
      </c>
      <c r="CG425" s="61">
        <f t="shared" si="1816"/>
        <v>100.00000000000001</v>
      </c>
      <c r="CH425" s="61">
        <f t="shared" si="1816"/>
        <v>99.999999999999986</v>
      </c>
      <c r="CI425" s="61">
        <f t="shared" si="1816"/>
        <v>100</v>
      </c>
      <c r="CJ425" s="61">
        <f t="shared" si="1816"/>
        <v>100</v>
      </c>
      <c r="CK425" s="61">
        <f t="shared" si="1816"/>
        <v>99.999999999999972</v>
      </c>
      <c r="CL425" s="61">
        <f t="shared" si="1816"/>
        <v>100.00000000000003</v>
      </c>
      <c r="CM425" s="61">
        <f t="shared" si="1816"/>
        <v>100</v>
      </c>
      <c r="CN425" s="61">
        <f t="shared" si="1816"/>
        <v>0</v>
      </c>
      <c r="CO425" s="61">
        <f t="shared" si="1816"/>
        <v>0</v>
      </c>
      <c r="CP425" s="61">
        <f t="shared" si="1816"/>
        <v>0</v>
      </c>
      <c r="CQ425" s="61">
        <f t="shared" si="1816"/>
        <v>0</v>
      </c>
      <c r="CR425" s="61">
        <f t="shared" si="1816"/>
        <v>0</v>
      </c>
    </row>
  </sheetData>
  <conditionalFormatting sqref="G353">
    <cfRule type="cellIs" dxfId="37" priority="42" operator="lessThan">
      <formula>0</formula>
    </cfRule>
  </conditionalFormatting>
  <conditionalFormatting sqref="G401">
    <cfRule type="cellIs" dxfId="36" priority="25" operator="lessThan">
      <formula>0</formula>
    </cfRule>
  </conditionalFormatting>
  <conditionalFormatting sqref="G365:CR365">
    <cfRule type="cellIs" dxfId="35" priority="3" operator="lessThan">
      <formula>0</formula>
    </cfRule>
  </conditionalFormatting>
  <conditionalFormatting sqref="G413:CR413">
    <cfRule type="cellIs" dxfId="34" priority="1" operator="lessThan">
      <formula>0</formula>
    </cfRule>
  </conditionalFormatting>
  <conditionalFormatting sqref="L353">
    <cfRule type="cellIs" dxfId="33" priority="41" operator="lessThan">
      <formula>0</formula>
    </cfRule>
  </conditionalFormatting>
  <conditionalFormatting sqref="L401">
    <cfRule type="cellIs" dxfId="32" priority="24" operator="lessThan">
      <formula>0</formula>
    </cfRule>
  </conditionalFormatting>
  <conditionalFormatting sqref="Q353">
    <cfRule type="cellIs" dxfId="31" priority="40" operator="lessThan">
      <formula>0</formula>
    </cfRule>
  </conditionalFormatting>
  <conditionalFormatting sqref="Q401">
    <cfRule type="cellIs" dxfId="30" priority="23" operator="lessThan">
      <formula>0</formula>
    </cfRule>
  </conditionalFormatting>
  <conditionalFormatting sqref="V353">
    <cfRule type="cellIs" dxfId="29" priority="39" operator="lessThan">
      <formula>0</formula>
    </cfRule>
  </conditionalFormatting>
  <conditionalFormatting sqref="V401">
    <cfRule type="cellIs" dxfId="28" priority="22" operator="lessThan">
      <formula>0</formula>
    </cfRule>
  </conditionalFormatting>
  <conditionalFormatting sqref="AA353">
    <cfRule type="cellIs" dxfId="27" priority="38" operator="lessThan">
      <formula>0</formula>
    </cfRule>
  </conditionalFormatting>
  <conditionalFormatting sqref="AA401">
    <cfRule type="cellIs" dxfId="26" priority="21" operator="lessThan">
      <formula>0</formula>
    </cfRule>
  </conditionalFormatting>
  <conditionalFormatting sqref="AF353">
    <cfRule type="cellIs" dxfId="25" priority="37" operator="lessThan">
      <formula>0</formula>
    </cfRule>
  </conditionalFormatting>
  <conditionalFormatting sqref="AF401">
    <cfRule type="cellIs" dxfId="24" priority="20" operator="lessThan">
      <formula>0</formula>
    </cfRule>
  </conditionalFormatting>
  <conditionalFormatting sqref="AK353">
    <cfRule type="cellIs" dxfId="23" priority="36" operator="lessThan">
      <formula>0</formula>
    </cfRule>
  </conditionalFormatting>
  <conditionalFormatting sqref="AK401">
    <cfRule type="cellIs" dxfId="22" priority="19" operator="lessThan">
      <formula>0</formula>
    </cfRule>
  </conditionalFormatting>
  <conditionalFormatting sqref="AP353">
    <cfRule type="cellIs" dxfId="21" priority="35" operator="lessThan">
      <formula>0</formula>
    </cfRule>
  </conditionalFormatting>
  <conditionalFormatting sqref="AP401">
    <cfRule type="cellIs" dxfId="20" priority="18" operator="lessThan">
      <formula>0</formula>
    </cfRule>
  </conditionalFormatting>
  <conditionalFormatting sqref="AU353">
    <cfRule type="cellIs" dxfId="19" priority="34" operator="lessThan">
      <formula>0</formula>
    </cfRule>
  </conditionalFormatting>
  <conditionalFormatting sqref="AU401">
    <cfRule type="cellIs" dxfId="18" priority="17" operator="lessThan">
      <formula>0</formula>
    </cfRule>
  </conditionalFormatting>
  <conditionalFormatting sqref="AZ353">
    <cfRule type="cellIs" dxfId="17" priority="33" operator="lessThan">
      <formula>0</formula>
    </cfRule>
  </conditionalFormatting>
  <conditionalFormatting sqref="AZ401">
    <cfRule type="cellIs" dxfId="16" priority="16" operator="lessThan">
      <formula>0</formula>
    </cfRule>
  </conditionalFormatting>
  <conditionalFormatting sqref="BE353">
    <cfRule type="cellIs" dxfId="15" priority="32" operator="lessThan">
      <formula>0</formula>
    </cfRule>
  </conditionalFormatting>
  <conditionalFormatting sqref="BE401">
    <cfRule type="cellIs" dxfId="14" priority="15" operator="lessThan">
      <formula>0</formula>
    </cfRule>
  </conditionalFormatting>
  <conditionalFormatting sqref="BJ353">
    <cfRule type="cellIs" dxfId="13" priority="31" operator="lessThan">
      <formula>0</formula>
    </cfRule>
  </conditionalFormatting>
  <conditionalFormatting sqref="BJ401">
    <cfRule type="cellIs" dxfId="12" priority="14" operator="lessThan">
      <formula>0</formula>
    </cfRule>
  </conditionalFormatting>
  <conditionalFormatting sqref="BO353">
    <cfRule type="cellIs" dxfId="11" priority="30" operator="lessThan">
      <formula>0</formula>
    </cfRule>
  </conditionalFormatting>
  <conditionalFormatting sqref="BO401">
    <cfRule type="cellIs" dxfId="10" priority="13" operator="lessThan">
      <formula>0</formula>
    </cfRule>
  </conditionalFormatting>
  <conditionalFormatting sqref="BT353">
    <cfRule type="cellIs" dxfId="9" priority="29" operator="lessThan">
      <formula>0</formula>
    </cfRule>
  </conditionalFormatting>
  <conditionalFormatting sqref="BT401">
    <cfRule type="cellIs" dxfId="8" priority="12" operator="lessThan">
      <formula>0</formula>
    </cfRule>
  </conditionalFormatting>
  <conditionalFormatting sqref="BY353">
    <cfRule type="cellIs" dxfId="7" priority="28" operator="lessThan">
      <formula>0</formula>
    </cfRule>
  </conditionalFormatting>
  <conditionalFormatting sqref="BY401">
    <cfRule type="cellIs" dxfId="6" priority="11" operator="lessThan">
      <formula>0</formula>
    </cfRule>
  </conditionalFormatting>
  <conditionalFormatting sqref="CD353">
    <cfRule type="cellIs" dxfId="5" priority="27" operator="lessThan">
      <formula>0</formula>
    </cfRule>
  </conditionalFormatting>
  <conditionalFormatting sqref="CD401">
    <cfRule type="cellIs" dxfId="4" priority="10" operator="lessThan">
      <formula>0</formula>
    </cfRule>
  </conditionalFormatting>
  <conditionalFormatting sqref="CI353">
    <cfRule type="cellIs" dxfId="3" priority="8" operator="lessThan">
      <formula>0</formula>
    </cfRule>
  </conditionalFormatting>
  <conditionalFormatting sqref="CI401">
    <cfRule type="cellIs" dxfId="2" priority="6" operator="lessThan">
      <formula>0</formula>
    </cfRule>
  </conditionalFormatting>
  <conditionalFormatting sqref="CN353">
    <cfRule type="cellIs" dxfId="1" priority="4" operator="lessThan">
      <formula>0</formula>
    </cfRule>
  </conditionalFormatting>
  <conditionalFormatting sqref="CN401"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brian wicaksono</cp:lastModifiedBy>
  <dcterms:created xsi:type="dcterms:W3CDTF">2026-02-12T08:07:33Z</dcterms:created>
  <dcterms:modified xsi:type="dcterms:W3CDTF">2026-04-28T00:19:21Z</dcterms:modified>
</cp:coreProperties>
</file>